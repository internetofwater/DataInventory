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p19\Documents\Internet of Water\Hubs\HubInventory\Final_Network\ca\"/>
    </mc:Choice>
  </mc:AlternateContent>
  <bookViews>
    <workbookView xWindow="0" yWindow="0" windowWidth="17604" windowHeight="12312" tabRatio="500" activeTab="5"/>
  </bookViews>
  <sheets>
    <sheet name="orgNodes" sheetId="5" r:id="rId1"/>
    <sheet name="orgEdges" sheetId="6" r:id="rId2"/>
    <sheet name="platformNodes" sheetId="7" r:id="rId3"/>
    <sheet name="dataNodes" sheetId="12" r:id="rId4"/>
    <sheet name="dataNodeTypes" sheetId="8" r:id="rId5"/>
    <sheet name="dataEdges" sheetId="9" r:id="rId6"/>
  </sheets>
  <definedNames>
    <definedName name="_xlnm._FilterDatabase" localSheetId="3" hidden="1">dataNodes!$A$1:$C$19</definedName>
    <definedName name="_xlnm._FilterDatabase" localSheetId="2" hidden="1">platformNodes!$A$1:$U$23</definedName>
  </definedName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I2" i="8" l="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F3" i="7" l="1"/>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2" i="7"/>
  <c r="N3" i="8" l="1"/>
  <c r="N4" i="8"/>
  <c r="N5" i="8"/>
  <c r="N6" i="8"/>
  <c r="N7" i="8"/>
  <c r="N8" i="8"/>
  <c r="N9" i="8"/>
  <c r="N10" i="8"/>
  <c r="N11" i="8"/>
  <c r="N12" i="8"/>
  <c r="N13" i="8"/>
  <c r="N14" i="8"/>
  <c r="N15" i="8"/>
  <c r="N16" i="8"/>
  <c r="N17" i="8"/>
  <c r="N18" i="8"/>
  <c r="N19" i="8"/>
  <c r="N2" i="8"/>
  <c r="M3" i="8"/>
  <c r="M4" i="8"/>
  <c r="M5" i="8"/>
  <c r="M6" i="8"/>
  <c r="M7" i="8"/>
  <c r="M8" i="8"/>
  <c r="M9" i="8"/>
  <c r="M10" i="8"/>
  <c r="M11" i="8"/>
  <c r="M12" i="8"/>
  <c r="M13" i="8"/>
  <c r="M14" i="8"/>
  <c r="M15" i="8"/>
  <c r="M16" i="8"/>
  <c r="M17" i="8"/>
  <c r="M18" i="8"/>
  <c r="M19" i="8"/>
  <c r="M2" i="8"/>
</calcChain>
</file>

<file path=xl/sharedStrings.xml><?xml version="1.0" encoding="utf-8"?>
<sst xmlns="http://schemas.openxmlformats.org/spreadsheetml/2006/main" count="2898" uniqueCount="674">
  <si>
    <t>notes</t>
  </si>
  <si>
    <t>Website</t>
  </si>
  <si>
    <t>Groundwater</t>
  </si>
  <si>
    <t>Yes</t>
  </si>
  <si>
    <t>Unknown</t>
  </si>
  <si>
    <t>pdf</t>
  </si>
  <si>
    <t>Low</t>
  </si>
  <si>
    <t>Individual Export</t>
  </si>
  <si>
    <t>Link to Source</t>
  </si>
  <si>
    <t>html</t>
  </si>
  <si>
    <t>No</t>
  </si>
  <si>
    <t>Irregular</t>
  </si>
  <si>
    <t>Yearly or Higher</t>
  </si>
  <si>
    <t>Copy and Paste</t>
  </si>
  <si>
    <t>Drinking Water Watch</t>
  </si>
  <si>
    <t>Surface Water</t>
  </si>
  <si>
    <t>Reservoir</t>
  </si>
  <si>
    <t>mission</t>
  </si>
  <si>
    <t>website</t>
  </si>
  <si>
    <t>operational</t>
  </si>
  <si>
    <t>decision</t>
  </si>
  <si>
    <t>regulatory</t>
  </si>
  <si>
    <t>research</t>
  </si>
  <si>
    <t>level</t>
  </si>
  <si>
    <t>n01</t>
  </si>
  <si>
    <t>n02</t>
  </si>
  <si>
    <t>n03</t>
  </si>
  <si>
    <t>n04</t>
  </si>
  <si>
    <t>n05</t>
  </si>
  <si>
    <t>n06</t>
  </si>
  <si>
    <t>n07</t>
  </si>
  <si>
    <t>n08</t>
  </si>
  <si>
    <t>n09</t>
  </si>
  <si>
    <t>n10</t>
  </si>
  <si>
    <t>n12</t>
  </si>
  <si>
    <t>n13</t>
  </si>
  <si>
    <t>from</t>
  </si>
  <si>
    <t>to</t>
  </si>
  <si>
    <t>Utilities</t>
  </si>
  <si>
    <t>p01</t>
  </si>
  <si>
    <t>p02</t>
  </si>
  <si>
    <t>p03</t>
  </si>
  <si>
    <t>p04</t>
  </si>
  <si>
    <t>p05</t>
  </si>
  <si>
    <t>p06</t>
  </si>
  <si>
    <t>p07</t>
  </si>
  <si>
    <t>p08</t>
  </si>
  <si>
    <t>p09</t>
  </si>
  <si>
    <t>p10</t>
  </si>
  <si>
    <t>p11</t>
  </si>
  <si>
    <t>d01</t>
  </si>
  <si>
    <t>d02</t>
  </si>
  <si>
    <t>Evapotranspiration</t>
  </si>
  <si>
    <t>d03</t>
  </si>
  <si>
    <t>d05</t>
  </si>
  <si>
    <t>d06</t>
  </si>
  <si>
    <t>d07</t>
  </si>
  <si>
    <t>Hydropower</t>
  </si>
  <si>
    <t>d08</t>
  </si>
  <si>
    <t>Infrastructure</t>
  </si>
  <si>
    <t>d10</t>
  </si>
  <si>
    <t>Meteorology</t>
  </si>
  <si>
    <t>d11</t>
  </si>
  <si>
    <t>Precipitation</t>
  </si>
  <si>
    <t>d12</t>
  </si>
  <si>
    <t>Regulatory</t>
  </si>
  <si>
    <t>d13</t>
  </si>
  <si>
    <t>d16</t>
  </si>
  <si>
    <t>Soil</t>
  </si>
  <si>
    <t>d17</t>
  </si>
  <si>
    <t>d18</t>
  </si>
  <si>
    <t>Built</t>
  </si>
  <si>
    <t>Natural</t>
  </si>
  <si>
    <t>Quality</t>
  </si>
  <si>
    <t>d04</t>
  </si>
  <si>
    <t>Quantity</t>
  </si>
  <si>
    <t>Extreme Events</t>
  </si>
  <si>
    <t>Glacial and Snow</t>
  </si>
  <si>
    <t>d09</t>
  </si>
  <si>
    <t>d14</t>
  </si>
  <si>
    <t>Use</t>
  </si>
  <si>
    <t>d15</t>
  </si>
  <si>
    <t>Irrigation</t>
  </si>
  <si>
    <t>Management Plans</t>
  </si>
  <si>
    <t>lengthAvailable</t>
  </si>
  <si>
    <t>Period of Record</t>
  </si>
  <si>
    <t>Not Applicable</t>
  </si>
  <si>
    <t>Limited Record</t>
  </si>
  <si>
    <t>Administrative</t>
  </si>
  <si>
    <t>metadata</t>
  </si>
  <si>
    <t>dataDefinitions</t>
  </si>
  <si>
    <t>Administrative; Descriptive</t>
  </si>
  <si>
    <t>entity</t>
  </si>
  <si>
    <t>tier1and2entity</t>
  </si>
  <si>
    <t>entityID</t>
  </si>
  <si>
    <t>tier1and2entityID</t>
  </si>
  <si>
    <t>platformID</t>
  </si>
  <si>
    <t>platform</t>
  </si>
  <si>
    <t>webLabel</t>
  </si>
  <si>
    <t>easeDiscover</t>
  </si>
  <si>
    <t>methodDiscover</t>
  </si>
  <si>
    <t>easeAccess</t>
  </si>
  <si>
    <t>methodAccess</t>
  </si>
  <si>
    <t>fileFormat</t>
  </si>
  <si>
    <t>metadataFormat</t>
  </si>
  <si>
    <t>metaAttributes</t>
  </si>
  <si>
    <t>metadataStandards</t>
  </si>
  <si>
    <t>timeliness</t>
  </si>
  <si>
    <t>data</t>
  </si>
  <si>
    <t>dataCategory</t>
  </si>
  <si>
    <t>dataGroup</t>
  </si>
  <si>
    <t>dataID</t>
  </si>
  <si>
    <t>dataID - linked to dataNodes tab</t>
  </si>
  <si>
    <t>dataGroup - linked to dataNodes tab</t>
  </si>
  <si>
    <t>n14</t>
  </si>
  <si>
    <t>n15</t>
  </si>
  <si>
    <t>n19</t>
  </si>
  <si>
    <t>heatmapLabel</t>
  </si>
  <si>
    <t>California</t>
  </si>
  <si>
    <t>Environmental Protection Agency</t>
  </si>
  <si>
    <t>Environmental Monitoring Branch</t>
  </si>
  <si>
    <t>Surface Water Protection Program</t>
  </si>
  <si>
    <t>Ground Water Protection Program</t>
  </si>
  <si>
    <t>Department of Toxic Substances Control</t>
  </si>
  <si>
    <t>State Water Resources Control Board</t>
  </si>
  <si>
    <t>401 Water Quality Certification and Wetlands Program</t>
  </si>
  <si>
    <t>Cannabis Cultivation Regulatory Programs</t>
  </si>
  <si>
    <t>Stormwater Program</t>
  </si>
  <si>
    <t>National Pollutant Discharge Elimination System Program</t>
  </si>
  <si>
    <t>Water Quality Assessment</t>
  </si>
  <si>
    <t>n16</t>
  </si>
  <si>
    <t>Surface Water Ambient Monitoring program</t>
  </si>
  <si>
    <t>n17</t>
  </si>
  <si>
    <t>Natural Resources Agency</t>
  </si>
  <si>
    <t>n18</t>
  </si>
  <si>
    <t>Department of Water Resources</t>
  </si>
  <si>
    <t>n20</t>
  </si>
  <si>
    <t>n21</t>
  </si>
  <si>
    <t>n22</t>
  </si>
  <si>
    <t>Groundwater Management</t>
  </si>
  <si>
    <t>n23</t>
  </si>
  <si>
    <t>n24</t>
  </si>
  <si>
    <t>n25</t>
  </si>
  <si>
    <t>Department of Conservation</t>
  </si>
  <si>
    <t>n26</t>
  </si>
  <si>
    <t>n27</t>
  </si>
  <si>
    <t>Forest and Watershed Geology Program</t>
  </si>
  <si>
    <t>n28</t>
  </si>
  <si>
    <t>Division of Oil, Gas, and Geothermal Resources</t>
  </si>
  <si>
    <t>n29</t>
  </si>
  <si>
    <t>n30</t>
  </si>
  <si>
    <t>State Lands Commission</t>
  </si>
  <si>
    <t>n31</t>
  </si>
  <si>
    <t>Environmental Planning and Management Division</t>
  </si>
  <si>
    <t>n32</t>
  </si>
  <si>
    <t>Land Management Division</t>
  </si>
  <si>
    <t>n33</t>
  </si>
  <si>
    <t>Mineral Resources Management Division</t>
  </si>
  <si>
    <t>n34</t>
  </si>
  <si>
    <t>n35</t>
  </si>
  <si>
    <t>Department of Forestry and Fire Protection</t>
  </si>
  <si>
    <t>n36</t>
  </si>
  <si>
    <t>Resource Management Program</t>
  </si>
  <si>
    <t>n37</t>
  </si>
  <si>
    <t>Department of Parks and Recreation</t>
  </si>
  <si>
    <t>n38</t>
  </si>
  <si>
    <t>Department of Fish and Wildlife</t>
  </si>
  <si>
    <t>n39</t>
  </si>
  <si>
    <t>Ecosystem Conservation Division</t>
  </si>
  <si>
    <t>n40</t>
  </si>
  <si>
    <t>Water Branch</t>
  </si>
  <si>
    <t>n41</t>
  </si>
  <si>
    <t>n42</t>
  </si>
  <si>
    <t>Energy Assessments Division</t>
  </si>
  <si>
    <t>n43</t>
  </si>
  <si>
    <t>Renewable Energy Division</t>
  </si>
  <si>
    <t>n44</t>
  </si>
  <si>
    <t>Wildlife Conservation Board</t>
  </si>
  <si>
    <t>n45</t>
  </si>
  <si>
    <t>Habitat Enhancement and Restoration Program</t>
  </si>
  <si>
    <t>n46</t>
  </si>
  <si>
    <t>Riparian Habitat Conservation Program</t>
  </si>
  <si>
    <t>n47</t>
  </si>
  <si>
    <t>Streamflow Enhancement Program</t>
  </si>
  <si>
    <t>n48</t>
  </si>
  <si>
    <t>Inland Wetlands Conservation Program</t>
  </si>
  <si>
    <t>n49</t>
  </si>
  <si>
    <t>Wildlife Conservation Monitoring Program</t>
  </si>
  <si>
    <t>n50</t>
  </si>
  <si>
    <t>Central Valley Flood Protection Board</t>
  </si>
  <si>
    <t>n51</t>
  </si>
  <si>
    <t>n52</t>
  </si>
  <si>
    <t>Water Storage Investment Program</t>
  </si>
  <si>
    <t>n53</t>
  </si>
  <si>
    <t>Colorado River Board of California</t>
  </si>
  <si>
    <t>n54</t>
  </si>
  <si>
    <t>Water Use and Accounting under the Law of the River</t>
  </si>
  <si>
    <t>n55</t>
  </si>
  <si>
    <t>Binational Issues and Activities with Mexico</t>
  </si>
  <si>
    <t>n56</t>
  </si>
  <si>
    <t>n57</t>
  </si>
  <si>
    <t>Colorado River Basin Salinity Control Program</t>
  </si>
  <si>
    <t>n58</t>
  </si>
  <si>
    <t>Colorado River Basin Water Supply &amp; Demand Study</t>
  </si>
  <si>
    <t>n59</t>
  </si>
  <si>
    <t>Glen Canyon Dam Adaptive Management Program</t>
  </si>
  <si>
    <t>n60</t>
  </si>
  <si>
    <t>Lower Colorado Multi-Species Conservation Program</t>
  </si>
  <si>
    <t>n61</t>
  </si>
  <si>
    <t>Lower Colorado Water Supply Project</t>
  </si>
  <si>
    <t>The California Dream. The idea that every person can achieve a better life, regardless of where they start out, is central to who we are as Californians.</t>
  </si>
  <si>
    <t>https://www.ca.gov/</t>
  </si>
  <si>
    <t>Restore, protect and enhance the_environment, to ensure public health, environmental quality and economic vitality.</t>
  </si>
  <si>
    <t>https://calepa.ca.gov/</t>
  </si>
  <si>
    <t>Protect human health and the environment by regulating pesticide sales and use, and by fostering reduced-risk pest management.</t>
  </si>
  <si>
    <t>https://www.cdpr.ca.gov/</t>
  </si>
  <si>
    <t>Monitors the environment to determine the fate of pesticides, protecting the public and the environment from pesticide contamination through analyzing hazards and developing pollution prevention strategies.</t>
  </si>
  <si>
    <t>https://www.cdpr.ca.gov/docs/emon/ehap.htm</t>
  </si>
  <si>
    <t>Protects human health and the environment by preventing pesticides from adversely affecting our surface waters, by addressing both agricultural and nonagricultural sources of pesticide residues in surface waters.</t>
  </si>
  <si>
    <t>https://www.cdpr.ca.gov/docs/emon/surfwtr/index.htm</t>
  </si>
  <si>
    <t>Evaluate and samples for pesticides to determine if they may contaminate ground water, identifies areas sensitive to pesticide contamination and develops mitigation measures to prevent that movement.</t>
  </si>
  <si>
    <t>https://www.cdpr.ca.gov/docs/emon/grndwtr/index.htm</t>
  </si>
  <si>
    <t>Protect Californias people and environment from harmful effects of toxic substances by restoring contaminated resources, enforcing hazardous waste laws, reducing hazardous waste generation, and encouraging the manufacture of chemically safer products.</t>
  </si>
  <si>
    <t>https://www.dtsc.ca.gov/</t>
  </si>
  <si>
    <t>To preserve, enhance, and restore the quality of California's water resources and drinking water for the protection of the environment, public health, and all beneficial uses, and to ensure proper water resource allocation and efficient use, for the benefit of present and future generations.</t>
  </si>
  <si>
    <t>https://www.waterboards.ca.gov/</t>
  </si>
  <si>
    <t>Regulates discharges of fill and dredged material under Clean Water Act Section 401 and the Porter-Cologne Water Quality Control Act.</t>
  </si>
  <si>
    <t>https://www.waterboards.ca.gov/water_issues/programs/cwa401/</t>
  </si>
  <si>
    <t xml:space="preserve">The Water Boards Cannabis Cultivation Program has four main components to address potential water quality and quantity issues related to cannabis cultivation. </t>
  </si>
  <si>
    <t>https://www.waterboards.ca.gov/water_issues/programs/cannabis/</t>
  </si>
  <si>
    <t>Minimize NPS pollution from land use activities in agriculture, urban development, forestry, recreational boating and marinas, hydromodification and wetlands.</t>
  </si>
  <si>
    <t>https://www.waterboards.ca.gov/water_issues/programs/nps/</t>
  </si>
  <si>
    <t>Improve the management of storm water as a resource.</t>
  </si>
  <si>
    <t>https://www.waterboards.ca.gov/water_issues/programs/stormwater/</t>
  </si>
  <si>
    <t>Controls water pollution by regulating point sources that discharge pollutants into waters of the United States.</t>
  </si>
  <si>
    <t>https://www.waterboards.ca.gov/water_issues/programs/npdes/</t>
  </si>
  <si>
    <t>Assess water quality monitoring data for California's surface waters every two years to determine if they contain pollutants at levels that exceed protective water quality standards.</t>
  </si>
  <si>
    <t>https://www.waterboards.ca.gov/water_issues/programs/water_quality_assessment/</t>
  </si>
  <si>
    <t>Provide resource managers, decision makers, and the public with timely, high-quality information to evaluate the condition of all waters throughout California.</t>
  </si>
  <si>
    <t>https://www.waterboards.ca.gov/water_issues/programs/swamp/</t>
  </si>
  <si>
    <t>Restore, protect and manage the state's natural, historical and cultural resources for current and future generations using creative approaches and solutions based on science, collaboration and respect for all the communities and interests involved.</t>
  </si>
  <si>
    <t>http://resources.ca.gov/</t>
  </si>
  <si>
    <t>Responsible for managing and protecting California's water resources.</t>
  </si>
  <si>
    <t>https://water.ca.gov/</t>
  </si>
  <si>
    <t>Provide timely, cost-effective, and quality engineering, geology, construction, geodetic, and administrative services to the public, state water contractors, State and federal agencies, and other DWR organizations.</t>
  </si>
  <si>
    <t>https://water.ca.gov/Programs/Engineering-And-Construction</t>
  </si>
  <si>
    <t>Ensures compliance with extensive federal, state, and local regulations.</t>
  </si>
  <si>
    <t>https://water.ca.gov/Programs/Environmental-Services</t>
  </si>
  <si>
    <t>Prevent loss of life and reduce property damage caused by floods by monitoring weather and river conditions, issuing forecasts, coordinating flood response, managing emergency information, participating in flood control projects, implementing FloodSAFE California, and inspecting and maintaining levees, bypasses, weirs, and other flood control structures.</t>
  </si>
  <si>
    <t>https://water.ca.gov/Programs/Flood-Management</t>
  </si>
  <si>
    <t>We are responsible for implementing the Sustainable Groundwater Management Act</t>
  </si>
  <si>
    <t>https://water.ca.gov/Programs/Groundwater-Management</t>
  </si>
  <si>
    <t>Manages the California State Water Project (SWP) to ensure adequate water supplies are available under various hydrologic and legal conditions while maintaining SWP operational flexibility.</t>
  </si>
  <si>
    <t>Balances today's needs with tomorrow's challenges and fosters intelligent, sustainable, and efficient use of California's energy, land, and mineral resources.</t>
  </si>
  <si>
    <t>http://www.conservation.ca.gov/</t>
  </si>
  <si>
    <t xml:space="preserve">The California Geological Survey (CGS) provides scientific products and services about the state's geology, seismology and mineral resources, including their related hazards, that affect the health, safety, and business interests of the people of California. </t>
  </si>
  <si>
    <t>https://www.conservation.ca.gov/cgs</t>
  </si>
  <si>
    <t>The CGS Forest and Watershed Geology Program (FWGP) provides technical information and advice about landslides, erosion, sedimentation and other geologic hazards to other Califonria agencies, industries, and the public that make land-use decisions on California's forested lands and in watersheds where proposed activities may affect water quality and fish habitat.</t>
  </si>
  <si>
    <t>http://www.conservation.ca.gov/cgs/fwg</t>
  </si>
  <si>
    <t>Oversee the drilling, operation, maintenance, and plugging and abandonment of oil, natural gas, and geothermal wells.</t>
  </si>
  <si>
    <t>http://www.conservation.ca.gov/dog/Pages/Index.aspx</t>
  </si>
  <si>
    <t>Our program provides young men and women 18 – 25 years old a year of paid service to the State of California. During their year of service, Corpsmembers work on environmental projects and respond to natural and man-made disasters.</t>
  </si>
  <si>
    <t>https://ccc.ca.gov/</t>
  </si>
  <si>
    <t>Provides the people of California with effective stewardship of the lands, waterways, and resources entrusted to its care through preservation, restoration, enhancement, responsible economic development, and the promotion of public access.</t>
  </si>
  <si>
    <t>http://www.slc.ca.gov/</t>
  </si>
  <si>
    <t>Provides policy and technical analysis to the Commission and its Executive Officer, and ensures compliance with the California Environmental Quality Act (CEQA).</t>
  </si>
  <si>
    <t>Primary responsibility for the surface management of all sovereign and school lands in California.</t>
  </si>
  <si>
    <t>Responsible for the safe and environmentally sound development, regulation, and management of all energy and mineral resources on sovereign and school lands under the jurisdiction of the Commission.</t>
  </si>
  <si>
    <t>Protect and improve natural lands and waterways, help people access and enjoy the outdoors, and sustain local economies along the length of Californias coast and around San Francisco Bay.</t>
  </si>
  <si>
    <t>http://scc.ca.gov/</t>
  </si>
  <si>
    <t>Protect life and property through fire prevention engineering programs, law and code enforcement and education.</t>
  </si>
  <si>
    <t>http://calfire.ca.gov/index</t>
  </si>
  <si>
    <t>CAL FIRE's mission emphasizes the management and protection of California's natural resources. The Resource Management Program is an integral part of that responsibility.</t>
  </si>
  <si>
    <t>http://www.calfire.ca.gov/resource_mgt/resource_mgt</t>
  </si>
  <si>
    <t>Provide for the health, inspiration and education of the people of California by helping to preserve the state's extraordinary biological diversity, protecting its most valued natural and cultural resources, and creating opportunities for high-quality outdoor recreation.</t>
  </si>
  <si>
    <t>https://www.parks.ca.gov/</t>
  </si>
  <si>
    <t>Manage California's diverse fish, wildlife, and plant resources, and the habitats upon which they depend, for their ecological values and for their use and enjoyment by the public.</t>
  </si>
  <si>
    <t>https://www.wildlife.ca.gov/</t>
  </si>
  <si>
    <t>https://www.wildlife.ca.gov/Conservation</t>
  </si>
  <si>
    <t>Fulfill our public trust responsibility to the State of California by providing sound leadership in the balanced and integrated management of California's water resources, for the benefit of aquatic and terrestrial species and those habitats upon which they depend.</t>
  </si>
  <si>
    <t>Ensure that a reliable supply of electrical energy is maintained at a level consistent with the need for such energy for protection of public health and safety, for promotion of the general welfare, and for environmental quality protection.</t>
  </si>
  <si>
    <t>http://www.energy.ca.gov/</t>
  </si>
  <si>
    <t>Assess California's energy systems and trends, providing information for decision-makers and the public resulting in policies that balance the need for adequate resources with economic, public health, safety, and environmental goals.</t>
  </si>
  <si>
    <t>http://www.energy.ca.gov/assessments/</t>
  </si>
  <si>
    <t>To promote all feasible means of energy and water conservation and all feasible uses of alternative energy and water supply sources.</t>
  </si>
  <si>
    <t>http://www.energy.ca.gov/renewables/renewable_links.html</t>
  </si>
  <si>
    <t>Protects, restores and enhances California's spectacular natural resources for wildlife and for the public's use and enjoyment in partnership with conservation groups, government agencies and the people of California.</t>
  </si>
  <si>
    <t>The Board's general restoration program that includes all projects that fall outside the Board's other mandated programs</t>
  </si>
  <si>
    <t>https://www.wcb.ca.gov/Programs/Habitat-Enhancement</t>
  </si>
  <si>
    <t>Protect, preserve, restore and enhance riparian habitat throughout California.</t>
  </si>
  <si>
    <t>https://www.wcb.ca.gov/Programs/Riparian</t>
  </si>
  <si>
    <t>Awards grant funding on a competitive basis to projects representing the mission of the WCB and address the three goals of the California Water Action Plan: reliability, restoration, and resilience.</t>
  </si>
  <si>
    <t>https://www.wcb.ca.gov/Programs/Stream-Flow-Enhancement</t>
  </si>
  <si>
    <t>Created to assist the Central Valley Joint Venture (CVJV) in its mission is to protect, restore, and enhance wetlands and associated habitats.</t>
  </si>
  <si>
    <t>https://www.wcb.ca.gov/Programs/Wetlands</t>
  </si>
  <si>
    <t>Reports on all grant funded conservation easements</t>
  </si>
  <si>
    <t>https://www.wcb.ca.gov/Programs/Monitoring</t>
  </si>
  <si>
    <t>Responsible for ensuring that appropriate standards are met for the construction, maintenance, and protection of the flood control system that protects life, property, and wildlife habitat in California's vast and diverse Central Valley from the devastating effects of flooding.</t>
  </si>
  <si>
    <t>http://cvfpb.ca.gov/</t>
  </si>
  <si>
    <t>Advises the Director of the Department of Water Resources on matters within the Department's jurisdiction, approves rules and regulations, and monitors and reports on the construction and operation of the State Water Project.</t>
  </si>
  <si>
    <t>https://cwc.ca.gov/Pages/Home.aspx</t>
  </si>
  <si>
    <t>Support the California Water Action Plan and its call for a safe and reliable supply of water to support the state's economy, environment, and quality of life.</t>
  </si>
  <si>
    <t>https://cwc.ca.gov/Pages/PublicBenefits1.aspx</t>
  </si>
  <si>
    <t>Protect the interests and rights of the State of California, its agencies and citizens, in the water and power resources of the Colorado River System.</t>
  </si>
  <si>
    <t>http://www.crb.ca.gov/</t>
  </si>
  <si>
    <t>Accounting of water uses in the Upper Basin</t>
  </si>
  <si>
    <t>http://www.crb.ca.gov/programs/water%20use%20and%20accounting.html</t>
  </si>
  <si>
    <t>Accounting related to meeting the 1944 Water Treaty with Mexico.</t>
  </si>
  <si>
    <t>http://www.crb.ca.gov/programs/water-treaty-mexico.html</t>
  </si>
  <si>
    <t>Maintain water uses within its basic mainstream apportionment.</t>
  </si>
  <si>
    <t>http://www.crb.ca.gov/programs/californias-4-4-plan.html</t>
  </si>
  <si>
    <t>Implement measures that enhance and improve the water quality of the Colorado River System for use in the United States and Mexico.</t>
  </si>
  <si>
    <t>http://www.crb.ca.gov/programs/colorado-river-basin-salinity-control.html</t>
  </si>
  <si>
    <t>Identify current and future imbalances in water supply and demand in the Basin through 2060, and to provide a series of potential adaptive and mitigation strategies to address supply imbalances.</t>
  </si>
  <si>
    <t>http://www.crb.ca.gov/programs/colorado-river-basin-study.html</t>
  </si>
  <si>
    <t>Effects of dam operations on downstream resources would be continually monitored and assessed.</t>
  </si>
  <si>
    <t>http://www.crb.ca.gov/programs/glen-canyon-dam-adapt-mgmt.html</t>
  </si>
  <si>
    <t>Cooperative effort among the Lower Basin States of Arizona, California, and Nevada, several federal agencies and other to balance the use of the Colorado River water resources with the conservation of native species and their habitats.</t>
  </si>
  <si>
    <t>http://www.crb.ca.gov/programs/lower-colorado-multispecies-conservation.html</t>
  </si>
  <si>
    <t>Supply water for domestic, municipal, industrial, and recreational purposes.</t>
  </si>
  <si>
    <t>http://www.crb.ca.gov/programs/lower-colorado-water-supply.html</t>
  </si>
  <si>
    <t>Groundwater Exchange</t>
  </si>
  <si>
    <t>Best Available Maps</t>
  </si>
  <si>
    <t>Water Management Planning Tool</t>
  </si>
  <si>
    <t>Groundwater Information Center Interactive Map Application</t>
  </si>
  <si>
    <t>Flood Emergency Response Information Exchange</t>
  </si>
  <si>
    <t>p12</t>
  </si>
  <si>
    <t>SGMA Groundwater Management Portal</t>
  </si>
  <si>
    <t>p13</t>
  </si>
  <si>
    <t>DOC Maps: California Geological Survey</t>
  </si>
  <si>
    <t>p14</t>
  </si>
  <si>
    <t>Water Use SB 1281 Data and Reports</t>
  </si>
  <si>
    <t>p15</t>
  </si>
  <si>
    <t>Biogeographic Information and Observation System</t>
  </si>
  <si>
    <t>p16</t>
  </si>
  <si>
    <t>Geographic Information Systems (GIS) Services</t>
  </si>
  <si>
    <t>p17</t>
  </si>
  <si>
    <t>p18</t>
  </si>
  <si>
    <t>p19</t>
  </si>
  <si>
    <t>Regulated Site Portal</t>
  </si>
  <si>
    <t>p20</t>
  </si>
  <si>
    <t>Well Inventory Database</t>
  </si>
  <si>
    <t>p21</t>
  </si>
  <si>
    <t>p22</t>
  </si>
  <si>
    <t>EnvirStor</t>
  </si>
  <si>
    <t>p23</t>
  </si>
  <si>
    <t>CalEnviroScreen</t>
  </si>
  <si>
    <t>p24</t>
  </si>
  <si>
    <t>p25</t>
  </si>
  <si>
    <t>p26</t>
  </si>
  <si>
    <t>Stormwater Multiple Application and Report Tracking System</t>
  </si>
  <si>
    <t>p27</t>
  </si>
  <si>
    <t>p28</t>
  </si>
  <si>
    <t>Drinking Water Information Clearinghouse</t>
  </si>
  <si>
    <t>p29</t>
  </si>
  <si>
    <t>Impaired Water Bodies</t>
  </si>
  <si>
    <t>p30</t>
  </si>
  <si>
    <t xml:space="preserve">Public Water System Service Area Boundary Tool </t>
  </si>
  <si>
    <t>p31</t>
  </si>
  <si>
    <t>Data Map Services</t>
  </si>
  <si>
    <t>p32</t>
  </si>
  <si>
    <t>Water Transfers Program</t>
  </si>
  <si>
    <t>p33</t>
  </si>
  <si>
    <t>Water Data Library</t>
  </si>
  <si>
    <t>p34</t>
  </si>
  <si>
    <t>p35</t>
  </si>
  <si>
    <t>My Water Quality</t>
  </si>
  <si>
    <t>p36</t>
  </si>
  <si>
    <t>GAMA OnLine Tools</t>
  </si>
  <si>
    <t>p37</t>
  </si>
  <si>
    <t>Government Operations Agency</t>
  </si>
  <si>
    <t>Office of Environmental Health Hazard Assessment</t>
  </si>
  <si>
    <t>Drinking Water Program</t>
  </si>
  <si>
    <t>California Water Quality Monitoring Council</t>
  </si>
  <si>
    <t>GAMA</t>
  </si>
  <si>
    <t>nMix</t>
  </si>
  <si>
    <t>Energy Commission</t>
  </si>
  <si>
    <t>Integrated Water Quality System Project</t>
  </si>
  <si>
    <t>Natural Resources Agency Open Data</t>
  </si>
  <si>
    <t>Conservation Corps</t>
  </si>
  <si>
    <t>Coastal Conservancy</t>
  </si>
  <si>
    <t>Water Commission</t>
  </si>
  <si>
    <t>CA Open Data Portal</t>
  </si>
  <si>
    <t>CA Water Library</t>
  </si>
  <si>
    <t>CA Data Exchange Center</t>
  </si>
  <si>
    <t>CA Irrigation Management Information System</t>
  </si>
  <si>
    <t>CA Statewide Groundwater Elevation Monitoring (CASGEM)</t>
  </si>
  <si>
    <t>Electricity Data, Facts, and Statistics</t>
  </si>
  <si>
    <t>CA Renewable Energy Statistics and Data</t>
  </si>
  <si>
    <t>CA Environmental Data Exchange Network</t>
  </si>
  <si>
    <t>CA 4.4 Plan</t>
  </si>
  <si>
    <t>n62</t>
  </si>
  <si>
    <t>Protect and enhance the health of Californians and our state’s environment through scientific evaluations that inform, support and guide regulatory and other actions.</t>
  </si>
  <si>
    <t>https://oehha.ca.gov/</t>
  </si>
  <si>
    <t>n63</t>
  </si>
  <si>
    <t>Water Rights Programs</t>
  </si>
  <si>
    <t>https://www.waterboards.ca.gov/waterrights/</t>
  </si>
  <si>
    <t>Establish and manage water rights</t>
  </si>
  <si>
    <t>n64</t>
  </si>
  <si>
    <t>Regulates public drinking water systems</t>
  </si>
  <si>
    <t>https://www.waterboards.ca.gov/drinking_water/programs/</t>
  </si>
  <si>
    <t>n65</t>
  </si>
  <si>
    <t>Comprehensive groundwater quality monitoring program</t>
  </si>
  <si>
    <t>https://www.waterboards.ca.gov/water_issues/programs/gama/about.html</t>
  </si>
  <si>
    <t>Agriculture</t>
  </si>
  <si>
    <t>Regulates discharges from irrigated agricultural lands to prevent agricultural discharges from impairing water quality.</t>
  </si>
  <si>
    <t>https://www.waterboards.ca.gov/water_issues/programs/agriculture/</t>
  </si>
  <si>
    <t>Nonpoint Source Program</t>
  </si>
  <si>
    <t>Comprehensive portal to access all programs with a groundwater component</t>
  </si>
  <si>
    <t>https://www.waterboards.ca.gov/water_issues/programs/groundwater/</t>
  </si>
  <si>
    <t>Office of Information Management and Analysis</t>
  </si>
  <si>
    <t>Collaborate monitoring efforts, accurately analyze data, make our data easily accessible, and create visualizations and reports that make data understandable across all audiences.</t>
  </si>
  <si>
    <t>https://www.waterboards.ca.gov/resources/oima/</t>
  </si>
  <si>
    <t>Assess data and report on the quality of surface waters throughout the state.</t>
  </si>
  <si>
    <t>https://www.waterboards.ca.gov/water_issues/programs/water_quality_assessment/#impaired</t>
  </si>
  <si>
    <t>n66</t>
  </si>
  <si>
    <t>n67</t>
  </si>
  <si>
    <t>n68</t>
  </si>
  <si>
    <t>n69</t>
  </si>
  <si>
    <t>Environmental Services Program</t>
  </si>
  <si>
    <t>Engineering &amp; Construction Program</t>
  </si>
  <si>
    <t>Flood Management Program</t>
  </si>
  <si>
    <t>Groundwater Management Program</t>
  </si>
  <si>
    <t>California Water Plan</t>
  </si>
  <si>
    <t>The State's strategic plan for managing and developing water resources provides a collaborative planning framework for elected officials, agencies, tribes, water and resource managers, businesses, academia, stakeholders, and the public to develop findings and recommendations and make informed decisions for our water future.</t>
  </si>
  <si>
    <t>https://water.ca.gov/Programs/California-Water-Plan</t>
  </si>
  <si>
    <t>Bay Delta</t>
  </si>
  <si>
    <t>Ensures water supply reliability and environmental needs are equally met for California.</t>
  </si>
  <si>
    <t>https://water.ca.gov/Programs/Bay-Delta</t>
  </si>
  <si>
    <t>State Water Project Program</t>
  </si>
  <si>
    <t>https://water.ca.gov/Programs/State-Water-Project</t>
  </si>
  <si>
    <t>Water Use &amp; Efficiency</t>
  </si>
  <si>
    <t>Provides assistance for improving water use efficiency and developing and meeting water use requirements</t>
  </si>
  <si>
    <t>https://water.ca.gov/Programs/Water-Use-And-Efficiency</t>
  </si>
  <si>
    <t>n70</t>
  </si>
  <si>
    <t>n71</t>
  </si>
  <si>
    <t>CA Geological Survey</t>
  </si>
  <si>
    <t>https://www.wildlife.ca.gov/Conservation/Watersheds</t>
  </si>
  <si>
    <t>https://wcb.ca.gov/</t>
  </si>
  <si>
    <t>n72</t>
  </si>
  <si>
    <t>n73</t>
  </si>
  <si>
    <t>Conservation Program</t>
  </si>
  <si>
    <t>Improving conservation and efficiency of water resources</t>
  </si>
  <si>
    <t>https://www.waterboards.ca.gov/water_issues/programs/conservation_portal/</t>
  </si>
  <si>
    <t>Water Conservation and Production Reports</t>
  </si>
  <si>
    <t>Surface Water Database (SURF)</t>
  </si>
  <si>
    <t>https://www.cdpr.ca.gov/docs/emon/surfwtr/surfcont.htm</t>
  </si>
  <si>
    <t>https://www.cdpr.ca.gov/docs/emon/grndwtr/well_inventory_database/index.htm</t>
  </si>
  <si>
    <t>responsible for administering state operations including procurement, information technology, and human resources. The mission of GovOps is to improve management and accountability of government programs, increase efficiency, and promote better and more coordinated operational decisions.</t>
  </si>
  <si>
    <t>https://www.govops.ca.gov/</t>
  </si>
  <si>
    <t>https://data.ca.gov/</t>
  </si>
  <si>
    <t>High</t>
  </si>
  <si>
    <t>Catalog</t>
  </si>
  <si>
    <t>Individual Export; Batch Export; Web Services</t>
  </si>
  <si>
    <t>csv; excel; kml; json; pdf; shapefile; txt; zip</t>
  </si>
  <si>
    <t>Descriptive</t>
  </si>
  <si>
    <t>Batch Export</t>
  </si>
  <si>
    <t>excel</t>
  </si>
  <si>
    <t>csv; kmz; zip</t>
  </si>
  <si>
    <t>https://www.waterboards.ca.gov/ciwqs/publicreports.html</t>
  </si>
  <si>
    <t>Individual Export; Batch Export</t>
  </si>
  <si>
    <t>csv</t>
  </si>
  <si>
    <t>Daily or Higher</t>
  </si>
  <si>
    <t>https://siteportal.calepa.ca.gov/nsite/</t>
  </si>
  <si>
    <t>Medium</t>
  </si>
  <si>
    <t>Map</t>
  </si>
  <si>
    <t>https://www.envirostor.dtsc.ca.gov/public/</t>
  </si>
  <si>
    <t>excel; html; txt</t>
  </si>
  <si>
    <t>https://oehha.ca.gov/calenviroscreen/maps-data/download-data</t>
  </si>
  <si>
    <t>Individual Export; Web Services</t>
  </si>
  <si>
    <t>excel; shapefile</t>
  </si>
  <si>
    <t>Current Only</t>
  </si>
  <si>
    <t>Electronic Water Rights Information Management System (EWRIMS)</t>
  </si>
  <si>
    <t>https://www.waterboards.ca.gov/waterrights/water_issues/programs/ewrims/index.html#db</t>
  </si>
  <si>
    <t>https://smarts.waterboards.ca.gov/smarts/faces/SwSmartsLogin.xhtml</t>
  </si>
  <si>
    <t>csv; shapefile</t>
  </si>
  <si>
    <t>https://sdwis.waterboards.ca.gov/PDWW/</t>
  </si>
  <si>
    <t>https://drinc.ca.gov/drinc/DWPRepository.aspx</t>
  </si>
  <si>
    <t>https://www.waterboards.ca.gov/water_issues/programs/tmdl/integrated2012.shtml</t>
  </si>
  <si>
    <t>http://cehtp.org/water/</t>
  </si>
  <si>
    <t>excel; csv; pdf</t>
  </si>
  <si>
    <t>Registration Required</t>
  </si>
  <si>
    <t>Individual Export; Full Export</t>
  </si>
  <si>
    <t>kml; csv; shapefile; geojson</t>
  </si>
  <si>
    <t>in data</t>
  </si>
  <si>
    <t>http://gispublic.waterboards.ca.gov/arcgis/rest/services</t>
  </si>
  <si>
    <t>https://www.waterboards.ca.gov/waterrights/water_issues/programs/water_transfers/</t>
  </si>
  <si>
    <t>http://wdl.water.ca.gov/waterdatalibrary/index.cfm</t>
  </si>
  <si>
    <t>https://ceden.waterboards.ca.gov/AdvancedQueryTool</t>
  </si>
  <si>
    <t>https://mywaterquality.ca.gov/index.html</t>
  </si>
  <si>
    <t>https://www.waterboards.ca.gov/water_issues/programs/gama/online_tools.html</t>
  </si>
  <si>
    <t>https://www.waterboards.ca.gov/water_issues/programs/conservation_portal/conservation_reporting.html#monthly_archive</t>
  </si>
  <si>
    <t>Web Services</t>
  </si>
  <si>
    <t>Shapefile</t>
  </si>
  <si>
    <t>Catalog; Map</t>
  </si>
  <si>
    <t>csv; excel; html; txt</t>
  </si>
  <si>
    <t>Website; Map</t>
  </si>
  <si>
    <t>Individual Export; Batch Export; Link to Source</t>
  </si>
  <si>
    <t>csv; png; pdf; txt; excel</t>
  </si>
  <si>
    <t>Website; Catalog; Map</t>
  </si>
  <si>
    <t>excel; pdf</t>
  </si>
  <si>
    <t>Yes; No</t>
  </si>
  <si>
    <t>https://data.cnra.ca.gov/</t>
  </si>
  <si>
    <t>https://cawaterlibrary.net/</t>
  </si>
  <si>
    <t>https://groundwaterexchange.org/</t>
  </si>
  <si>
    <t>http://gis.bam.water.ca.gov/bam/</t>
  </si>
  <si>
    <t>https://cdec.water.ca.gov/</t>
  </si>
  <si>
    <t>csv; excel; kml; json; html; pdf; zip</t>
  </si>
  <si>
    <t>None</t>
  </si>
  <si>
    <t>html; png</t>
  </si>
  <si>
    <t>Administrative; Descriptive; Structural</t>
  </si>
  <si>
    <t>https://cimis.water.ca.gov/</t>
  </si>
  <si>
    <t>https://gis.water.ca.gov/app/boundaries/</t>
  </si>
  <si>
    <t>https://gis.water.ca.gov/app/gicima/</t>
  </si>
  <si>
    <t>http://ferix.water.ca.gov/webapp/home.jsp</t>
  </si>
  <si>
    <t>https://water.ca.gov/Programs/Groundwater-Management/Groundwater-Elevation-Monitoring--CASGEM</t>
  </si>
  <si>
    <t>https://sgma.water.ca.gov/portal/#intro</t>
  </si>
  <si>
    <t>csv; html; json</t>
  </si>
  <si>
    <t>json</t>
  </si>
  <si>
    <t>Individual Export; Link to Source</t>
  </si>
  <si>
    <t>html; pdf</t>
  </si>
  <si>
    <t>Individual Export; Copy and Paste</t>
  </si>
  <si>
    <t>png; html</t>
  </si>
  <si>
    <t>pdf; shapefile</t>
  </si>
  <si>
    <t>https://maps.conservation.ca.gov/cgs/#datalist</t>
  </si>
  <si>
    <t>http://www.conservation.ca.gov/dog/SB%201281/Pages/SB_1281DataAndReports.aspx</t>
  </si>
  <si>
    <t>https://map.dfg.ca.gov/bios/</t>
  </si>
  <si>
    <t>https://www.wildlife.ca.gov/Data/GIS</t>
  </si>
  <si>
    <t>http://www.energy.ca.gov/almanac/electricity_data/</t>
  </si>
  <si>
    <t>http://www.energy.ca.gov/almanac/renewables_data/</t>
  </si>
  <si>
    <t>shapefile; zip</t>
  </si>
  <si>
    <t>csv; pdf; txt</t>
  </si>
  <si>
    <t>shapefile; html</t>
  </si>
  <si>
    <t>Copy and Paste; Individual Export</t>
  </si>
  <si>
    <t>csv; excel; html</t>
  </si>
  <si>
    <t>NRA</t>
  </si>
  <si>
    <t>NRA-DWR</t>
  </si>
  <si>
    <t>NRA-DOGGR</t>
  </si>
  <si>
    <t>Hub</t>
  </si>
  <si>
    <t>NRA-Flood Management</t>
  </si>
  <si>
    <t>NRA-Groundwater Management</t>
  </si>
  <si>
    <t>NRA-Renewable Energy</t>
  </si>
  <si>
    <t>NRA-CGS</t>
  </si>
  <si>
    <t>NRA-Ecosystems Conservation</t>
  </si>
  <si>
    <t>NRA-Energy Commission</t>
  </si>
  <si>
    <t>GOA</t>
  </si>
  <si>
    <t>NA</t>
  </si>
  <si>
    <t>DWR offices, legal boundaries, dams, aqueducts, water planning areas, levee centerlines etc</t>
  </si>
  <si>
    <t>Hydrologic network, sediment basins, groundwater basins</t>
  </si>
  <si>
    <t>Benthos, aquatic organism tissue, toxicity, chemistry, water quality data, groundwater quality</t>
  </si>
  <si>
    <t>Drinking water quality data; pesticides database</t>
  </si>
  <si>
    <t>Drinking water quality data</t>
  </si>
  <si>
    <t>Groundwater elevation</t>
  </si>
  <si>
    <t>Flow targets</t>
  </si>
  <si>
    <t>CIMIS Weather Station Data</t>
  </si>
  <si>
    <t>Drought Monitor Statistics</t>
  </si>
  <si>
    <t>chemicals found in surface water samples</t>
  </si>
  <si>
    <t>pesticides summary - compliance or detected</t>
  </si>
  <si>
    <t>Violation reports for NPDES, SSO, Smarts</t>
  </si>
  <si>
    <t>location of regulated sites</t>
  </si>
  <si>
    <t>Violations and compliance</t>
  </si>
  <si>
    <t>toxic site clean up location, status, description</t>
  </si>
  <si>
    <t>Contaminant and percent of violations for drinking water</t>
  </si>
  <si>
    <t>Imparied water bodies - TMDL 303 List</t>
  </si>
  <si>
    <t>groundwater cleanup sites</t>
  </si>
  <si>
    <t>public water rights database</t>
  </si>
  <si>
    <t>Water rights</t>
  </si>
  <si>
    <t>location of diversions; fully appropriated streams</t>
  </si>
  <si>
    <t>hydrologic units; watersheds; hydrography</t>
  </si>
  <si>
    <t>facilities and sites</t>
  </si>
  <si>
    <t>Stormwater reports by use group</t>
  </si>
  <si>
    <t>Stormwater compliance</t>
  </si>
  <si>
    <t>consumer confidence reports and violations/enforcement</t>
  </si>
  <si>
    <t>utility informatin</t>
  </si>
  <si>
    <t>Monitoring results</t>
  </si>
  <si>
    <t>location of public water systems</t>
  </si>
  <si>
    <t>conservation reports of small suppliers; monthly water use</t>
  </si>
  <si>
    <t>water quality</t>
  </si>
  <si>
    <t>303d listed water</t>
  </si>
  <si>
    <t>303d listed waters; stream lines</t>
  </si>
  <si>
    <t>drinking water boundaries</t>
  </si>
  <si>
    <t>drinking water quality</t>
  </si>
  <si>
    <t>Drought data</t>
  </si>
  <si>
    <t>groundwater GSA, facilities, utilities, drinking water service areasetc.</t>
  </si>
  <si>
    <t>hydrography</t>
  </si>
  <si>
    <t>cyano bacteria, nitrate impacted wells, imparied waters</t>
  </si>
  <si>
    <t>water transfers</t>
  </si>
  <si>
    <t>groundwater level</t>
  </si>
  <si>
    <t>streamflow and stage</t>
  </si>
  <si>
    <t>water quality parameters</t>
  </si>
  <si>
    <t>harmful algal blooms; toxicity indicators</t>
  </si>
  <si>
    <t>Groundwater levels</t>
  </si>
  <si>
    <t>Chemical data</t>
  </si>
  <si>
    <t>well location and management areas</t>
  </si>
  <si>
    <t>water conservation data; urban water supplier</t>
  </si>
  <si>
    <t>Water quality data; harmful algal blooms</t>
  </si>
  <si>
    <t>Water Quality Regulated</t>
  </si>
  <si>
    <t>Well completion reports; levee lines</t>
  </si>
  <si>
    <t>Public Water SystemOperations and Production</t>
  </si>
  <si>
    <t>Evapotranspiration maps</t>
  </si>
  <si>
    <t>Crop Mapping</t>
  </si>
  <si>
    <t>National Hydrography Dataset</t>
  </si>
  <si>
    <t>Hydroelectric Energy</t>
  </si>
  <si>
    <t>Integrated flow model</t>
  </si>
  <si>
    <t>Protected areas, conservation management</t>
  </si>
  <si>
    <t>Adaptive managtement plans</t>
  </si>
  <si>
    <t>Water law, water rights, appropriation reports</t>
  </si>
  <si>
    <t>nitrate in drinking water, affordability, gw communities, drinking water treatment and distribution…</t>
  </si>
  <si>
    <t>Groundwater quality, surface water quality, ecosystem health</t>
  </si>
  <si>
    <t>Saltwater intrusion, groundwater levels, etc</t>
  </si>
  <si>
    <t>Flood and drought management and conditions</t>
  </si>
  <si>
    <t>snow survey and water supply forecasting</t>
  </si>
  <si>
    <t>hyfopower generation; hydropower and cliamte change</t>
  </si>
  <si>
    <t>crop irrigation demand</t>
  </si>
  <si>
    <t>climate change - temperature</t>
  </si>
  <si>
    <t>groundwater elevation monitoring</t>
  </si>
  <si>
    <t>well locations and information</t>
  </si>
  <si>
    <t>groundwater recharge assessment tool</t>
  </si>
  <si>
    <t>Groundwater quality results mapping tool</t>
  </si>
  <si>
    <t>streamflow availability for Groundawter recharge</t>
  </si>
  <si>
    <t>water management planning tool</t>
  </si>
  <si>
    <t>Leveel locations</t>
  </si>
  <si>
    <t>river; stream centerline</t>
  </si>
  <si>
    <t>floodplain boundaries</t>
  </si>
  <si>
    <t>snow gages</t>
  </si>
  <si>
    <t>river conditions</t>
  </si>
  <si>
    <t>precipitation</t>
  </si>
  <si>
    <t>surface water quality</t>
  </si>
  <si>
    <t>reservoir levels; inflow; outflow; volume; evaporation</t>
  </si>
  <si>
    <t>humidity, wind, temperature</t>
  </si>
  <si>
    <t>evapotranspiration</t>
  </si>
  <si>
    <t>soil temperature</t>
  </si>
  <si>
    <t>groundwater basin areas, flood planning areas, legal delta boundary</t>
  </si>
  <si>
    <t>river basins</t>
  </si>
  <si>
    <t>adjudicated groundwater bains, groundwater basin prioritization, groundwater management plan, well location</t>
  </si>
  <si>
    <t>well change; well depth; well elevation</t>
  </si>
  <si>
    <t>snowpack; SWE</t>
  </si>
  <si>
    <t>Temperature</t>
  </si>
  <si>
    <t>levee locations; floodwall line; structures; channel reports; canals and aqueducts</t>
  </si>
  <si>
    <t>rivers; watersheds</t>
  </si>
  <si>
    <t>flood inundation maps</t>
  </si>
  <si>
    <t>groundwater monitoring and management plans</t>
  </si>
  <si>
    <t>groundwater elevation data</t>
  </si>
  <si>
    <t>Location of wells, monitoring area boundaries</t>
  </si>
  <si>
    <t>Basin boundaries; adjudicated basins</t>
  </si>
  <si>
    <t>court judgments; basin modification requests</t>
  </si>
  <si>
    <t>alternatives, impact statements</t>
  </si>
  <si>
    <t>Geological maps for alluvial fan floodplain management</t>
  </si>
  <si>
    <t>water production, injection, and allocation</t>
  </si>
  <si>
    <t>HUC8 Watersheds; NHD streamlines; riparian and marsh boundaries</t>
  </si>
  <si>
    <t>Stream gage locations</t>
  </si>
  <si>
    <t>streamflow; stage</t>
  </si>
  <si>
    <t>riparian vegetation; lakes; streams; marshes; wetlands</t>
  </si>
  <si>
    <t>electricity generation by utility type and company</t>
  </si>
  <si>
    <t>annual small hydro-electric production</t>
  </si>
  <si>
    <t>list of hydro plants</t>
  </si>
  <si>
    <t>Department of Pesticide Regulation</t>
  </si>
  <si>
    <t>excel; kml</t>
  </si>
  <si>
    <t>xml</t>
  </si>
  <si>
    <t>Some</t>
  </si>
  <si>
    <t>entityIDAbove</t>
  </si>
  <si>
    <t>Notes</t>
  </si>
  <si>
    <t>CalEPA-Env Monitoring Branch</t>
  </si>
  <si>
    <t>CalEPA-SWRCB</t>
  </si>
  <si>
    <t>CalEPA</t>
  </si>
  <si>
    <t>CalEPA-Toxic Substances</t>
  </si>
  <si>
    <t>CalEPA-Env Health Hazards</t>
  </si>
  <si>
    <t>CalEPA-Water Rights</t>
  </si>
  <si>
    <t>CalEPA-Stormwater</t>
  </si>
  <si>
    <t>CalEPA-Drinking Water</t>
  </si>
  <si>
    <t>CalEPA-Water Quality Assessments</t>
  </si>
  <si>
    <t>CalEPA,NRA</t>
  </si>
  <si>
    <t>CalEPA-GAMA</t>
  </si>
  <si>
    <t>CalEPA-Conservation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</si>
</sst>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2"/>
      <color theme="1"/>
      <name val="Calibri"/>
      <family val="2"/>
      <scheme val="minor"/>
    </font>
    <font>
      <b/>
      <sz val="12"/>
      <color theme="1"/>
      <name val="Calibri"/>
      <family val="2"/>
      <scheme val="minor"/>
    </font>
    <font>
      <sz val="10"/>
      <color rgb="FF000000"/>
      <name val="Arial"/>
      <family val="2"/>
    </font>
    <font>
      <u/>
      <sz val="12"/>
      <color theme="10"/>
      <name val="Calibri"/>
      <family val="2"/>
      <scheme val="minor"/>
    </font>
    <font>
      <b/>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
    <border>
      <left/>
      <right/>
      <top/>
      <bottom/>
      <diagonal/>
    </border>
    <border>
      <left/>
      <right/>
      <top/>
      <bottom style="thin">
        <color auto="1"/>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0" fillId="2" borderId="0" xfId="0" applyFill="1"/>
    <xf numFmtId="0" fontId="1" fillId="2" borderId="1" xfId="0" applyFont="1" applyFill="1" applyBorder="1" applyAlignment="1">
      <alignment horizontal="center"/>
    </xf>
    <xf numFmtId="0" fontId="1" fillId="2" borderId="0" xfId="0" applyFont="1" applyFill="1"/>
    <xf numFmtId="0" fontId="0" fillId="2" borderId="0" xfId="0" applyFill="1" applyAlignment="1">
      <alignment horizontal="center"/>
    </xf>
    <xf numFmtId="0" fontId="0" fillId="3" borderId="0" xfId="0" applyFill="1" applyAlignment="1">
      <alignment horizontal="center"/>
    </xf>
    <xf numFmtId="0" fontId="1" fillId="2" borderId="1" xfId="0" applyFont="1" applyFill="1" applyBorder="1"/>
    <xf numFmtId="0" fontId="3" fillId="2" borderId="0" xfId="1" applyFill="1"/>
    <xf numFmtId="0" fontId="0" fillId="3" borderId="0" xfId="0" applyFill="1"/>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4" fillId="2" borderId="0" xfId="0" applyFont="1" applyFill="1"/>
    <xf numFmtId="0" fontId="2" fillId="2" borderId="0" xfId="0" applyFont="1" applyFill="1"/>
    <xf numFmtId="0" fontId="1" fillId="2" borderId="0" xfId="0" applyFont="1" applyFill="1" applyAlignment="1">
      <alignment horizontal="center"/>
    </xf>
    <xf numFmtId="0" fontId="3" fillId="0" borderId="0" xfId="1"/>
    <xf numFmtId="0" fontId="0" fillId="2" borderId="0" xfId="0" applyFill="1" applyAlignment="1">
      <alignment horizontal="left"/>
    </xf>
  </cellXfs>
  <cellStyles count="2">
    <cellStyle name="Hyperlink"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waterboards.ca.gov/water_issues/programs/water_quality_assessment/" TargetMode="External"/><Relationship Id="rId13" Type="http://schemas.openxmlformats.org/officeDocument/2006/relationships/hyperlink" Target="https://ccc.ca.gov/" TargetMode="External"/><Relationship Id="rId18" Type="http://schemas.openxmlformats.org/officeDocument/2006/relationships/hyperlink" Target="https://wcb.ca.gov/" TargetMode="External"/><Relationship Id="rId26" Type="http://schemas.openxmlformats.org/officeDocument/2006/relationships/printerSettings" Target="../printerSettings/printerSettings1.bin"/><Relationship Id="rId3" Type="http://schemas.openxmlformats.org/officeDocument/2006/relationships/hyperlink" Target="https://www.waterboards.ca.gov/drinking_water/programs/" TargetMode="External"/><Relationship Id="rId21" Type="http://schemas.openxmlformats.org/officeDocument/2006/relationships/hyperlink" Target="https://www.cdpr.ca.gov/" TargetMode="External"/><Relationship Id="rId7" Type="http://schemas.openxmlformats.org/officeDocument/2006/relationships/hyperlink" Target="https://www.waterboards.ca.gov/resources/oima/" TargetMode="External"/><Relationship Id="rId12" Type="http://schemas.openxmlformats.org/officeDocument/2006/relationships/hyperlink" Target="https://water.ca.gov/Programs/Water-Use-And-Efficiency" TargetMode="External"/><Relationship Id="rId17" Type="http://schemas.openxmlformats.org/officeDocument/2006/relationships/hyperlink" Target="http://www.energy.ca.gov/" TargetMode="External"/><Relationship Id="rId25" Type="http://schemas.openxmlformats.org/officeDocument/2006/relationships/hyperlink" Target="https://www.govops.ca.gov/" TargetMode="External"/><Relationship Id="rId2" Type="http://schemas.openxmlformats.org/officeDocument/2006/relationships/hyperlink" Target="https://www.waterboards.ca.gov/waterrights/" TargetMode="External"/><Relationship Id="rId16" Type="http://schemas.openxmlformats.org/officeDocument/2006/relationships/hyperlink" Target="https://www.wildlife.ca.gov/Conservation/Watersheds" TargetMode="External"/><Relationship Id="rId20" Type="http://schemas.openxmlformats.org/officeDocument/2006/relationships/hyperlink" Target="https://www.waterboards.ca.gov/water_issues/programs/conservation_portal/" TargetMode="External"/><Relationship Id="rId1" Type="http://schemas.openxmlformats.org/officeDocument/2006/relationships/hyperlink" Target="https://oehha.ca.gov/" TargetMode="External"/><Relationship Id="rId6" Type="http://schemas.openxmlformats.org/officeDocument/2006/relationships/hyperlink" Target="https://www.waterboards.ca.gov/water_issues/programs/groundwater/" TargetMode="External"/><Relationship Id="rId11" Type="http://schemas.openxmlformats.org/officeDocument/2006/relationships/hyperlink" Target="https://water.ca.gov/Programs/State-Water-Project" TargetMode="External"/><Relationship Id="rId24" Type="http://schemas.openxmlformats.org/officeDocument/2006/relationships/hyperlink" Target="https://www.waterboards.ca.gov/water_issues/programs/cwa401/" TargetMode="External"/><Relationship Id="rId5" Type="http://schemas.openxmlformats.org/officeDocument/2006/relationships/hyperlink" Target="https://www.waterboards.ca.gov/water_issues/programs/agriculture/" TargetMode="External"/><Relationship Id="rId15" Type="http://schemas.openxmlformats.org/officeDocument/2006/relationships/hyperlink" Target="https://www.wildlife.ca.gov/" TargetMode="External"/><Relationship Id="rId23" Type="http://schemas.openxmlformats.org/officeDocument/2006/relationships/hyperlink" Target="https://www.waterboards.ca.gov/" TargetMode="External"/><Relationship Id="rId10" Type="http://schemas.openxmlformats.org/officeDocument/2006/relationships/hyperlink" Target="https://water.ca.gov/Programs/Bay-Delta" TargetMode="External"/><Relationship Id="rId19" Type="http://schemas.openxmlformats.org/officeDocument/2006/relationships/hyperlink" Target="http://www.crb.ca.gov/" TargetMode="External"/><Relationship Id="rId4" Type="http://schemas.openxmlformats.org/officeDocument/2006/relationships/hyperlink" Target="https://www.waterboards.ca.gov/water_issues/programs/gama/about.html" TargetMode="External"/><Relationship Id="rId9" Type="http://schemas.openxmlformats.org/officeDocument/2006/relationships/hyperlink" Target="https://water.ca.gov/Programs/California-Water-Plan" TargetMode="External"/><Relationship Id="rId14" Type="http://schemas.openxmlformats.org/officeDocument/2006/relationships/hyperlink" Target="http://www.slc.ca.gov/" TargetMode="External"/><Relationship Id="rId22" Type="http://schemas.openxmlformats.org/officeDocument/2006/relationships/hyperlink" Target="https://www.dtsc.ca.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waterboards.ca.gov/waterrights/water_issues/programs/ewrims/index.html" TargetMode="External"/><Relationship Id="rId13" Type="http://schemas.openxmlformats.org/officeDocument/2006/relationships/hyperlink" Target="http://cehtp.org/water/" TargetMode="External"/><Relationship Id="rId18" Type="http://schemas.openxmlformats.org/officeDocument/2006/relationships/hyperlink" Target="http://ferix.water.ca.gov/webapp/home.jsp" TargetMode="External"/><Relationship Id="rId26" Type="http://schemas.openxmlformats.org/officeDocument/2006/relationships/hyperlink" Target="https://mywaterquality.ca.gov/index.html" TargetMode="External"/><Relationship Id="rId3" Type="http://schemas.openxmlformats.org/officeDocument/2006/relationships/hyperlink" Target="https://data.ca.gov/" TargetMode="External"/><Relationship Id="rId21" Type="http://schemas.openxmlformats.org/officeDocument/2006/relationships/hyperlink" Target="http://www.conservation.ca.gov/dog/SB%201281/Pages/SB_1281DataAndReports.aspx" TargetMode="External"/><Relationship Id="rId7" Type="http://schemas.openxmlformats.org/officeDocument/2006/relationships/hyperlink" Target="https://oehha.ca.gov/calenviroscreen/maps-data/download-data" TargetMode="External"/><Relationship Id="rId12" Type="http://schemas.openxmlformats.org/officeDocument/2006/relationships/hyperlink" Target="https://www.waterboards.ca.gov/water_issues/programs/tmdl/integrated2012.shtml" TargetMode="External"/><Relationship Id="rId17" Type="http://schemas.openxmlformats.org/officeDocument/2006/relationships/hyperlink" Target="https://gis.water.ca.gov/app/gicima/" TargetMode="External"/><Relationship Id="rId25" Type="http://schemas.openxmlformats.org/officeDocument/2006/relationships/hyperlink" Target="http://www.energy.ca.gov/almanac/renewables_data/" TargetMode="External"/><Relationship Id="rId2" Type="http://schemas.openxmlformats.org/officeDocument/2006/relationships/hyperlink" Target="https://www.cdpr.ca.gov/docs/emon/grndwtr/well_inventory_database/index.htm" TargetMode="External"/><Relationship Id="rId16" Type="http://schemas.openxmlformats.org/officeDocument/2006/relationships/hyperlink" Target="https://gis.water.ca.gov/app/boundaries/" TargetMode="External"/><Relationship Id="rId20" Type="http://schemas.openxmlformats.org/officeDocument/2006/relationships/hyperlink" Target="https://maps.conservation.ca.gov/cgs/" TargetMode="External"/><Relationship Id="rId1" Type="http://schemas.openxmlformats.org/officeDocument/2006/relationships/hyperlink" Target="https://www.cdpr.ca.gov/docs/emon/surfwtr/surfcont.htm" TargetMode="External"/><Relationship Id="rId6" Type="http://schemas.openxmlformats.org/officeDocument/2006/relationships/hyperlink" Target="https://www.envirostor.dtsc.ca.gov/public/" TargetMode="External"/><Relationship Id="rId11" Type="http://schemas.openxmlformats.org/officeDocument/2006/relationships/hyperlink" Target="https://drinc.ca.gov/drinc/DWPRepository.aspx" TargetMode="External"/><Relationship Id="rId24" Type="http://schemas.openxmlformats.org/officeDocument/2006/relationships/hyperlink" Target="http://www.energy.ca.gov/almanac/electricity_data/" TargetMode="External"/><Relationship Id="rId5" Type="http://schemas.openxmlformats.org/officeDocument/2006/relationships/hyperlink" Target="https://siteportal.calepa.ca.gov/nsite/" TargetMode="External"/><Relationship Id="rId15" Type="http://schemas.openxmlformats.org/officeDocument/2006/relationships/hyperlink" Target="https://cimis.water.ca.gov/" TargetMode="External"/><Relationship Id="rId23" Type="http://schemas.openxmlformats.org/officeDocument/2006/relationships/hyperlink" Target="https://www.wildlife.ca.gov/Data/GIS" TargetMode="External"/><Relationship Id="rId28" Type="http://schemas.openxmlformats.org/officeDocument/2006/relationships/printerSettings" Target="../printerSettings/printerSettings3.bin"/><Relationship Id="rId10" Type="http://schemas.openxmlformats.org/officeDocument/2006/relationships/hyperlink" Target="https://sdwis.waterboards.ca.gov/PDWW/" TargetMode="External"/><Relationship Id="rId19" Type="http://schemas.openxmlformats.org/officeDocument/2006/relationships/hyperlink" Target="https://sgma.water.ca.gov/portal/" TargetMode="External"/><Relationship Id="rId4" Type="http://schemas.openxmlformats.org/officeDocument/2006/relationships/hyperlink" Target="https://www.waterboards.ca.gov/ciwqs/publicreports.html" TargetMode="External"/><Relationship Id="rId9" Type="http://schemas.openxmlformats.org/officeDocument/2006/relationships/hyperlink" Target="https://smarts.waterboards.ca.gov/smarts/faces/SwSmartsLogin.xhtml" TargetMode="External"/><Relationship Id="rId14" Type="http://schemas.openxmlformats.org/officeDocument/2006/relationships/hyperlink" Target="https://water.ca.gov/Programs/Groundwater-Management/Groundwater-Elevation-Monitoring--CASGEM" TargetMode="External"/><Relationship Id="rId22" Type="http://schemas.openxmlformats.org/officeDocument/2006/relationships/hyperlink" Target="https://map.dfg.ca.gov/bios/" TargetMode="External"/><Relationship Id="rId27" Type="http://schemas.openxmlformats.org/officeDocument/2006/relationships/hyperlink" Target="https://groundwaterexchange.org/"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ata.ca.gov/" TargetMode="External"/><Relationship Id="rId18" Type="http://schemas.openxmlformats.org/officeDocument/2006/relationships/hyperlink" Target="https://siteportal.calepa.ca.gov/nsite/" TargetMode="External"/><Relationship Id="rId26" Type="http://schemas.openxmlformats.org/officeDocument/2006/relationships/hyperlink" Target="https://www.waterboards.ca.gov/waterrights/water_issues/programs/ewrims/index.html" TargetMode="External"/><Relationship Id="rId39" Type="http://schemas.openxmlformats.org/officeDocument/2006/relationships/hyperlink" Target="https://drinc.ca.gov/drinc/DWPRepository.aspx" TargetMode="External"/><Relationship Id="rId21" Type="http://schemas.openxmlformats.org/officeDocument/2006/relationships/hyperlink" Target="https://oehha.ca.gov/calenviroscreen/maps-data/download-data" TargetMode="External"/><Relationship Id="rId34" Type="http://schemas.openxmlformats.org/officeDocument/2006/relationships/hyperlink" Target="http://www.energy.ca.gov/almanac/electricity_data/" TargetMode="External"/><Relationship Id="rId42" Type="http://schemas.openxmlformats.org/officeDocument/2006/relationships/hyperlink" Target="https://www.waterboards.ca.gov/water_issues/programs/tmdl/integrated2012.shtml" TargetMode="External"/><Relationship Id="rId47" Type="http://schemas.openxmlformats.org/officeDocument/2006/relationships/hyperlink" Target="https://www.waterboards.ca.gov/water_issues/programs/gama/online_tools.html" TargetMode="External"/><Relationship Id="rId50" Type="http://schemas.openxmlformats.org/officeDocument/2006/relationships/hyperlink" Target="https://groundwaterexchange.org/" TargetMode="External"/><Relationship Id="rId55" Type="http://schemas.openxmlformats.org/officeDocument/2006/relationships/hyperlink" Target="https://groundwaterexchange.org/" TargetMode="External"/><Relationship Id="rId63" Type="http://schemas.openxmlformats.org/officeDocument/2006/relationships/hyperlink" Target="http://ferix.water.ca.gov/webapp/home.jsp" TargetMode="External"/><Relationship Id="rId68" Type="http://schemas.openxmlformats.org/officeDocument/2006/relationships/hyperlink" Target="https://water.ca.gov/Programs/Groundwater-Management/Groundwater-Elevation-Monitoring--CASGEM" TargetMode="External"/><Relationship Id="rId76" Type="http://schemas.openxmlformats.org/officeDocument/2006/relationships/hyperlink" Target="https://map.dfg.ca.gov/bios/" TargetMode="External"/><Relationship Id="rId7" Type="http://schemas.openxmlformats.org/officeDocument/2006/relationships/hyperlink" Target="https://data.ca.gov/" TargetMode="External"/><Relationship Id="rId71" Type="http://schemas.openxmlformats.org/officeDocument/2006/relationships/hyperlink" Target="https://sgma.water.ca.gov/portal/" TargetMode="External"/><Relationship Id="rId2" Type="http://schemas.openxmlformats.org/officeDocument/2006/relationships/hyperlink" Target="https://data.ca.gov/" TargetMode="External"/><Relationship Id="rId16" Type="http://schemas.openxmlformats.org/officeDocument/2006/relationships/hyperlink" Target="https://www.waterboards.ca.gov/ciwqs/publicreports.html" TargetMode="External"/><Relationship Id="rId29" Type="http://schemas.openxmlformats.org/officeDocument/2006/relationships/hyperlink" Target="https://smarts.waterboards.ca.gov/smarts/faces/SwSmartsLogin.xhtml" TargetMode="External"/><Relationship Id="rId11" Type="http://schemas.openxmlformats.org/officeDocument/2006/relationships/hyperlink" Target="https://data.ca.gov/" TargetMode="External"/><Relationship Id="rId24" Type="http://schemas.openxmlformats.org/officeDocument/2006/relationships/hyperlink" Target="https://www.waterboards.ca.gov/waterrights/water_issues/programs/ewrims/index.html" TargetMode="External"/><Relationship Id="rId32" Type="http://schemas.openxmlformats.org/officeDocument/2006/relationships/hyperlink" Target="https://map.dfg.ca.gov/bios/" TargetMode="External"/><Relationship Id="rId37" Type="http://schemas.openxmlformats.org/officeDocument/2006/relationships/hyperlink" Target="https://sdwis.waterboards.ca.gov/PDWW/" TargetMode="External"/><Relationship Id="rId40" Type="http://schemas.openxmlformats.org/officeDocument/2006/relationships/hyperlink" Target="https://drinc.ca.gov/drinc/DWPRepository.aspx" TargetMode="External"/><Relationship Id="rId45" Type="http://schemas.openxmlformats.org/officeDocument/2006/relationships/hyperlink" Target="http://cehtp.org/water/" TargetMode="External"/><Relationship Id="rId53" Type="http://schemas.openxmlformats.org/officeDocument/2006/relationships/hyperlink" Target="https://groundwaterexchange.org/" TargetMode="External"/><Relationship Id="rId58" Type="http://schemas.openxmlformats.org/officeDocument/2006/relationships/hyperlink" Target="https://cimis.water.ca.gov/" TargetMode="External"/><Relationship Id="rId66" Type="http://schemas.openxmlformats.org/officeDocument/2006/relationships/hyperlink" Target="http://ferix.water.ca.gov/webapp/home.jsp" TargetMode="External"/><Relationship Id="rId74" Type="http://schemas.openxmlformats.org/officeDocument/2006/relationships/hyperlink" Target="https://maps.conservation.ca.gov/cgs/" TargetMode="External"/><Relationship Id="rId79" Type="http://schemas.openxmlformats.org/officeDocument/2006/relationships/hyperlink" Target="http://www.energy.ca.gov/almanac/renewables_data/" TargetMode="External"/><Relationship Id="rId5" Type="http://schemas.openxmlformats.org/officeDocument/2006/relationships/hyperlink" Target="https://data.ca.gov/" TargetMode="External"/><Relationship Id="rId61" Type="http://schemas.openxmlformats.org/officeDocument/2006/relationships/hyperlink" Target="https://gis.water.ca.gov/app/gicima/" TargetMode="External"/><Relationship Id="rId10" Type="http://schemas.openxmlformats.org/officeDocument/2006/relationships/hyperlink" Target="https://data.ca.gov/" TargetMode="External"/><Relationship Id="rId19" Type="http://schemas.openxmlformats.org/officeDocument/2006/relationships/hyperlink" Target="https://www.envirostor.dtsc.ca.gov/public/" TargetMode="External"/><Relationship Id="rId31" Type="http://schemas.openxmlformats.org/officeDocument/2006/relationships/hyperlink" Target="http://ferix.water.ca.gov/webapp/home.jsp" TargetMode="External"/><Relationship Id="rId44" Type="http://schemas.openxmlformats.org/officeDocument/2006/relationships/hyperlink" Target="http://cehtp.org/water/" TargetMode="External"/><Relationship Id="rId52" Type="http://schemas.openxmlformats.org/officeDocument/2006/relationships/hyperlink" Target="https://groundwaterexchange.org/" TargetMode="External"/><Relationship Id="rId60" Type="http://schemas.openxmlformats.org/officeDocument/2006/relationships/hyperlink" Target="https://gis.water.ca.gov/app/boundaries/" TargetMode="External"/><Relationship Id="rId65" Type="http://schemas.openxmlformats.org/officeDocument/2006/relationships/hyperlink" Target="http://ferix.water.ca.gov/webapp/home.jsp" TargetMode="External"/><Relationship Id="rId73" Type="http://schemas.openxmlformats.org/officeDocument/2006/relationships/hyperlink" Target="https://sgma.water.ca.gov/portal/" TargetMode="External"/><Relationship Id="rId78" Type="http://schemas.openxmlformats.org/officeDocument/2006/relationships/hyperlink" Target="https://map.dfg.ca.gov/bios/" TargetMode="External"/><Relationship Id="rId4" Type="http://schemas.openxmlformats.org/officeDocument/2006/relationships/hyperlink" Target="https://data.ca.gov/" TargetMode="External"/><Relationship Id="rId9" Type="http://schemas.openxmlformats.org/officeDocument/2006/relationships/hyperlink" Target="https://data.ca.gov/" TargetMode="External"/><Relationship Id="rId14" Type="http://schemas.openxmlformats.org/officeDocument/2006/relationships/hyperlink" Target="https://www.cdpr.ca.gov/docs/emon/surfwtr/surfcont.htm" TargetMode="External"/><Relationship Id="rId22" Type="http://schemas.openxmlformats.org/officeDocument/2006/relationships/hyperlink" Target="https://oehha.ca.gov/calenviroscreen/maps-data/download-data" TargetMode="External"/><Relationship Id="rId27" Type="http://schemas.openxmlformats.org/officeDocument/2006/relationships/hyperlink" Target="https://smarts.waterboards.ca.gov/smarts/faces/SwSmartsLogin.xhtml" TargetMode="External"/><Relationship Id="rId30" Type="http://schemas.openxmlformats.org/officeDocument/2006/relationships/hyperlink" Target="https://sdwis.waterboards.ca.gov/PDWW/" TargetMode="External"/><Relationship Id="rId35" Type="http://schemas.openxmlformats.org/officeDocument/2006/relationships/hyperlink" Target="http://www.energy.ca.gov/almanac/renewables_data/" TargetMode="External"/><Relationship Id="rId43" Type="http://schemas.openxmlformats.org/officeDocument/2006/relationships/hyperlink" Target="http://cehtp.org/water/" TargetMode="External"/><Relationship Id="rId48" Type="http://schemas.openxmlformats.org/officeDocument/2006/relationships/hyperlink" Target="https://www.waterboards.ca.gov/water_issues/programs/gama/online_tools.html" TargetMode="External"/><Relationship Id="rId56" Type="http://schemas.openxmlformats.org/officeDocument/2006/relationships/hyperlink" Target="https://cimis.water.ca.gov/" TargetMode="External"/><Relationship Id="rId64" Type="http://schemas.openxmlformats.org/officeDocument/2006/relationships/hyperlink" Target="http://ferix.water.ca.gov/webapp/home.jsp" TargetMode="External"/><Relationship Id="rId69" Type="http://schemas.openxmlformats.org/officeDocument/2006/relationships/hyperlink" Target="https://water.ca.gov/Programs/Groundwater-Management/Groundwater-Elevation-Monitoring--CASGEM" TargetMode="External"/><Relationship Id="rId77" Type="http://schemas.openxmlformats.org/officeDocument/2006/relationships/hyperlink" Target="https://map.dfg.ca.gov/bios/" TargetMode="External"/><Relationship Id="rId8" Type="http://schemas.openxmlformats.org/officeDocument/2006/relationships/hyperlink" Target="https://data.ca.gov/" TargetMode="External"/><Relationship Id="rId51" Type="http://schemas.openxmlformats.org/officeDocument/2006/relationships/hyperlink" Target="https://groundwaterexchange.org/" TargetMode="External"/><Relationship Id="rId72" Type="http://schemas.openxmlformats.org/officeDocument/2006/relationships/hyperlink" Target="https://sgma.water.ca.gov/portal/" TargetMode="External"/><Relationship Id="rId3" Type="http://schemas.openxmlformats.org/officeDocument/2006/relationships/hyperlink" Target="https://data.ca.gov/" TargetMode="External"/><Relationship Id="rId12" Type="http://schemas.openxmlformats.org/officeDocument/2006/relationships/hyperlink" Target="https://data.ca.gov/" TargetMode="External"/><Relationship Id="rId17" Type="http://schemas.openxmlformats.org/officeDocument/2006/relationships/hyperlink" Target="https://siteportal.calepa.ca.gov/nsite/" TargetMode="External"/><Relationship Id="rId25" Type="http://schemas.openxmlformats.org/officeDocument/2006/relationships/hyperlink" Target="https://www.waterboards.ca.gov/waterrights/water_issues/programs/ewrims/index.html" TargetMode="External"/><Relationship Id="rId33" Type="http://schemas.openxmlformats.org/officeDocument/2006/relationships/hyperlink" Target="https://www.wildlife.ca.gov/Data/GIS" TargetMode="External"/><Relationship Id="rId38" Type="http://schemas.openxmlformats.org/officeDocument/2006/relationships/hyperlink" Target="https://drinc.ca.gov/drinc/DWPRepository.aspx" TargetMode="External"/><Relationship Id="rId46" Type="http://schemas.openxmlformats.org/officeDocument/2006/relationships/hyperlink" Target="https://mywaterquality.ca.gov/index.html" TargetMode="External"/><Relationship Id="rId59" Type="http://schemas.openxmlformats.org/officeDocument/2006/relationships/hyperlink" Target="https://gis.water.ca.gov/app/boundaries/" TargetMode="External"/><Relationship Id="rId67" Type="http://schemas.openxmlformats.org/officeDocument/2006/relationships/hyperlink" Target="http://ferix.water.ca.gov/webapp/home.jsp" TargetMode="External"/><Relationship Id="rId20" Type="http://schemas.openxmlformats.org/officeDocument/2006/relationships/hyperlink" Target="https://oehha.ca.gov/calenviroscreen/maps-data/download-data" TargetMode="External"/><Relationship Id="rId41" Type="http://schemas.openxmlformats.org/officeDocument/2006/relationships/hyperlink" Target="https://www.waterboards.ca.gov/water_issues/programs/tmdl/integrated2012.shtml" TargetMode="External"/><Relationship Id="rId54" Type="http://schemas.openxmlformats.org/officeDocument/2006/relationships/hyperlink" Target="https://groundwaterexchange.org/" TargetMode="External"/><Relationship Id="rId62" Type="http://schemas.openxmlformats.org/officeDocument/2006/relationships/hyperlink" Target="https://gis.water.ca.gov/app/gicima/" TargetMode="External"/><Relationship Id="rId70" Type="http://schemas.openxmlformats.org/officeDocument/2006/relationships/hyperlink" Target="https://water.ca.gov/Programs/Groundwater-Management/Groundwater-Elevation-Monitoring--CASGEM" TargetMode="External"/><Relationship Id="rId75" Type="http://schemas.openxmlformats.org/officeDocument/2006/relationships/hyperlink" Target="http://www.conservation.ca.gov/dog/SB%201281/Pages/SB_1281DataAndReports.aspx" TargetMode="External"/><Relationship Id="rId1" Type="http://schemas.openxmlformats.org/officeDocument/2006/relationships/hyperlink" Target="https://data.ca.gov/" TargetMode="External"/><Relationship Id="rId6" Type="http://schemas.openxmlformats.org/officeDocument/2006/relationships/hyperlink" Target="https://data.ca.gov/" TargetMode="External"/><Relationship Id="rId15" Type="http://schemas.openxmlformats.org/officeDocument/2006/relationships/hyperlink" Target="https://www.cdpr.ca.gov/docs/emon/grndwtr/well_inventory_database/index.htm" TargetMode="External"/><Relationship Id="rId23" Type="http://schemas.openxmlformats.org/officeDocument/2006/relationships/hyperlink" Target="https://oehha.ca.gov/calenviroscreen/maps-data/download-data" TargetMode="External"/><Relationship Id="rId28" Type="http://schemas.openxmlformats.org/officeDocument/2006/relationships/hyperlink" Target="https://smarts.waterboards.ca.gov/smarts/faces/SwSmartsLogin.xhtml" TargetMode="External"/><Relationship Id="rId36" Type="http://schemas.openxmlformats.org/officeDocument/2006/relationships/hyperlink" Target="https://sdwis.waterboards.ca.gov/PDWW/" TargetMode="External"/><Relationship Id="rId49" Type="http://schemas.openxmlformats.org/officeDocument/2006/relationships/hyperlink" Target="https://www.waterboards.ca.gov/water_issues/programs/gama/online_tools.html" TargetMode="External"/><Relationship Id="rId57" Type="http://schemas.openxmlformats.org/officeDocument/2006/relationships/hyperlink" Target="https://cimis.water.ca.gov/"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3"/>
  <sheetViews>
    <sheetView zoomScale="80" zoomScaleNormal="80" workbookViewId="0"/>
  </sheetViews>
  <sheetFormatPr defaultRowHeight="15.6" x14ac:dyDescent="0.3"/>
  <cols>
    <col min="1" max="1" width="8.796875" style="1"/>
    <col min="2" max="2" width="19.19921875" style="1" customWidth="1"/>
    <col min="3" max="3" width="21.296875" style="1" customWidth="1"/>
    <col min="4" max="5" width="8.796875" style="1"/>
    <col min="6" max="6" width="24.69921875" style="1" customWidth="1"/>
    <col min="7" max="7" width="52.69921875" style="1" customWidth="1"/>
    <col min="8" max="11" width="8.796875" style="1"/>
    <col min="12" max="12" width="5.69921875" style="1" customWidth="1"/>
    <col min="13" max="16384" width="8.796875" style="1"/>
  </cols>
  <sheetData>
    <row r="1" spans="1:12" x14ac:dyDescent="0.3">
      <c r="A1" s="2" t="s">
        <v>94</v>
      </c>
      <c r="B1" s="2" t="s">
        <v>92</v>
      </c>
      <c r="C1" s="2" t="s">
        <v>93</v>
      </c>
      <c r="D1" s="2" t="s">
        <v>95</v>
      </c>
      <c r="E1" s="2" t="s">
        <v>660</v>
      </c>
      <c r="F1" s="2" t="s">
        <v>17</v>
      </c>
      <c r="G1" s="2" t="s">
        <v>18</v>
      </c>
      <c r="H1" s="2" t="s">
        <v>19</v>
      </c>
      <c r="I1" s="2" t="s">
        <v>20</v>
      </c>
      <c r="J1" s="2" t="s">
        <v>21</v>
      </c>
      <c r="K1" s="2" t="s">
        <v>22</v>
      </c>
      <c r="L1" s="2" t="s">
        <v>23</v>
      </c>
    </row>
    <row r="2" spans="1:12" x14ac:dyDescent="0.3">
      <c r="A2" s="1" t="s">
        <v>24</v>
      </c>
      <c r="B2" s="1" t="s">
        <v>118</v>
      </c>
      <c r="C2" s="1" t="s">
        <v>118</v>
      </c>
      <c r="D2" s="1">
        <v>1</v>
      </c>
      <c r="E2" s="1" t="s">
        <v>546</v>
      </c>
      <c r="F2" s="1" t="s">
        <v>210</v>
      </c>
      <c r="G2" s="1" t="s">
        <v>211</v>
      </c>
      <c r="H2" s="1" t="s">
        <v>3</v>
      </c>
      <c r="I2" s="1" t="s">
        <v>3</v>
      </c>
      <c r="J2" s="1" t="s">
        <v>3</v>
      </c>
      <c r="K2" s="1" t="s">
        <v>3</v>
      </c>
      <c r="L2" s="1">
        <v>1</v>
      </c>
    </row>
    <row r="3" spans="1:12" x14ac:dyDescent="0.3">
      <c r="A3" s="1" t="s">
        <v>25</v>
      </c>
      <c r="B3" s="1" t="s">
        <v>119</v>
      </c>
      <c r="C3" s="1" t="s">
        <v>119</v>
      </c>
      <c r="D3" s="1">
        <v>2</v>
      </c>
      <c r="E3" s="1" t="s">
        <v>24</v>
      </c>
      <c r="F3" s="1" t="s">
        <v>212</v>
      </c>
      <c r="G3" s="1" t="s">
        <v>213</v>
      </c>
      <c r="H3" s="1" t="s">
        <v>10</v>
      </c>
      <c r="I3" s="1" t="s">
        <v>3</v>
      </c>
      <c r="J3" s="1" t="s">
        <v>3</v>
      </c>
      <c r="K3" s="1" t="s">
        <v>10</v>
      </c>
      <c r="L3" s="1">
        <v>2</v>
      </c>
    </row>
    <row r="4" spans="1:12" x14ac:dyDescent="0.3">
      <c r="A4" s="1" t="s">
        <v>26</v>
      </c>
      <c r="B4" s="1" t="s">
        <v>656</v>
      </c>
      <c r="C4" s="1" t="s">
        <v>119</v>
      </c>
      <c r="D4" s="1">
        <v>2</v>
      </c>
      <c r="E4" s="1" t="s">
        <v>25</v>
      </c>
      <c r="F4" s="1" t="s">
        <v>214</v>
      </c>
      <c r="G4" s="7" t="s">
        <v>215</v>
      </c>
      <c r="H4" s="1" t="s">
        <v>10</v>
      </c>
      <c r="I4" s="1" t="s">
        <v>3</v>
      </c>
      <c r="J4" s="1" t="s">
        <v>3</v>
      </c>
      <c r="K4" s="1" t="s">
        <v>10</v>
      </c>
      <c r="L4" s="1">
        <v>3</v>
      </c>
    </row>
    <row r="5" spans="1:12" x14ac:dyDescent="0.3">
      <c r="A5" s="1" t="s">
        <v>27</v>
      </c>
      <c r="B5" s="1" t="s">
        <v>120</v>
      </c>
      <c r="C5" s="1" t="s">
        <v>119</v>
      </c>
      <c r="D5" s="1">
        <v>2</v>
      </c>
      <c r="E5" s="1" t="s">
        <v>26</v>
      </c>
      <c r="F5" s="1" t="s">
        <v>216</v>
      </c>
      <c r="G5" s="1" t="s">
        <v>217</v>
      </c>
      <c r="H5" s="1" t="s">
        <v>10</v>
      </c>
      <c r="I5" s="1" t="s">
        <v>3</v>
      </c>
      <c r="J5" s="1" t="s">
        <v>3</v>
      </c>
      <c r="K5" s="1" t="s">
        <v>10</v>
      </c>
      <c r="L5" s="1">
        <v>4</v>
      </c>
    </row>
    <row r="6" spans="1:12" x14ac:dyDescent="0.3">
      <c r="A6" s="1" t="s">
        <v>28</v>
      </c>
      <c r="B6" s="1" t="s">
        <v>121</v>
      </c>
      <c r="C6" s="1" t="s">
        <v>119</v>
      </c>
      <c r="D6" s="1">
        <v>2</v>
      </c>
      <c r="E6" s="1" t="s">
        <v>27</v>
      </c>
      <c r="F6" s="1" t="s">
        <v>218</v>
      </c>
      <c r="G6" s="1" t="s">
        <v>219</v>
      </c>
      <c r="H6" s="1" t="s">
        <v>10</v>
      </c>
      <c r="I6" s="1" t="s">
        <v>3</v>
      </c>
      <c r="J6" s="1" t="s">
        <v>3</v>
      </c>
      <c r="K6" s="1" t="s">
        <v>10</v>
      </c>
      <c r="L6" s="1">
        <v>5</v>
      </c>
    </row>
    <row r="7" spans="1:12" x14ac:dyDescent="0.3">
      <c r="A7" s="1" t="s">
        <v>29</v>
      </c>
      <c r="B7" s="1" t="s">
        <v>122</v>
      </c>
      <c r="C7" s="1" t="s">
        <v>119</v>
      </c>
      <c r="D7" s="1">
        <v>2</v>
      </c>
      <c r="E7" s="1" t="s">
        <v>27</v>
      </c>
      <c r="F7" s="1" t="s">
        <v>220</v>
      </c>
      <c r="G7" s="1" t="s">
        <v>221</v>
      </c>
      <c r="H7" s="1" t="s">
        <v>10</v>
      </c>
      <c r="I7" s="1" t="s">
        <v>3</v>
      </c>
      <c r="J7" s="1" t="s">
        <v>3</v>
      </c>
      <c r="K7" s="1" t="s">
        <v>10</v>
      </c>
      <c r="L7" s="1">
        <v>5</v>
      </c>
    </row>
    <row r="8" spans="1:12" x14ac:dyDescent="0.3">
      <c r="A8" s="1" t="s">
        <v>30</v>
      </c>
      <c r="B8" s="1" t="s">
        <v>123</v>
      </c>
      <c r="C8" s="1" t="s">
        <v>119</v>
      </c>
      <c r="D8" s="1">
        <v>2</v>
      </c>
      <c r="E8" s="1" t="s">
        <v>25</v>
      </c>
      <c r="F8" s="1" t="s">
        <v>222</v>
      </c>
      <c r="G8" s="7" t="s">
        <v>223</v>
      </c>
      <c r="H8" s="1" t="s">
        <v>10</v>
      </c>
      <c r="I8" s="1" t="s">
        <v>3</v>
      </c>
      <c r="J8" s="1" t="s">
        <v>3</v>
      </c>
      <c r="K8" s="1" t="s">
        <v>10</v>
      </c>
      <c r="L8" s="1">
        <v>3</v>
      </c>
    </row>
    <row r="9" spans="1:12" x14ac:dyDescent="0.3">
      <c r="A9" s="1" t="s">
        <v>31</v>
      </c>
      <c r="B9" s="1" t="s">
        <v>124</v>
      </c>
      <c r="C9" s="1" t="s">
        <v>119</v>
      </c>
      <c r="D9" s="1">
        <v>2</v>
      </c>
      <c r="E9" s="1" t="s">
        <v>25</v>
      </c>
      <c r="F9" s="12" t="s">
        <v>224</v>
      </c>
      <c r="G9" s="7" t="s">
        <v>225</v>
      </c>
      <c r="H9" s="1" t="s">
        <v>10</v>
      </c>
      <c r="I9" s="1" t="s">
        <v>3</v>
      </c>
      <c r="J9" s="1" t="s">
        <v>3</v>
      </c>
      <c r="K9" s="1" t="s">
        <v>10</v>
      </c>
      <c r="L9" s="1">
        <v>3</v>
      </c>
    </row>
    <row r="10" spans="1:12" x14ac:dyDescent="0.3">
      <c r="A10" s="1" t="s">
        <v>32</v>
      </c>
      <c r="B10" s="1" t="s">
        <v>125</v>
      </c>
      <c r="C10" s="1" t="s">
        <v>119</v>
      </c>
      <c r="D10" s="1">
        <v>2</v>
      </c>
      <c r="E10" s="1" t="s">
        <v>31</v>
      </c>
      <c r="F10" s="1" t="s">
        <v>226</v>
      </c>
      <c r="G10" s="7" t="s">
        <v>227</v>
      </c>
      <c r="H10" s="1" t="s">
        <v>10</v>
      </c>
      <c r="I10" s="1" t="s">
        <v>3</v>
      </c>
      <c r="J10" s="1" t="s">
        <v>3</v>
      </c>
      <c r="K10" s="1" t="s">
        <v>3</v>
      </c>
      <c r="L10" s="1">
        <v>4</v>
      </c>
    </row>
    <row r="11" spans="1:12" x14ac:dyDescent="0.3">
      <c r="A11" s="1" t="s">
        <v>33</v>
      </c>
      <c r="B11" s="1" t="s">
        <v>404</v>
      </c>
      <c r="C11" s="1" t="s">
        <v>119</v>
      </c>
      <c r="D11" s="1">
        <v>2</v>
      </c>
      <c r="E11" s="1" t="s">
        <v>31</v>
      </c>
      <c r="F11" s="1" t="s">
        <v>405</v>
      </c>
      <c r="G11" s="14" t="s">
        <v>406</v>
      </c>
      <c r="H11" s="1" t="s">
        <v>10</v>
      </c>
      <c r="I11" s="1" t="s">
        <v>10</v>
      </c>
      <c r="J11" s="1" t="s">
        <v>3</v>
      </c>
      <c r="K11" s="1" t="s">
        <v>10</v>
      </c>
      <c r="L11" s="1">
        <v>4</v>
      </c>
    </row>
    <row r="12" spans="1:12" x14ac:dyDescent="0.3">
      <c r="A12" s="1" t="s">
        <v>34</v>
      </c>
      <c r="B12" s="1" t="s">
        <v>126</v>
      </c>
      <c r="C12" s="1" t="s">
        <v>119</v>
      </c>
      <c r="D12" s="1">
        <v>2</v>
      </c>
      <c r="E12" s="1" t="s">
        <v>31</v>
      </c>
      <c r="F12" s="1" t="s">
        <v>228</v>
      </c>
      <c r="G12" s="1" t="s">
        <v>229</v>
      </c>
      <c r="H12" s="1" t="s">
        <v>10</v>
      </c>
      <c r="I12" s="1" t="s">
        <v>10</v>
      </c>
      <c r="J12" s="1" t="s">
        <v>3</v>
      </c>
      <c r="K12" s="1" t="s">
        <v>10</v>
      </c>
      <c r="L12" s="1">
        <v>4</v>
      </c>
    </row>
    <row r="13" spans="1:12" x14ac:dyDescent="0.3">
      <c r="A13" s="1" t="s">
        <v>35</v>
      </c>
      <c r="B13" s="1" t="s">
        <v>407</v>
      </c>
      <c r="C13" s="1" t="s">
        <v>119</v>
      </c>
      <c r="D13" s="1">
        <v>2</v>
      </c>
      <c r="E13" s="1" t="s">
        <v>31</v>
      </c>
      <c r="F13" s="1" t="s">
        <v>230</v>
      </c>
      <c r="G13" s="1" t="s">
        <v>231</v>
      </c>
      <c r="H13" s="1" t="s">
        <v>10</v>
      </c>
      <c r="I13" s="1" t="s">
        <v>10</v>
      </c>
      <c r="J13" s="1" t="s">
        <v>3</v>
      </c>
      <c r="K13" s="1" t="s">
        <v>10</v>
      </c>
      <c r="L13" s="1">
        <v>4</v>
      </c>
    </row>
    <row r="14" spans="1:12" x14ac:dyDescent="0.3">
      <c r="A14" s="1" t="s">
        <v>114</v>
      </c>
      <c r="B14" s="1" t="s">
        <v>127</v>
      </c>
      <c r="C14" s="1" t="s">
        <v>119</v>
      </c>
      <c r="D14" s="1">
        <v>2</v>
      </c>
      <c r="E14" s="1" t="s">
        <v>31</v>
      </c>
      <c r="F14" s="1" t="s">
        <v>232</v>
      </c>
      <c r="G14" s="1" t="s">
        <v>233</v>
      </c>
      <c r="H14" s="1" t="s">
        <v>10</v>
      </c>
      <c r="I14" s="1" t="s">
        <v>3</v>
      </c>
      <c r="J14" s="1" t="s">
        <v>3</v>
      </c>
      <c r="K14" s="1" t="s">
        <v>10</v>
      </c>
      <c r="L14" s="1">
        <v>4</v>
      </c>
    </row>
    <row r="15" spans="1:12" x14ac:dyDescent="0.3">
      <c r="A15" s="1" t="s">
        <v>115</v>
      </c>
      <c r="B15" s="1" t="s">
        <v>128</v>
      </c>
      <c r="C15" s="1" t="s">
        <v>119</v>
      </c>
      <c r="D15" s="1">
        <v>2</v>
      </c>
      <c r="E15" s="1" t="s">
        <v>31</v>
      </c>
      <c r="F15" s="1" t="s">
        <v>234</v>
      </c>
      <c r="G15" s="1" t="s">
        <v>235</v>
      </c>
      <c r="H15" s="1" t="s">
        <v>10</v>
      </c>
      <c r="I15" s="1" t="s">
        <v>10</v>
      </c>
      <c r="J15" s="1" t="s">
        <v>3</v>
      </c>
      <c r="K15" s="1" t="s">
        <v>10</v>
      </c>
      <c r="L15" s="1">
        <v>4</v>
      </c>
    </row>
    <row r="16" spans="1:12" x14ac:dyDescent="0.3">
      <c r="A16" s="1" t="s">
        <v>130</v>
      </c>
      <c r="B16" s="1" t="s">
        <v>129</v>
      </c>
      <c r="C16" s="1" t="s">
        <v>119</v>
      </c>
      <c r="D16" s="1">
        <v>2</v>
      </c>
      <c r="E16" s="1" t="s">
        <v>31</v>
      </c>
      <c r="F16" s="1" t="s">
        <v>236</v>
      </c>
      <c r="G16" s="1" t="s">
        <v>237</v>
      </c>
      <c r="H16" s="1" t="s">
        <v>10</v>
      </c>
      <c r="I16" s="1" t="s">
        <v>3</v>
      </c>
      <c r="J16" s="1" t="s">
        <v>3</v>
      </c>
      <c r="K16" s="1" t="s">
        <v>10</v>
      </c>
      <c r="L16" s="1">
        <v>4</v>
      </c>
    </row>
    <row r="17" spans="1:12" x14ac:dyDescent="0.3">
      <c r="A17" s="1" t="s">
        <v>132</v>
      </c>
      <c r="B17" s="1" t="s">
        <v>355</v>
      </c>
      <c r="C17" s="1" t="s">
        <v>119</v>
      </c>
      <c r="D17" s="1">
        <v>2</v>
      </c>
      <c r="E17" s="1" t="s">
        <v>130</v>
      </c>
      <c r="F17" s="1" t="s">
        <v>413</v>
      </c>
      <c r="G17" s="14" t="s">
        <v>414</v>
      </c>
      <c r="H17" s="1" t="s">
        <v>10</v>
      </c>
      <c r="I17" s="1" t="s">
        <v>3</v>
      </c>
      <c r="J17" s="1" t="s">
        <v>10</v>
      </c>
      <c r="K17" s="1" t="s">
        <v>10</v>
      </c>
      <c r="L17" s="1">
        <v>5</v>
      </c>
    </row>
    <row r="18" spans="1:12" x14ac:dyDescent="0.3">
      <c r="A18" s="1" t="s">
        <v>134</v>
      </c>
      <c r="B18" s="1" t="s">
        <v>131</v>
      </c>
      <c r="C18" s="1" t="s">
        <v>119</v>
      </c>
      <c r="D18" s="1">
        <v>2</v>
      </c>
      <c r="E18" s="1" t="s">
        <v>31</v>
      </c>
      <c r="F18" s="1" t="s">
        <v>238</v>
      </c>
      <c r="G18" s="1" t="s">
        <v>239</v>
      </c>
      <c r="H18" s="1" t="s">
        <v>10</v>
      </c>
      <c r="I18" s="1" t="s">
        <v>3</v>
      </c>
      <c r="J18" s="1" t="s">
        <v>10</v>
      </c>
      <c r="K18" s="1" t="s">
        <v>10</v>
      </c>
      <c r="L18" s="1">
        <v>4</v>
      </c>
    </row>
    <row r="19" spans="1:12" x14ac:dyDescent="0.3">
      <c r="A19" s="1" t="s">
        <v>116</v>
      </c>
      <c r="B19" s="1" t="s">
        <v>372</v>
      </c>
      <c r="C19" s="1" t="s">
        <v>119</v>
      </c>
      <c r="D19" s="1">
        <v>2</v>
      </c>
      <c r="E19" s="1" t="s">
        <v>31</v>
      </c>
      <c r="F19" s="1" t="s">
        <v>399</v>
      </c>
      <c r="G19" s="14" t="s">
        <v>400</v>
      </c>
      <c r="H19" s="1" t="s">
        <v>10</v>
      </c>
      <c r="I19" s="1" t="s">
        <v>10</v>
      </c>
      <c r="J19" s="1" t="s">
        <v>3</v>
      </c>
      <c r="K19" s="1" t="s">
        <v>10</v>
      </c>
      <c r="L19" s="1">
        <v>4</v>
      </c>
    </row>
    <row r="20" spans="1:12" x14ac:dyDescent="0.3">
      <c r="A20" s="1" t="s">
        <v>136</v>
      </c>
      <c r="B20" s="1" t="s">
        <v>395</v>
      </c>
      <c r="C20" s="1" t="s">
        <v>119</v>
      </c>
      <c r="D20" s="1">
        <v>2</v>
      </c>
      <c r="E20" s="1" t="s">
        <v>31</v>
      </c>
      <c r="F20" s="1" t="s">
        <v>397</v>
      </c>
      <c r="G20" s="14" t="s">
        <v>396</v>
      </c>
      <c r="H20" s="1" t="s">
        <v>10</v>
      </c>
      <c r="I20" s="1" t="s">
        <v>10</v>
      </c>
      <c r="J20" s="1" t="s">
        <v>3</v>
      </c>
      <c r="K20" s="1" t="s">
        <v>10</v>
      </c>
      <c r="L20" s="1">
        <v>4</v>
      </c>
    </row>
    <row r="21" spans="1:12" x14ac:dyDescent="0.3">
      <c r="A21" s="1" t="s">
        <v>137</v>
      </c>
      <c r="B21" s="1" t="s">
        <v>374</v>
      </c>
      <c r="C21" s="1" t="s">
        <v>119</v>
      </c>
      <c r="D21" s="1">
        <v>2</v>
      </c>
      <c r="E21" s="1" t="s">
        <v>29</v>
      </c>
      <c r="F21" s="1" t="s">
        <v>402</v>
      </c>
      <c r="G21" s="14" t="s">
        <v>403</v>
      </c>
      <c r="H21" s="1" t="s">
        <v>10</v>
      </c>
      <c r="I21" s="1" t="s">
        <v>3</v>
      </c>
      <c r="J21" s="1" t="s">
        <v>10</v>
      </c>
      <c r="K21" s="1" t="s">
        <v>10</v>
      </c>
      <c r="L21" s="1">
        <v>6</v>
      </c>
    </row>
    <row r="22" spans="1:12" x14ac:dyDescent="0.3">
      <c r="A22" s="1" t="s">
        <v>138</v>
      </c>
      <c r="B22" s="1" t="s">
        <v>2</v>
      </c>
      <c r="C22" s="1" t="s">
        <v>119</v>
      </c>
      <c r="D22" s="1">
        <v>2</v>
      </c>
      <c r="E22" s="1" t="s">
        <v>31</v>
      </c>
      <c r="F22" s="1" t="s">
        <v>408</v>
      </c>
      <c r="G22" s="14" t="s">
        <v>409</v>
      </c>
      <c r="H22" s="1" t="s">
        <v>10</v>
      </c>
      <c r="I22" s="1" t="s">
        <v>3</v>
      </c>
      <c r="J22" s="1" t="s">
        <v>10</v>
      </c>
      <c r="K22" s="1" t="s">
        <v>10</v>
      </c>
      <c r="L22" s="1">
        <v>4</v>
      </c>
    </row>
    <row r="23" spans="1:12" x14ac:dyDescent="0.3">
      <c r="A23" s="1" t="s">
        <v>140</v>
      </c>
      <c r="B23" s="1" t="s">
        <v>410</v>
      </c>
      <c r="C23" s="1" t="s">
        <v>119</v>
      </c>
      <c r="D23" s="1">
        <v>2</v>
      </c>
      <c r="E23" s="1" t="s">
        <v>31</v>
      </c>
      <c r="F23" s="1" t="s">
        <v>411</v>
      </c>
      <c r="G23" s="14" t="s">
        <v>412</v>
      </c>
      <c r="H23" s="1" t="s">
        <v>10</v>
      </c>
      <c r="I23" s="1" t="s">
        <v>3</v>
      </c>
      <c r="J23" s="1" t="s">
        <v>10</v>
      </c>
      <c r="K23" s="1" t="s">
        <v>3</v>
      </c>
      <c r="L23" s="1">
        <v>4</v>
      </c>
    </row>
    <row r="24" spans="1:12" x14ac:dyDescent="0.3">
      <c r="A24" s="1" t="s">
        <v>141</v>
      </c>
      <c r="B24" s="1" t="s">
        <v>371</v>
      </c>
      <c r="C24" s="1" t="s">
        <v>119</v>
      </c>
      <c r="D24" s="1">
        <v>2</v>
      </c>
      <c r="E24" s="1" t="s">
        <v>25</v>
      </c>
      <c r="F24" s="1" t="s">
        <v>392</v>
      </c>
      <c r="G24" s="14" t="s">
        <v>393</v>
      </c>
      <c r="H24" s="1" t="s">
        <v>10</v>
      </c>
      <c r="I24" s="1" t="s">
        <v>3</v>
      </c>
      <c r="J24" s="1" t="s">
        <v>3</v>
      </c>
      <c r="K24" s="1" t="s">
        <v>10</v>
      </c>
      <c r="L24" s="1">
        <v>3</v>
      </c>
    </row>
    <row r="25" spans="1:12" x14ac:dyDescent="0.3">
      <c r="A25" s="1" t="s">
        <v>142</v>
      </c>
      <c r="B25" s="1" t="s">
        <v>133</v>
      </c>
      <c r="C25" s="1" t="s">
        <v>133</v>
      </c>
      <c r="D25" s="1">
        <v>3</v>
      </c>
      <c r="E25" s="1" t="s">
        <v>24</v>
      </c>
      <c r="F25" s="1" t="s">
        <v>240</v>
      </c>
      <c r="G25" s="1" t="s">
        <v>241</v>
      </c>
      <c r="H25" s="1" t="s">
        <v>3</v>
      </c>
      <c r="I25" s="1" t="s">
        <v>3</v>
      </c>
      <c r="J25" s="1" t="s">
        <v>3</v>
      </c>
      <c r="K25" s="1" t="s">
        <v>3</v>
      </c>
      <c r="L25" s="1">
        <v>2</v>
      </c>
    </row>
    <row r="26" spans="1:12" x14ac:dyDescent="0.3">
      <c r="A26" s="1" t="s">
        <v>144</v>
      </c>
      <c r="B26" s="1" t="s">
        <v>135</v>
      </c>
      <c r="C26" s="1" t="s">
        <v>133</v>
      </c>
      <c r="D26" s="1">
        <v>3</v>
      </c>
      <c r="E26" s="1" t="s">
        <v>142</v>
      </c>
      <c r="F26" s="1" t="s">
        <v>242</v>
      </c>
      <c r="G26" s="1" t="s">
        <v>243</v>
      </c>
      <c r="H26" s="1" t="s">
        <v>3</v>
      </c>
      <c r="I26" s="1" t="s">
        <v>3</v>
      </c>
      <c r="J26" s="1" t="s">
        <v>3</v>
      </c>
      <c r="K26" s="1" t="s">
        <v>3</v>
      </c>
      <c r="L26" s="1">
        <v>3</v>
      </c>
    </row>
    <row r="27" spans="1:12" x14ac:dyDescent="0.3">
      <c r="A27" s="1" t="s">
        <v>145</v>
      </c>
      <c r="B27" s="1" t="s">
        <v>420</v>
      </c>
      <c r="C27" s="1" t="s">
        <v>133</v>
      </c>
      <c r="D27" s="1">
        <v>3</v>
      </c>
      <c r="E27" s="1" t="s">
        <v>144</v>
      </c>
      <c r="F27" s="1" t="s">
        <v>244</v>
      </c>
      <c r="G27" s="1" t="s">
        <v>245</v>
      </c>
      <c r="H27" s="1" t="s">
        <v>3</v>
      </c>
      <c r="I27" s="1" t="s">
        <v>3</v>
      </c>
      <c r="J27" s="1" t="s">
        <v>10</v>
      </c>
      <c r="K27" s="1" t="s">
        <v>10</v>
      </c>
      <c r="L27" s="1">
        <v>4</v>
      </c>
    </row>
    <row r="28" spans="1:12" x14ac:dyDescent="0.3">
      <c r="A28" s="1" t="s">
        <v>147</v>
      </c>
      <c r="B28" s="1" t="s">
        <v>419</v>
      </c>
      <c r="C28" s="1" t="s">
        <v>133</v>
      </c>
      <c r="D28" s="1">
        <v>3</v>
      </c>
      <c r="E28" s="1" t="s">
        <v>144</v>
      </c>
      <c r="F28" s="1" t="s">
        <v>246</v>
      </c>
      <c r="G28" s="1" t="s">
        <v>247</v>
      </c>
      <c r="H28" s="1" t="s">
        <v>10</v>
      </c>
      <c r="I28" s="1" t="s">
        <v>3</v>
      </c>
      <c r="J28" s="1" t="s">
        <v>10</v>
      </c>
      <c r="K28" s="1" t="s">
        <v>3</v>
      </c>
      <c r="L28" s="1">
        <v>4</v>
      </c>
    </row>
    <row r="29" spans="1:12" x14ac:dyDescent="0.3">
      <c r="A29" s="1" t="s">
        <v>149</v>
      </c>
      <c r="B29" s="1" t="s">
        <v>421</v>
      </c>
      <c r="C29" s="1" t="s">
        <v>133</v>
      </c>
      <c r="D29" s="1">
        <v>3</v>
      </c>
      <c r="E29" s="1" t="s">
        <v>144</v>
      </c>
      <c r="F29" s="1" t="s">
        <v>248</v>
      </c>
      <c r="G29" s="1" t="s">
        <v>249</v>
      </c>
      <c r="H29" s="1" t="s">
        <v>3</v>
      </c>
      <c r="I29" s="1" t="s">
        <v>3</v>
      </c>
      <c r="J29" s="1" t="s">
        <v>10</v>
      </c>
      <c r="K29" s="1" t="s">
        <v>10</v>
      </c>
      <c r="L29" s="1">
        <v>4</v>
      </c>
    </row>
    <row r="30" spans="1:12" x14ac:dyDescent="0.3">
      <c r="A30" s="1" t="s">
        <v>150</v>
      </c>
      <c r="B30" s="1" t="s">
        <v>422</v>
      </c>
      <c r="C30" s="1" t="s">
        <v>133</v>
      </c>
      <c r="D30" s="1">
        <v>3</v>
      </c>
      <c r="E30" s="1" t="s">
        <v>144</v>
      </c>
      <c r="F30" s="1" t="s">
        <v>250</v>
      </c>
      <c r="G30" s="1" t="s">
        <v>251</v>
      </c>
      <c r="H30" s="1" t="s">
        <v>3</v>
      </c>
      <c r="I30" s="1" t="s">
        <v>3</v>
      </c>
      <c r="J30" s="1" t="s">
        <v>10</v>
      </c>
      <c r="K30" s="1" t="s">
        <v>10</v>
      </c>
      <c r="L30" s="1">
        <v>4</v>
      </c>
    </row>
    <row r="31" spans="1:12" x14ac:dyDescent="0.3">
      <c r="A31" s="1" t="s">
        <v>152</v>
      </c>
      <c r="B31" s="1" t="s">
        <v>429</v>
      </c>
      <c r="C31" s="1" t="s">
        <v>133</v>
      </c>
      <c r="D31" s="1">
        <v>3</v>
      </c>
      <c r="E31" s="1" t="s">
        <v>144</v>
      </c>
      <c r="F31" s="1" t="s">
        <v>252</v>
      </c>
      <c r="G31" s="14" t="s">
        <v>430</v>
      </c>
      <c r="H31" s="1" t="s">
        <v>3</v>
      </c>
      <c r="I31" s="1" t="s">
        <v>3</v>
      </c>
      <c r="J31" s="1" t="s">
        <v>3</v>
      </c>
      <c r="K31" s="1" t="s">
        <v>10</v>
      </c>
      <c r="L31" s="1">
        <v>4</v>
      </c>
    </row>
    <row r="32" spans="1:12" x14ac:dyDescent="0.3">
      <c r="A32" s="1" t="s">
        <v>154</v>
      </c>
      <c r="B32" s="1" t="s">
        <v>423</v>
      </c>
      <c r="C32" s="1" t="s">
        <v>133</v>
      </c>
      <c r="D32" s="1">
        <v>3</v>
      </c>
      <c r="E32" s="1" t="s">
        <v>144</v>
      </c>
      <c r="F32" s="1" t="s">
        <v>424</v>
      </c>
      <c r="G32" s="14" t="s">
        <v>425</v>
      </c>
      <c r="H32" s="1" t="s">
        <v>10</v>
      </c>
      <c r="I32" s="1" t="s">
        <v>3</v>
      </c>
      <c r="J32" s="1" t="s">
        <v>10</v>
      </c>
      <c r="K32" s="1" t="s">
        <v>10</v>
      </c>
      <c r="L32" s="1">
        <v>4</v>
      </c>
    </row>
    <row r="33" spans="1:12" x14ac:dyDescent="0.3">
      <c r="A33" s="1" t="s">
        <v>156</v>
      </c>
      <c r="B33" s="1" t="s">
        <v>426</v>
      </c>
      <c r="C33" s="1" t="s">
        <v>133</v>
      </c>
      <c r="D33" s="1">
        <v>3</v>
      </c>
      <c r="E33" s="1" t="s">
        <v>144</v>
      </c>
      <c r="F33" s="1" t="s">
        <v>427</v>
      </c>
      <c r="G33" s="14" t="s">
        <v>428</v>
      </c>
      <c r="H33" s="1" t="s">
        <v>10</v>
      </c>
      <c r="I33" s="1" t="s">
        <v>3</v>
      </c>
      <c r="J33" s="1" t="s">
        <v>3</v>
      </c>
      <c r="K33" s="1" t="s">
        <v>3</v>
      </c>
      <c r="L33" s="1">
        <v>4</v>
      </c>
    </row>
    <row r="34" spans="1:12" x14ac:dyDescent="0.3">
      <c r="A34" s="1" t="s">
        <v>158</v>
      </c>
      <c r="B34" s="1" t="s">
        <v>431</v>
      </c>
      <c r="C34" s="1" t="s">
        <v>133</v>
      </c>
      <c r="D34" s="1">
        <v>3</v>
      </c>
      <c r="E34" s="1" t="s">
        <v>144</v>
      </c>
      <c r="F34" s="1" t="s">
        <v>432</v>
      </c>
      <c r="G34" s="14" t="s">
        <v>433</v>
      </c>
      <c r="H34" s="1" t="s">
        <v>10</v>
      </c>
      <c r="I34" s="1" t="s">
        <v>3</v>
      </c>
      <c r="J34" s="1" t="s">
        <v>10</v>
      </c>
      <c r="K34" s="1" t="s">
        <v>3</v>
      </c>
      <c r="L34" s="1">
        <v>4</v>
      </c>
    </row>
    <row r="35" spans="1:12" x14ac:dyDescent="0.3">
      <c r="A35" s="1" t="s">
        <v>159</v>
      </c>
      <c r="B35" s="1" t="s">
        <v>143</v>
      </c>
      <c r="C35" s="1" t="s">
        <v>133</v>
      </c>
      <c r="D35" s="1">
        <v>3</v>
      </c>
      <c r="E35" s="1" t="s">
        <v>142</v>
      </c>
      <c r="F35" s="1" t="s">
        <v>253</v>
      </c>
      <c r="G35" s="1" t="s">
        <v>254</v>
      </c>
      <c r="H35" s="1" t="s">
        <v>3</v>
      </c>
      <c r="I35" s="1" t="s">
        <v>3</v>
      </c>
      <c r="J35" s="1" t="s">
        <v>3</v>
      </c>
      <c r="K35" s="1" t="s">
        <v>3</v>
      </c>
      <c r="L35" s="1">
        <v>3</v>
      </c>
    </row>
    <row r="36" spans="1:12" x14ac:dyDescent="0.3">
      <c r="A36" s="1" t="s">
        <v>161</v>
      </c>
      <c r="B36" s="1" t="s">
        <v>436</v>
      </c>
      <c r="C36" s="1" t="s">
        <v>133</v>
      </c>
      <c r="D36" s="1">
        <v>3</v>
      </c>
      <c r="E36" s="1" t="s">
        <v>159</v>
      </c>
      <c r="F36" s="1" t="s">
        <v>255</v>
      </c>
      <c r="G36" s="1" t="s">
        <v>256</v>
      </c>
      <c r="H36" s="1" t="s">
        <v>10</v>
      </c>
      <c r="I36" s="1" t="s">
        <v>3</v>
      </c>
      <c r="J36" s="1" t="s">
        <v>10</v>
      </c>
      <c r="K36" s="1" t="s">
        <v>3</v>
      </c>
      <c r="L36" s="1">
        <v>4</v>
      </c>
    </row>
    <row r="37" spans="1:12" x14ac:dyDescent="0.3">
      <c r="A37" s="1" t="s">
        <v>163</v>
      </c>
      <c r="B37" s="1" t="s">
        <v>146</v>
      </c>
      <c r="C37" s="1" t="s">
        <v>133</v>
      </c>
      <c r="D37" s="1">
        <v>3</v>
      </c>
      <c r="E37" s="1" t="s">
        <v>161</v>
      </c>
      <c r="F37" s="1" t="s">
        <v>257</v>
      </c>
      <c r="G37" s="1" t="s">
        <v>258</v>
      </c>
      <c r="H37" s="1" t="s">
        <v>10</v>
      </c>
      <c r="I37" s="1" t="s">
        <v>3</v>
      </c>
      <c r="J37" s="1" t="s">
        <v>10</v>
      </c>
      <c r="K37" s="1" t="s">
        <v>3</v>
      </c>
      <c r="L37" s="1">
        <v>5</v>
      </c>
    </row>
    <row r="38" spans="1:12" x14ac:dyDescent="0.3">
      <c r="A38" s="1" t="s">
        <v>165</v>
      </c>
      <c r="B38" s="1" t="s">
        <v>148</v>
      </c>
      <c r="C38" s="1" t="s">
        <v>133</v>
      </c>
      <c r="D38" s="1">
        <v>3</v>
      </c>
      <c r="E38" s="1" t="s">
        <v>159</v>
      </c>
      <c r="F38" s="1" t="s">
        <v>259</v>
      </c>
      <c r="G38" s="1" t="s">
        <v>260</v>
      </c>
      <c r="H38" s="1" t="s">
        <v>3</v>
      </c>
      <c r="I38" s="1" t="s">
        <v>10</v>
      </c>
      <c r="J38" s="1" t="s">
        <v>3</v>
      </c>
      <c r="K38" s="1" t="s">
        <v>10</v>
      </c>
      <c r="L38" s="1">
        <v>4</v>
      </c>
    </row>
    <row r="39" spans="1:12" x14ac:dyDescent="0.3">
      <c r="A39" s="1" t="s">
        <v>167</v>
      </c>
      <c r="B39" s="1" t="s">
        <v>160</v>
      </c>
      <c r="C39" s="1" t="s">
        <v>133</v>
      </c>
      <c r="D39" s="1">
        <v>3</v>
      </c>
      <c r="E39" s="1" t="s">
        <v>142</v>
      </c>
      <c r="F39" s="1" t="s">
        <v>270</v>
      </c>
      <c r="G39" s="1" t="s">
        <v>271</v>
      </c>
      <c r="H39" s="1" t="s">
        <v>3</v>
      </c>
      <c r="I39" s="1" t="s">
        <v>3</v>
      </c>
      <c r="J39" s="1" t="s">
        <v>3</v>
      </c>
      <c r="K39" s="1" t="s">
        <v>10</v>
      </c>
      <c r="L39" s="1">
        <v>3</v>
      </c>
    </row>
    <row r="40" spans="1:12" x14ac:dyDescent="0.3">
      <c r="A40" s="1" t="s">
        <v>169</v>
      </c>
      <c r="B40" s="1" t="s">
        <v>162</v>
      </c>
      <c r="C40" s="1" t="s">
        <v>133</v>
      </c>
      <c r="D40" s="1">
        <v>3</v>
      </c>
      <c r="E40" s="1" t="s">
        <v>167</v>
      </c>
      <c r="F40" s="1" t="s">
        <v>272</v>
      </c>
      <c r="G40" s="1" t="s">
        <v>273</v>
      </c>
      <c r="H40" s="1" t="s">
        <v>3</v>
      </c>
      <c r="I40" s="1" t="s">
        <v>3</v>
      </c>
      <c r="J40" s="1" t="s">
        <v>10</v>
      </c>
      <c r="K40" s="1" t="s">
        <v>10</v>
      </c>
      <c r="L40" s="1">
        <v>4</v>
      </c>
    </row>
    <row r="41" spans="1:12" x14ac:dyDescent="0.3">
      <c r="A41" s="1" t="s">
        <v>171</v>
      </c>
      <c r="B41" s="1" t="s">
        <v>164</v>
      </c>
      <c r="C41" s="1" t="s">
        <v>133</v>
      </c>
      <c r="D41" s="1">
        <v>3</v>
      </c>
      <c r="E41" s="1" t="s">
        <v>142</v>
      </c>
      <c r="F41" s="1" t="s">
        <v>274</v>
      </c>
      <c r="G41" s="1" t="s">
        <v>275</v>
      </c>
      <c r="H41" s="1" t="s">
        <v>10</v>
      </c>
      <c r="I41" s="1" t="s">
        <v>3</v>
      </c>
      <c r="J41" s="1" t="s">
        <v>10</v>
      </c>
      <c r="K41" s="1" t="s">
        <v>10</v>
      </c>
      <c r="L41" s="1">
        <v>3</v>
      </c>
    </row>
    <row r="42" spans="1:12" x14ac:dyDescent="0.3">
      <c r="A42" s="1" t="s">
        <v>172</v>
      </c>
      <c r="B42" s="1" t="s">
        <v>166</v>
      </c>
      <c r="C42" s="1" t="s">
        <v>133</v>
      </c>
      <c r="D42" s="1">
        <v>3</v>
      </c>
      <c r="E42" s="1" t="s">
        <v>142</v>
      </c>
      <c r="F42" s="1" t="s">
        <v>276</v>
      </c>
      <c r="G42" s="7" t="s">
        <v>277</v>
      </c>
      <c r="H42" s="1" t="s">
        <v>10</v>
      </c>
      <c r="I42" s="1" t="s">
        <v>3</v>
      </c>
      <c r="J42" s="1" t="s">
        <v>10</v>
      </c>
      <c r="K42" s="1" t="s">
        <v>10</v>
      </c>
      <c r="L42" s="1">
        <v>3</v>
      </c>
    </row>
    <row r="43" spans="1:12" x14ac:dyDescent="0.3">
      <c r="A43" s="1" t="s">
        <v>174</v>
      </c>
      <c r="B43" s="1" t="s">
        <v>168</v>
      </c>
      <c r="C43" s="1" t="s">
        <v>133</v>
      </c>
      <c r="D43" s="1">
        <v>3</v>
      </c>
      <c r="E43" s="1" t="s">
        <v>172</v>
      </c>
      <c r="F43" s="1" t="s">
        <v>276</v>
      </c>
      <c r="G43" s="1" t="s">
        <v>278</v>
      </c>
      <c r="H43" s="1" t="s">
        <v>10</v>
      </c>
      <c r="I43" s="1" t="s">
        <v>3</v>
      </c>
      <c r="J43" s="1" t="s">
        <v>10</v>
      </c>
      <c r="K43" s="1" t="s">
        <v>10</v>
      </c>
      <c r="L43" s="1">
        <v>4</v>
      </c>
    </row>
    <row r="44" spans="1:12" x14ac:dyDescent="0.3">
      <c r="A44" s="1" t="s">
        <v>176</v>
      </c>
      <c r="B44" s="1" t="s">
        <v>170</v>
      </c>
      <c r="C44" s="1" t="s">
        <v>133</v>
      </c>
      <c r="D44" s="1">
        <v>3</v>
      </c>
      <c r="E44" s="1" t="s">
        <v>174</v>
      </c>
      <c r="F44" s="1" t="s">
        <v>279</v>
      </c>
      <c r="G44" s="14" t="s">
        <v>437</v>
      </c>
      <c r="H44" s="1" t="s">
        <v>10</v>
      </c>
      <c r="I44" s="1" t="s">
        <v>3</v>
      </c>
      <c r="J44" s="1" t="s">
        <v>10</v>
      </c>
      <c r="K44" s="1" t="s">
        <v>10</v>
      </c>
      <c r="L44" s="1">
        <v>5</v>
      </c>
    </row>
    <row r="45" spans="1:12" x14ac:dyDescent="0.3">
      <c r="A45" s="1" t="s">
        <v>178</v>
      </c>
      <c r="B45" s="1" t="s">
        <v>376</v>
      </c>
      <c r="C45" s="1" t="s">
        <v>133</v>
      </c>
      <c r="D45" s="1">
        <v>3</v>
      </c>
      <c r="E45" s="1" t="s">
        <v>142</v>
      </c>
      <c r="F45" s="1" t="s">
        <v>280</v>
      </c>
      <c r="G45" s="7" t="s">
        <v>281</v>
      </c>
      <c r="H45" s="1" t="s">
        <v>3</v>
      </c>
      <c r="I45" s="1" t="s">
        <v>3</v>
      </c>
      <c r="J45" s="1" t="s">
        <v>3</v>
      </c>
      <c r="K45" s="1" t="s">
        <v>3</v>
      </c>
      <c r="L45" s="1">
        <v>3</v>
      </c>
    </row>
    <row r="46" spans="1:12" x14ac:dyDescent="0.3">
      <c r="A46" s="1" t="s">
        <v>180</v>
      </c>
      <c r="B46" s="1" t="s">
        <v>173</v>
      </c>
      <c r="C46" s="1" t="s">
        <v>133</v>
      </c>
      <c r="D46" s="1">
        <v>3</v>
      </c>
      <c r="E46" s="1" t="s">
        <v>178</v>
      </c>
      <c r="F46" s="1" t="s">
        <v>282</v>
      </c>
      <c r="G46" s="1" t="s">
        <v>283</v>
      </c>
      <c r="H46" s="1" t="s">
        <v>3</v>
      </c>
      <c r="I46" s="1" t="s">
        <v>3</v>
      </c>
      <c r="J46" s="1" t="s">
        <v>3</v>
      </c>
      <c r="K46" s="1" t="s">
        <v>3</v>
      </c>
      <c r="L46" s="1">
        <v>4</v>
      </c>
    </row>
    <row r="47" spans="1:12" x14ac:dyDescent="0.3">
      <c r="A47" s="1" t="s">
        <v>182</v>
      </c>
      <c r="B47" s="1" t="s">
        <v>175</v>
      </c>
      <c r="C47" s="1" t="s">
        <v>133</v>
      </c>
      <c r="D47" s="1">
        <v>3</v>
      </c>
      <c r="E47" s="1" t="s">
        <v>178</v>
      </c>
      <c r="F47" s="1" t="s">
        <v>284</v>
      </c>
      <c r="G47" s="1" t="s">
        <v>285</v>
      </c>
      <c r="H47" s="1" t="s">
        <v>3</v>
      </c>
      <c r="I47" s="1" t="s">
        <v>3</v>
      </c>
      <c r="J47" s="1" t="s">
        <v>3</v>
      </c>
      <c r="K47" s="1" t="s">
        <v>3</v>
      </c>
      <c r="L47" s="1">
        <v>4</v>
      </c>
    </row>
    <row r="48" spans="1:12" x14ac:dyDescent="0.3">
      <c r="A48" s="1" t="s">
        <v>184</v>
      </c>
      <c r="B48" s="1" t="s">
        <v>177</v>
      </c>
      <c r="C48" s="1" t="s">
        <v>133</v>
      </c>
      <c r="D48" s="1">
        <v>3</v>
      </c>
      <c r="E48" s="1" t="s">
        <v>142</v>
      </c>
      <c r="F48" s="1" t="s">
        <v>286</v>
      </c>
      <c r="G48" s="14" t="s">
        <v>438</v>
      </c>
      <c r="H48" s="1" t="s">
        <v>10</v>
      </c>
      <c r="I48" s="1" t="s">
        <v>3</v>
      </c>
      <c r="J48" s="1" t="s">
        <v>3</v>
      </c>
      <c r="K48" s="1" t="s">
        <v>10</v>
      </c>
      <c r="L48" s="1">
        <v>3</v>
      </c>
    </row>
    <row r="49" spans="1:12" x14ac:dyDescent="0.3">
      <c r="A49" s="1" t="s">
        <v>186</v>
      </c>
      <c r="B49" s="1" t="s">
        <v>179</v>
      </c>
      <c r="C49" s="1" t="s">
        <v>133</v>
      </c>
      <c r="D49" s="1">
        <v>3</v>
      </c>
      <c r="E49" s="1" t="s">
        <v>184</v>
      </c>
      <c r="F49" s="1" t="s">
        <v>287</v>
      </c>
      <c r="G49" s="1" t="s">
        <v>288</v>
      </c>
      <c r="H49" s="1" t="s">
        <v>10</v>
      </c>
      <c r="I49" s="1" t="s">
        <v>3</v>
      </c>
      <c r="J49" s="1" t="s">
        <v>10</v>
      </c>
      <c r="K49" s="1" t="s">
        <v>10</v>
      </c>
      <c r="L49" s="1">
        <v>4</v>
      </c>
    </row>
    <row r="50" spans="1:12" x14ac:dyDescent="0.3">
      <c r="A50" s="1" t="s">
        <v>188</v>
      </c>
      <c r="B50" s="1" t="s">
        <v>181</v>
      </c>
      <c r="C50" s="1" t="s">
        <v>133</v>
      </c>
      <c r="D50" s="1">
        <v>3</v>
      </c>
      <c r="E50" s="1" t="s">
        <v>184</v>
      </c>
      <c r="F50" s="1" t="s">
        <v>289</v>
      </c>
      <c r="G50" s="1" t="s">
        <v>290</v>
      </c>
      <c r="H50" s="1" t="s">
        <v>10</v>
      </c>
      <c r="I50" s="1" t="s">
        <v>3</v>
      </c>
      <c r="J50" s="1" t="s">
        <v>10</v>
      </c>
      <c r="K50" s="1" t="s">
        <v>10</v>
      </c>
      <c r="L50" s="1">
        <v>4</v>
      </c>
    </row>
    <row r="51" spans="1:12" x14ac:dyDescent="0.3">
      <c r="A51" s="1" t="s">
        <v>190</v>
      </c>
      <c r="B51" s="1" t="s">
        <v>183</v>
      </c>
      <c r="C51" s="1" t="s">
        <v>133</v>
      </c>
      <c r="D51" s="1">
        <v>3</v>
      </c>
      <c r="E51" s="1" t="s">
        <v>184</v>
      </c>
      <c r="F51" s="1" t="s">
        <v>291</v>
      </c>
      <c r="G51" s="1" t="s">
        <v>292</v>
      </c>
      <c r="H51" s="1" t="s">
        <v>10</v>
      </c>
      <c r="I51" s="1" t="s">
        <v>3</v>
      </c>
      <c r="J51" s="1" t="s">
        <v>3</v>
      </c>
      <c r="K51" s="1" t="s">
        <v>10</v>
      </c>
      <c r="L51" s="1">
        <v>4</v>
      </c>
    </row>
    <row r="52" spans="1:12" x14ac:dyDescent="0.3">
      <c r="A52" s="1" t="s">
        <v>191</v>
      </c>
      <c r="B52" s="1" t="s">
        <v>185</v>
      </c>
      <c r="C52" s="1" t="s">
        <v>133</v>
      </c>
      <c r="D52" s="1">
        <v>3</v>
      </c>
      <c r="E52" s="1" t="s">
        <v>184</v>
      </c>
      <c r="F52" s="1" t="s">
        <v>293</v>
      </c>
      <c r="G52" s="1" t="s">
        <v>294</v>
      </c>
      <c r="H52" s="1" t="s">
        <v>10</v>
      </c>
      <c r="I52" s="1" t="s">
        <v>3</v>
      </c>
      <c r="J52" s="1" t="s">
        <v>10</v>
      </c>
      <c r="K52" s="1" t="s">
        <v>10</v>
      </c>
      <c r="L52" s="1">
        <v>4</v>
      </c>
    </row>
    <row r="53" spans="1:12" x14ac:dyDescent="0.3">
      <c r="A53" s="1" t="s">
        <v>193</v>
      </c>
      <c r="B53" s="1" t="s">
        <v>187</v>
      </c>
      <c r="C53" s="1" t="s">
        <v>133</v>
      </c>
      <c r="D53" s="1">
        <v>3</v>
      </c>
      <c r="E53" s="1" t="s">
        <v>184</v>
      </c>
      <c r="F53" s="1" t="s">
        <v>295</v>
      </c>
      <c r="G53" s="1" t="s">
        <v>296</v>
      </c>
      <c r="H53" s="1" t="s">
        <v>10</v>
      </c>
      <c r="I53" s="1" t="s">
        <v>3</v>
      </c>
      <c r="J53" s="1" t="s">
        <v>3</v>
      </c>
      <c r="K53" s="1" t="s">
        <v>10</v>
      </c>
      <c r="L53" s="1">
        <v>4</v>
      </c>
    </row>
    <row r="54" spans="1:12" x14ac:dyDescent="0.3">
      <c r="A54" s="1" t="s">
        <v>195</v>
      </c>
      <c r="B54" s="1" t="s">
        <v>189</v>
      </c>
      <c r="C54" s="1" t="s">
        <v>133</v>
      </c>
      <c r="D54" s="1">
        <v>3</v>
      </c>
      <c r="E54" s="1" t="s">
        <v>142</v>
      </c>
      <c r="F54" s="1" t="s">
        <v>297</v>
      </c>
      <c r="G54" s="1" t="s">
        <v>298</v>
      </c>
      <c r="H54" s="1" t="s">
        <v>10</v>
      </c>
      <c r="I54" s="1" t="s">
        <v>10</v>
      </c>
      <c r="J54" s="1" t="s">
        <v>3</v>
      </c>
      <c r="K54" s="1" t="s">
        <v>10</v>
      </c>
      <c r="L54" s="1">
        <v>3</v>
      </c>
    </row>
    <row r="55" spans="1:12" x14ac:dyDescent="0.3">
      <c r="A55" s="1" t="s">
        <v>197</v>
      </c>
      <c r="B55" s="1" t="s">
        <v>381</v>
      </c>
      <c r="C55" s="1" t="s">
        <v>133</v>
      </c>
      <c r="D55" s="1">
        <v>3</v>
      </c>
      <c r="E55" s="1" t="s">
        <v>142</v>
      </c>
      <c r="F55" s="1" t="s">
        <v>299</v>
      </c>
      <c r="G55" s="1" t="s">
        <v>300</v>
      </c>
      <c r="H55" s="1" t="s">
        <v>10</v>
      </c>
      <c r="I55" s="1" t="s">
        <v>10</v>
      </c>
      <c r="J55" s="1" t="s">
        <v>3</v>
      </c>
      <c r="K55" s="1" t="s">
        <v>10</v>
      </c>
      <c r="L55" s="1">
        <v>3</v>
      </c>
    </row>
    <row r="56" spans="1:12" x14ac:dyDescent="0.3">
      <c r="A56" s="1" t="s">
        <v>199</v>
      </c>
      <c r="B56" s="1" t="s">
        <v>192</v>
      </c>
      <c r="C56" s="1" t="s">
        <v>133</v>
      </c>
      <c r="D56" s="1">
        <v>3</v>
      </c>
      <c r="E56" s="1" t="s">
        <v>197</v>
      </c>
      <c r="F56" s="1" t="s">
        <v>301</v>
      </c>
      <c r="G56" s="1" t="s">
        <v>302</v>
      </c>
      <c r="H56" s="1" t="s">
        <v>10</v>
      </c>
      <c r="I56" s="1" t="s">
        <v>10</v>
      </c>
      <c r="J56" s="1" t="s">
        <v>3</v>
      </c>
      <c r="K56" s="1" t="s">
        <v>10</v>
      </c>
      <c r="L56" s="1">
        <v>4</v>
      </c>
    </row>
    <row r="57" spans="1:12" x14ac:dyDescent="0.3">
      <c r="A57" s="1" t="s">
        <v>200</v>
      </c>
      <c r="B57" s="1" t="s">
        <v>194</v>
      </c>
      <c r="C57" s="1" t="s">
        <v>133</v>
      </c>
      <c r="D57" s="1">
        <v>3</v>
      </c>
      <c r="E57" s="1" t="s">
        <v>142</v>
      </c>
      <c r="F57" s="1" t="s">
        <v>303</v>
      </c>
      <c r="G57" s="7" t="s">
        <v>304</v>
      </c>
      <c r="H57" s="1" t="s">
        <v>3</v>
      </c>
      <c r="I57" s="1" t="s">
        <v>3</v>
      </c>
      <c r="J57" s="1" t="s">
        <v>3</v>
      </c>
      <c r="K57" s="1" t="s">
        <v>3</v>
      </c>
      <c r="L57" s="1">
        <v>3</v>
      </c>
    </row>
    <row r="58" spans="1:12" x14ac:dyDescent="0.3">
      <c r="A58" s="1" t="s">
        <v>202</v>
      </c>
      <c r="B58" s="1" t="s">
        <v>196</v>
      </c>
      <c r="C58" s="1" t="s">
        <v>133</v>
      </c>
      <c r="D58" s="1">
        <v>3</v>
      </c>
      <c r="E58" s="1" t="s">
        <v>200</v>
      </c>
      <c r="F58" s="1" t="s">
        <v>305</v>
      </c>
      <c r="G58" s="1" t="s">
        <v>306</v>
      </c>
      <c r="H58" s="1" t="s">
        <v>3</v>
      </c>
      <c r="I58" s="1" t="s">
        <v>10</v>
      </c>
      <c r="J58" s="1" t="s">
        <v>3</v>
      </c>
      <c r="K58" s="1" t="s">
        <v>10</v>
      </c>
      <c r="L58" s="1">
        <v>4</v>
      </c>
    </row>
    <row r="59" spans="1:12" x14ac:dyDescent="0.3">
      <c r="A59" s="1" t="s">
        <v>204</v>
      </c>
      <c r="B59" s="1" t="s">
        <v>198</v>
      </c>
      <c r="C59" s="1" t="s">
        <v>133</v>
      </c>
      <c r="D59" s="1">
        <v>3</v>
      </c>
      <c r="E59" s="1" t="s">
        <v>200</v>
      </c>
      <c r="F59" s="1" t="s">
        <v>307</v>
      </c>
      <c r="G59" s="1" t="s">
        <v>308</v>
      </c>
      <c r="H59" s="1" t="s">
        <v>3</v>
      </c>
      <c r="I59" s="1" t="s">
        <v>10</v>
      </c>
      <c r="J59" s="1" t="s">
        <v>3</v>
      </c>
      <c r="K59" s="1" t="s">
        <v>10</v>
      </c>
      <c r="L59" s="1">
        <v>4</v>
      </c>
    </row>
    <row r="60" spans="1:12" x14ac:dyDescent="0.3">
      <c r="A60" s="1" t="s">
        <v>206</v>
      </c>
      <c r="B60" s="1" t="s">
        <v>390</v>
      </c>
      <c r="C60" s="1" t="s">
        <v>133</v>
      </c>
      <c r="D60" s="1">
        <v>3</v>
      </c>
      <c r="E60" s="1" t="s">
        <v>200</v>
      </c>
      <c r="F60" s="1" t="s">
        <v>309</v>
      </c>
      <c r="G60" s="1" t="s">
        <v>310</v>
      </c>
      <c r="H60" s="1" t="s">
        <v>3</v>
      </c>
      <c r="I60" s="1" t="s">
        <v>10</v>
      </c>
      <c r="J60" s="1" t="s">
        <v>3</v>
      </c>
      <c r="K60" s="1" t="s">
        <v>10</v>
      </c>
      <c r="L60" s="1">
        <v>4</v>
      </c>
    </row>
    <row r="61" spans="1:12" x14ac:dyDescent="0.3">
      <c r="A61" s="1" t="s">
        <v>208</v>
      </c>
      <c r="B61" s="1" t="s">
        <v>201</v>
      </c>
      <c r="C61" s="1" t="s">
        <v>133</v>
      </c>
      <c r="D61" s="1">
        <v>3</v>
      </c>
      <c r="E61" s="1" t="s">
        <v>200</v>
      </c>
      <c r="F61" s="1" t="s">
        <v>311</v>
      </c>
      <c r="G61" s="1" t="s">
        <v>312</v>
      </c>
      <c r="H61" s="1" t="s">
        <v>3</v>
      </c>
      <c r="I61" s="1" t="s">
        <v>10</v>
      </c>
      <c r="J61" s="1" t="s">
        <v>3</v>
      </c>
      <c r="K61" s="1" t="s">
        <v>10</v>
      </c>
      <c r="L61" s="1">
        <v>4</v>
      </c>
    </row>
    <row r="62" spans="1:12" x14ac:dyDescent="0.3">
      <c r="A62" s="1" t="s">
        <v>391</v>
      </c>
      <c r="B62" s="1" t="s">
        <v>203</v>
      </c>
      <c r="C62" s="1" t="s">
        <v>133</v>
      </c>
      <c r="D62" s="1">
        <v>3</v>
      </c>
      <c r="E62" s="1" t="s">
        <v>200</v>
      </c>
      <c r="F62" s="1" t="s">
        <v>313</v>
      </c>
      <c r="G62" s="1" t="s">
        <v>314</v>
      </c>
      <c r="H62" s="1" t="s">
        <v>10</v>
      </c>
      <c r="I62" s="1" t="s">
        <v>3</v>
      </c>
      <c r="J62" s="1" t="s">
        <v>3</v>
      </c>
      <c r="K62" s="1" t="s">
        <v>10</v>
      </c>
      <c r="L62" s="1">
        <v>4</v>
      </c>
    </row>
    <row r="63" spans="1:12" x14ac:dyDescent="0.3">
      <c r="A63" s="1" t="s">
        <v>394</v>
      </c>
      <c r="B63" s="1" t="s">
        <v>205</v>
      </c>
      <c r="C63" s="1" t="s">
        <v>133</v>
      </c>
      <c r="D63" s="1">
        <v>3</v>
      </c>
      <c r="E63" s="1" t="s">
        <v>200</v>
      </c>
      <c r="F63" s="1" t="s">
        <v>315</v>
      </c>
      <c r="G63" s="1" t="s">
        <v>316</v>
      </c>
      <c r="H63" s="1" t="s">
        <v>10</v>
      </c>
      <c r="I63" s="1" t="s">
        <v>3</v>
      </c>
      <c r="J63" s="1" t="s">
        <v>10</v>
      </c>
      <c r="K63" s="1" t="s">
        <v>3</v>
      </c>
      <c r="L63" s="1">
        <v>4</v>
      </c>
    </row>
    <row r="64" spans="1:12" x14ac:dyDescent="0.3">
      <c r="A64" s="1" t="s">
        <v>398</v>
      </c>
      <c r="B64" s="1" t="s">
        <v>207</v>
      </c>
      <c r="C64" s="1" t="s">
        <v>133</v>
      </c>
      <c r="D64" s="1">
        <v>3</v>
      </c>
      <c r="E64" s="1" t="s">
        <v>200</v>
      </c>
      <c r="F64" s="1" t="s">
        <v>317</v>
      </c>
      <c r="G64" s="1" t="s">
        <v>318</v>
      </c>
      <c r="H64" s="1" t="s">
        <v>10</v>
      </c>
      <c r="I64" s="1" t="s">
        <v>3</v>
      </c>
      <c r="J64" s="1" t="s">
        <v>10</v>
      </c>
      <c r="K64" s="1" t="s">
        <v>3</v>
      </c>
      <c r="L64" s="1">
        <v>4</v>
      </c>
    </row>
    <row r="65" spans="1:12" x14ac:dyDescent="0.3">
      <c r="A65" s="1" t="s">
        <v>401</v>
      </c>
      <c r="B65" s="1" t="s">
        <v>209</v>
      </c>
      <c r="C65" s="1" t="s">
        <v>133</v>
      </c>
      <c r="D65" s="1">
        <v>3</v>
      </c>
      <c r="E65" s="1" t="s">
        <v>200</v>
      </c>
      <c r="F65" s="1" t="s">
        <v>319</v>
      </c>
      <c r="G65" s="1" t="s">
        <v>320</v>
      </c>
      <c r="H65" s="1" t="s">
        <v>10</v>
      </c>
      <c r="I65" s="1" t="s">
        <v>3</v>
      </c>
      <c r="J65" s="1" t="s">
        <v>10</v>
      </c>
      <c r="K65" s="1" t="s">
        <v>10</v>
      </c>
      <c r="L65" s="1">
        <v>4</v>
      </c>
    </row>
    <row r="66" spans="1:12" x14ac:dyDescent="0.3">
      <c r="A66" s="1" t="s">
        <v>415</v>
      </c>
      <c r="B66" s="1" t="s">
        <v>380</v>
      </c>
      <c r="C66" s="1" t="s">
        <v>133</v>
      </c>
      <c r="D66" s="1">
        <v>3</v>
      </c>
      <c r="E66" s="1" t="s">
        <v>142</v>
      </c>
      <c r="F66" s="1" t="s">
        <v>268</v>
      </c>
      <c r="G66" s="1" t="s">
        <v>269</v>
      </c>
      <c r="H66" s="1" t="s">
        <v>10</v>
      </c>
      <c r="I66" s="1" t="s">
        <v>3</v>
      </c>
      <c r="J66" s="1" t="s">
        <v>10</v>
      </c>
      <c r="K66" s="1" t="s">
        <v>10</v>
      </c>
      <c r="L66" s="1">
        <v>3</v>
      </c>
    </row>
    <row r="67" spans="1:12" x14ac:dyDescent="0.3">
      <c r="A67" s="1" t="s">
        <v>416</v>
      </c>
      <c r="B67" s="1" t="s">
        <v>379</v>
      </c>
      <c r="C67" s="1" t="s">
        <v>133</v>
      </c>
      <c r="D67" s="1">
        <v>3</v>
      </c>
      <c r="E67" s="1" t="s">
        <v>142</v>
      </c>
      <c r="F67" s="1" t="s">
        <v>261</v>
      </c>
      <c r="G67" s="7" t="s">
        <v>262</v>
      </c>
      <c r="H67" s="1" t="s">
        <v>10</v>
      </c>
      <c r="I67" s="1" t="s">
        <v>3</v>
      </c>
      <c r="J67" s="1" t="s">
        <v>10</v>
      </c>
      <c r="K67" s="1" t="s">
        <v>10</v>
      </c>
      <c r="L67" s="1">
        <v>3</v>
      </c>
    </row>
    <row r="68" spans="1:12" x14ac:dyDescent="0.3">
      <c r="A68" s="1" t="s">
        <v>417</v>
      </c>
      <c r="B68" s="1" t="s">
        <v>151</v>
      </c>
      <c r="C68" s="1" t="s">
        <v>133</v>
      </c>
      <c r="D68" s="1">
        <v>3</v>
      </c>
      <c r="E68" s="1" t="s">
        <v>142</v>
      </c>
      <c r="F68" s="1" t="s">
        <v>263</v>
      </c>
      <c r="G68" s="7" t="s">
        <v>264</v>
      </c>
      <c r="H68" s="1" t="s">
        <v>10</v>
      </c>
      <c r="I68" s="1" t="s">
        <v>3</v>
      </c>
      <c r="J68" s="1" t="s">
        <v>3</v>
      </c>
      <c r="K68" s="1" t="s">
        <v>10</v>
      </c>
      <c r="L68" s="1">
        <v>3</v>
      </c>
    </row>
    <row r="69" spans="1:12" x14ac:dyDescent="0.3">
      <c r="A69" s="1" t="s">
        <v>418</v>
      </c>
      <c r="B69" s="1" t="s">
        <v>153</v>
      </c>
      <c r="C69" s="1" t="s">
        <v>133</v>
      </c>
      <c r="D69" s="1">
        <v>3</v>
      </c>
      <c r="E69" s="1" t="s">
        <v>417</v>
      </c>
      <c r="F69" s="1" t="s">
        <v>265</v>
      </c>
      <c r="H69" s="1" t="s">
        <v>10</v>
      </c>
      <c r="I69" s="1" t="s">
        <v>3</v>
      </c>
      <c r="J69" s="1" t="s">
        <v>3</v>
      </c>
      <c r="K69" s="1" t="s">
        <v>10</v>
      </c>
      <c r="L69" s="1">
        <v>4</v>
      </c>
    </row>
    <row r="70" spans="1:12" x14ac:dyDescent="0.3">
      <c r="A70" s="1" t="s">
        <v>434</v>
      </c>
      <c r="B70" s="1" t="s">
        <v>155</v>
      </c>
      <c r="C70" s="1" t="s">
        <v>133</v>
      </c>
      <c r="D70" s="1">
        <v>3</v>
      </c>
      <c r="E70" s="1" t="s">
        <v>417</v>
      </c>
      <c r="F70" s="1" t="s">
        <v>266</v>
      </c>
      <c r="H70" s="1" t="s">
        <v>10</v>
      </c>
      <c r="I70" s="1" t="s">
        <v>3</v>
      </c>
      <c r="J70" s="1" t="s">
        <v>10</v>
      </c>
      <c r="K70" s="1" t="s">
        <v>10</v>
      </c>
      <c r="L70" s="1">
        <v>4</v>
      </c>
    </row>
    <row r="71" spans="1:12" x14ac:dyDescent="0.3">
      <c r="A71" s="1" t="s">
        <v>435</v>
      </c>
      <c r="B71" s="1" t="s">
        <v>157</v>
      </c>
      <c r="C71" s="1" t="s">
        <v>133</v>
      </c>
      <c r="D71" s="1">
        <v>3</v>
      </c>
      <c r="E71" s="1" t="s">
        <v>416</v>
      </c>
      <c r="F71" s="1" t="s">
        <v>267</v>
      </c>
      <c r="H71" s="1" t="s">
        <v>10</v>
      </c>
      <c r="I71" s="1" t="s">
        <v>3</v>
      </c>
      <c r="J71" s="1" t="s">
        <v>10</v>
      </c>
      <c r="K71" s="1" t="s">
        <v>10</v>
      </c>
      <c r="L71" s="1">
        <v>4</v>
      </c>
    </row>
    <row r="72" spans="1:12" x14ac:dyDescent="0.3">
      <c r="A72" s="1" t="s">
        <v>439</v>
      </c>
      <c r="B72" s="1" t="s">
        <v>441</v>
      </c>
      <c r="C72" s="1" t="s">
        <v>119</v>
      </c>
      <c r="D72" s="1">
        <v>2</v>
      </c>
      <c r="E72" s="1" t="s">
        <v>31</v>
      </c>
      <c r="F72" s="1" t="s">
        <v>442</v>
      </c>
      <c r="G72" s="14" t="s">
        <v>443</v>
      </c>
      <c r="H72" s="1" t="s">
        <v>10</v>
      </c>
      <c r="I72" s="1" t="s">
        <v>3</v>
      </c>
      <c r="J72" s="1" t="s">
        <v>3</v>
      </c>
      <c r="K72" s="1" t="s">
        <v>10</v>
      </c>
      <c r="L72" s="1">
        <v>4</v>
      </c>
    </row>
    <row r="73" spans="1:12" x14ac:dyDescent="0.3">
      <c r="A73" s="1" t="s">
        <v>440</v>
      </c>
      <c r="B73" s="1" t="s">
        <v>370</v>
      </c>
      <c r="C73" s="1" t="s">
        <v>370</v>
      </c>
      <c r="D73" s="1">
        <v>4</v>
      </c>
      <c r="E73" s="1" t="s">
        <v>24</v>
      </c>
      <c r="F73" s="1" t="s">
        <v>448</v>
      </c>
      <c r="G73" s="14" t="s">
        <v>449</v>
      </c>
      <c r="H73" s="1" t="s">
        <v>10</v>
      </c>
      <c r="I73" s="1" t="s">
        <v>3</v>
      </c>
      <c r="J73" s="1" t="s">
        <v>10</v>
      </c>
      <c r="K73" s="1" t="s">
        <v>3</v>
      </c>
      <c r="L73" s="1">
        <v>2</v>
      </c>
    </row>
  </sheetData>
  <hyperlinks>
    <hyperlink ref="G24" r:id="rId1"/>
    <hyperlink ref="G20" r:id="rId2"/>
    <hyperlink ref="G19" r:id="rId3"/>
    <hyperlink ref="G21" r:id="rId4"/>
    <hyperlink ref="G11" r:id="rId5"/>
    <hyperlink ref="G22" r:id="rId6"/>
    <hyperlink ref="G23" r:id="rId7"/>
    <hyperlink ref="G17" r:id="rId8" location="impaired" display="https://www.waterboards.ca.gov/water_issues/programs/water_quality_assessment/ - impaired"/>
    <hyperlink ref="G32" r:id="rId9"/>
    <hyperlink ref="G33" r:id="rId10"/>
    <hyperlink ref="G31" r:id="rId11"/>
    <hyperlink ref="G34" r:id="rId12"/>
    <hyperlink ref="G67" r:id="rId13"/>
    <hyperlink ref="G68" r:id="rId14"/>
    <hyperlink ref="G42" r:id="rId15"/>
    <hyperlink ref="G44" r:id="rId16"/>
    <hyperlink ref="G45" r:id="rId17"/>
    <hyperlink ref="G48" r:id="rId18"/>
    <hyperlink ref="G57" r:id="rId19"/>
    <hyperlink ref="G72" r:id="rId20"/>
    <hyperlink ref="G4" r:id="rId21"/>
    <hyperlink ref="G8" r:id="rId22"/>
    <hyperlink ref="G9" r:id="rId23"/>
    <hyperlink ref="G10" r:id="rId24"/>
    <hyperlink ref="G73" r:id="rId25"/>
  </hyperlinks>
  <pageMargins left="0.7" right="0.7" top="0.75" bottom="0.75" header="0.3" footer="0.3"/>
  <pageSetup orientation="portrait"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workbookViewId="0">
      <selection activeCell="B20" sqref="B20"/>
    </sheetView>
  </sheetViews>
  <sheetFormatPr defaultRowHeight="15.6" x14ac:dyDescent="0.3"/>
  <cols>
    <col min="1" max="16384" width="8.796875" style="1"/>
  </cols>
  <sheetData>
    <row r="1" spans="1:2" x14ac:dyDescent="0.3">
      <c r="A1" s="6" t="s">
        <v>36</v>
      </c>
      <c r="B1" s="6" t="s">
        <v>37</v>
      </c>
    </row>
    <row r="2" spans="1:2" x14ac:dyDescent="0.3">
      <c r="A2" s="1" t="s">
        <v>24</v>
      </c>
      <c r="B2" s="1" t="s">
        <v>25</v>
      </c>
    </row>
    <row r="3" spans="1:2" x14ac:dyDescent="0.3">
      <c r="A3" s="1" t="s">
        <v>25</v>
      </c>
      <c r="B3" s="1" t="s">
        <v>26</v>
      </c>
    </row>
    <row r="4" spans="1:2" x14ac:dyDescent="0.3">
      <c r="A4" s="1" t="s">
        <v>26</v>
      </c>
      <c r="B4" s="1" t="s">
        <v>27</v>
      </c>
    </row>
    <row r="5" spans="1:2" x14ac:dyDescent="0.3">
      <c r="A5" s="1" t="s">
        <v>27</v>
      </c>
      <c r="B5" s="1" t="s">
        <v>28</v>
      </c>
    </row>
    <row r="6" spans="1:2" x14ac:dyDescent="0.3">
      <c r="A6" s="1" t="s">
        <v>27</v>
      </c>
      <c r="B6" s="1" t="s">
        <v>29</v>
      </c>
    </row>
    <row r="7" spans="1:2" x14ac:dyDescent="0.3">
      <c r="A7" s="1" t="s">
        <v>25</v>
      </c>
      <c r="B7" s="1" t="s">
        <v>30</v>
      </c>
    </row>
    <row r="8" spans="1:2" x14ac:dyDescent="0.3">
      <c r="A8" s="1" t="s">
        <v>25</v>
      </c>
      <c r="B8" s="1" t="s">
        <v>31</v>
      </c>
    </row>
    <row r="9" spans="1:2" x14ac:dyDescent="0.3">
      <c r="A9" s="1" t="s">
        <v>31</v>
      </c>
      <c r="B9" s="1" t="s">
        <v>32</v>
      </c>
    </row>
    <row r="10" spans="1:2" x14ac:dyDescent="0.3">
      <c r="A10" s="1" t="s">
        <v>31</v>
      </c>
      <c r="B10" s="1" t="s">
        <v>33</v>
      </c>
    </row>
    <row r="11" spans="1:2" x14ac:dyDescent="0.3">
      <c r="A11" s="1" t="s">
        <v>31</v>
      </c>
      <c r="B11" s="1" t="s">
        <v>34</v>
      </c>
    </row>
    <row r="12" spans="1:2" x14ac:dyDescent="0.3">
      <c r="A12" s="1" t="s">
        <v>31</v>
      </c>
      <c r="B12" s="1" t="s">
        <v>35</v>
      </c>
    </row>
    <row r="13" spans="1:2" x14ac:dyDescent="0.3">
      <c r="A13" s="1" t="s">
        <v>31</v>
      </c>
      <c r="B13" s="1" t="s">
        <v>114</v>
      </c>
    </row>
    <row r="14" spans="1:2" x14ac:dyDescent="0.3">
      <c r="A14" s="1" t="s">
        <v>31</v>
      </c>
      <c r="B14" s="1" t="s">
        <v>115</v>
      </c>
    </row>
    <row r="15" spans="1:2" x14ac:dyDescent="0.3">
      <c r="A15" s="1" t="s">
        <v>31</v>
      </c>
      <c r="B15" s="1" t="s">
        <v>130</v>
      </c>
    </row>
    <row r="16" spans="1:2" x14ac:dyDescent="0.3">
      <c r="A16" s="1" t="s">
        <v>130</v>
      </c>
      <c r="B16" s="1" t="s">
        <v>132</v>
      </c>
    </row>
    <row r="17" spans="1:2" x14ac:dyDescent="0.3">
      <c r="A17" s="1" t="s">
        <v>31</v>
      </c>
      <c r="B17" s="1" t="s">
        <v>134</v>
      </c>
    </row>
    <row r="18" spans="1:2" x14ac:dyDescent="0.3">
      <c r="A18" s="1" t="s">
        <v>31</v>
      </c>
      <c r="B18" s="1" t="s">
        <v>116</v>
      </c>
    </row>
    <row r="19" spans="1:2" x14ac:dyDescent="0.3">
      <c r="A19" s="1" t="s">
        <v>31</v>
      </c>
      <c r="B19" s="1" t="s">
        <v>136</v>
      </c>
    </row>
    <row r="20" spans="1:2" x14ac:dyDescent="0.3">
      <c r="A20" s="1" t="s">
        <v>29</v>
      </c>
      <c r="B20" s="1" t="s">
        <v>137</v>
      </c>
    </row>
    <row r="21" spans="1:2" x14ac:dyDescent="0.3">
      <c r="A21" s="1" t="s">
        <v>31</v>
      </c>
      <c r="B21" s="1" t="s">
        <v>138</v>
      </c>
    </row>
    <row r="22" spans="1:2" x14ac:dyDescent="0.3">
      <c r="A22" s="1" t="s">
        <v>31</v>
      </c>
      <c r="B22" s="1" t="s">
        <v>140</v>
      </c>
    </row>
    <row r="23" spans="1:2" x14ac:dyDescent="0.3">
      <c r="A23" s="1" t="s">
        <v>25</v>
      </c>
      <c r="B23" s="1" t="s">
        <v>141</v>
      </c>
    </row>
    <row r="24" spans="1:2" x14ac:dyDescent="0.3">
      <c r="A24" s="1" t="s">
        <v>24</v>
      </c>
      <c r="B24" s="1" t="s">
        <v>142</v>
      </c>
    </row>
    <row r="25" spans="1:2" x14ac:dyDescent="0.3">
      <c r="A25" s="1" t="s">
        <v>142</v>
      </c>
      <c r="B25" s="1" t="s">
        <v>144</v>
      </c>
    </row>
    <row r="26" spans="1:2" x14ac:dyDescent="0.3">
      <c r="A26" s="1" t="s">
        <v>144</v>
      </c>
      <c r="B26" s="1" t="s">
        <v>145</v>
      </c>
    </row>
    <row r="27" spans="1:2" x14ac:dyDescent="0.3">
      <c r="A27" s="1" t="s">
        <v>144</v>
      </c>
      <c r="B27" s="1" t="s">
        <v>147</v>
      </c>
    </row>
    <row r="28" spans="1:2" x14ac:dyDescent="0.3">
      <c r="A28" s="1" t="s">
        <v>144</v>
      </c>
      <c r="B28" s="1" t="s">
        <v>149</v>
      </c>
    </row>
    <row r="29" spans="1:2" x14ac:dyDescent="0.3">
      <c r="A29" s="1" t="s">
        <v>144</v>
      </c>
      <c r="B29" s="1" t="s">
        <v>150</v>
      </c>
    </row>
    <row r="30" spans="1:2" x14ac:dyDescent="0.3">
      <c r="A30" s="1" t="s">
        <v>144</v>
      </c>
      <c r="B30" s="1" t="s">
        <v>152</v>
      </c>
    </row>
    <row r="31" spans="1:2" x14ac:dyDescent="0.3">
      <c r="A31" s="1" t="s">
        <v>144</v>
      </c>
      <c r="B31" s="1" t="s">
        <v>154</v>
      </c>
    </row>
    <row r="32" spans="1:2" x14ac:dyDescent="0.3">
      <c r="A32" s="1" t="s">
        <v>144</v>
      </c>
      <c r="B32" s="1" t="s">
        <v>156</v>
      </c>
    </row>
    <row r="33" spans="1:2" x14ac:dyDescent="0.3">
      <c r="A33" s="1" t="s">
        <v>144</v>
      </c>
      <c r="B33" s="1" t="s">
        <v>158</v>
      </c>
    </row>
    <row r="34" spans="1:2" x14ac:dyDescent="0.3">
      <c r="A34" s="1" t="s">
        <v>142</v>
      </c>
      <c r="B34" s="1" t="s">
        <v>159</v>
      </c>
    </row>
    <row r="35" spans="1:2" x14ac:dyDescent="0.3">
      <c r="A35" s="1" t="s">
        <v>159</v>
      </c>
      <c r="B35" s="1" t="s">
        <v>161</v>
      </c>
    </row>
    <row r="36" spans="1:2" x14ac:dyDescent="0.3">
      <c r="A36" s="1" t="s">
        <v>161</v>
      </c>
      <c r="B36" s="1" t="s">
        <v>163</v>
      </c>
    </row>
    <row r="37" spans="1:2" x14ac:dyDescent="0.3">
      <c r="A37" s="1" t="s">
        <v>159</v>
      </c>
      <c r="B37" s="1" t="s">
        <v>165</v>
      </c>
    </row>
    <row r="38" spans="1:2" x14ac:dyDescent="0.3">
      <c r="A38" s="1" t="s">
        <v>142</v>
      </c>
      <c r="B38" s="1" t="s">
        <v>167</v>
      </c>
    </row>
    <row r="39" spans="1:2" x14ac:dyDescent="0.3">
      <c r="A39" s="1" t="s">
        <v>167</v>
      </c>
      <c r="B39" s="1" t="s">
        <v>169</v>
      </c>
    </row>
    <row r="40" spans="1:2" x14ac:dyDescent="0.3">
      <c r="A40" s="1" t="s">
        <v>142</v>
      </c>
      <c r="B40" s="1" t="s">
        <v>171</v>
      </c>
    </row>
    <row r="41" spans="1:2" x14ac:dyDescent="0.3">
      <c r="A41" s="1" t="s">
        <v>142</v>
      </c>
      <c r="B41" s="1" t="s">
        <v>172</v>
      </c>
    </row>
    <row r="42" spans="1:2" x14ac:dyDescent="0.3">
      <c r="A42" s="1" t="s">
        <v>172</v>
      </c>
      <c r="B42" s="1" t="s">
        <v>174</v>
      </c>
    </row>
    <row r="43" spans="1:2" x14ac:dyDescent="0.3">
      <c r="A43" s="1" t="s">
        <v>174</v>
      </c>
      <c r="B43" s="1" t="s">
        <v>176</v>
      </c>
    </row>
    <row r="44" spans="1:2" x14ac:dyDescent="0.3">
      <c r="A44" s="1" t="s">
        <v>142</v>
      </c>
      <c r="B44" s="1" t="s">
        <v>178</v>
      </c>
    </row>
    <row r="45" spans="1:2" x14ac:dyDescent="0.3">
      <c r="A45" s="1" t="s">
        <v>178</v>
      </c>
      <c r="B45" s="1" t="s">
        <v>180</v>
      </c>
    </row>
    <row r="46" spans="1:2" x14ac:dyDescent="0.3">
      <c r="A46" s="1" t="s">
        <v>178</v>
      </c>
      <c r="B46" s="1" t="s">
        <v>182</v>
      </c>
    </row>
    <row r="47" spans="1:2" x14ac:dyDescent="0.3">
      <c r="A47" s="1" t="s">
        <v>142</v>
      </c>
      <c r="B47" s="1" t="s">
        <v>184</v>
      </c>
    </row>
    <row r="48" spans="1:2" x14ac:dyDescent="0.3">
      <c r="A48" s="1" t="s">
        <v>184</v>
      </c>
      <c r="B48" s="1" t="s">
        <v>186</v>
      </c>
    </row>
    <row r="49" spans="1:2" x14ac:dyDescent="0.3">
      <c r="A49" s="1" t="s">
        <v>184</v>
      </c>
      <c r="B49" s="1" t="s">
        <v>188</v>
      </c>
    </row>
    <row r="50" spans="1:2" x14ac:dyDescent="0.3">
      <c r="A50" s="1" t="s">
        <v>184</v>
      </c>
      <c r="B50" s="1" t="s">
        <v>190</v>
      </c>
    </row>
    <row r="51" spans="1:2" x14ac:dyDescent="0.3">
      <c r="A51" s="1" t="s">
        <v>184</v>
      </c>
      <c r="B51" s="1" t="s">
        <v>191</v>
      </c>
    </row>
    <row r="52" spans="1:2" x14ac:dyDescent="0.3">
      <c r="A52" s="1" t="s">
        <v>184</v>
      </c>
      <c r="B52" s="1" t="s">
        <v>193</v>
      </c>
    </row>
    <row r="53" spans="1:2" x14ac:dyDescent="0.3">
      <c r="A53" s="1" t="s">
        <v>142</v>
      </c>
      <c r="B53" s="1" t="s">
        <v>195</v>
      </c>
    </row>
    <row r="54" spans="1:2" x14ac:dyDescent="0.3">
      <c r="A54" s="1" t="s">
        <v>142</v>
      </c>
      <c r="B54" s="1" t="s">
        <v>197</v>
      </c>
    </row>
    <row r="55" spans="1:2" x14ac:dyDescent="0.3">
      <c r="A55" s="1" t="s">
        <v>197</v>
      </c>
      <c r="B55" s="1" t="s">
        <v>199</v>
      </c>
    </row>
    <row r="56" spans="1:2" x14ac:dyDescent="0.3">
      <c r="A56" s="1" t="s">
        <v>142</v>
      </c>
      <c r="B56" s="1" t="s">
        <v>200</v>
      </c>
    </row>
    <row r="57" spans="1:2" x14ac:dyDescent="0.3">
      <c r="A57" s="1" t="s">
        <v>200</v>
      </c>
      <c r="B57" s="1" t="s">
        <v>202</v>
      </c>
    </row>
    <row r="58" spans="1:2" x14ac:dyDescent="0.3">
      <c r="A58" s="1" t="s">
        <v>200</v>
      </c>
      <c r="B58" s="1" t="s">
        <v>204</v>
      </c>
    </row>
    <row r="59" spans="1:2" x14ac:dyDescent="0.3">
      <c r="A59" s="1" t="s">
        <v>200</v>
      </c>
      <c r="B59" s="1" t="s">
        <v>206</v>
      </c>
    </row>
    <row r="60" spans="1:2" x14ac:dyDescent="0.3">
      <c r="A60" s="1" t="s">
        <v>200</v>
      </c>
      <c r="B60" s="1" t="s">
        <v>208</v>
      </c>
    </row>
    <row r="61" spans="1:2" x14ac:dyDescent="0.3">
      <c r="A61" s="1" t="s">
        <v>200</v>
      </c>
      <c r="B61" s="1" t="s">
        <v>391</v>
      </c>
    </row>
    <row r="62" spans="1:2" x14ac:dyDescent="0.3">
      <c r="A62" s="1" t="s">
        <v>200</v>
      </c>
      <c r="B62" s="1" t="s">
        <v>394</v>
      </c>
    </row>
    <row r="63" spans="1:2" x14ac:dyDescent="0.3">
      <c r="A63" s="1" t="s">
        <v>200</v>
      </c>
      <c r="B63" s="1" t="s">
        <v>398</v>
      </c>
    </row>
    <row r="64" spans="1:2" x14ac:dyDescent="0.3">
      <c r="A64" s="1" t="s">
        <v>200</v>
      </c>
      <c r="B64" s="1" t="s">
        <v>401</v>
      </c>
    </row>
    <row r="65" spans="1:2" x14ac:dyDescent="0.3">
      <c r="A65" s="1" t="s">
        <v>142</v>
      </c>
      <c r="B65" s="1" t="s">
        <v>415</v>
      </c>
    </row>
    <row r="66" spans="1:2" x14ac:dyDescent="0.3">
      <c r="A66" s="1" t="s">
        <v>142</v>
      </c>
      <c r="B66" s="1" t="s">
        <v>416</v>
      </c>
    </row>
    <row r="67" spans="1:2" x14ac:dyDescent="0.3">
      <c r="A67" s="1" t="s">
        <v>142</v>
      </c>
      <c r="B67" s="1" t="s">
        <v>417</v>
      </c>
    </row>
    <row r="68" spans="1:2" x14ac:dyDescent="0.3">
      <c r="A68" s="1" t="s">
        <v>417</v>
      </c>
      <c r="B68" s="1" t="s">
        <v>418</v>
      </c>
    </row>
    <row r="69" spans="1:2" x14ac:dyDescent="0.3">
      <c r="A69" s="1" t="s">
        <v>417</v>
      </c>
      <c r="B69" s="1" t="s">
        <v>434</v>
      </c>
    </row>
    <row r="70" spans="1:2" x14ac:dyDescent="0.3">
      <c r="A70" s="1" t="s">
        <v>416</v>
      </c>
      <c r="B70" s="1" t="s">
        <v>435</v>
      </c>
    </row>
    <row r="71" spans="1:2" x14ac:dyDescent="0.3">
      <c r="A71" s="1" t="s">
        <v>31</v>
      </c>
      <c r="B71" s="1" t="s">
        <v>439</v>
      </c>
    </row>
    <row r="72" spans="1:2" x14ac:dyDescent="0.3">
      <c r="A72" s="1" t="s">
        <v>24</v>
      </c>
      <c r="B72" s="1" t="s">
        <v>440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9"/>
  <sheetViews>
    <sheetView zoomScale="80" zoomScaleNormal="80" workbookViewId="0">
      <pane xSplit="5" ySplit="1" topLeftCell="P2" activePane="bottomRight" state="frozen"/>
      <selection pane="topRight" activeCell="E1" sqref="E1"/>
      <selection pane="bottomLeft" activeCell="A2" sqref="A2"/>
      <selection pane="bottomRight" activeCell="E29" sqref="E29"/>
    </sheetView>
  </sheetViews>
  <sheetFormatPr defaultRowHeight="15.6" x14ac:dyDescent="0.3"/>
  <cols>
    <col min="1" max="1" width="9.8984375" style="1" bestFit="1" customWidth="1"/>
    <col min="2" max="2" width="29.19921875" style="1" customWidth="1"/>
    <col min="3" max="3" width="7.69921875" style="4" bestFit="1" customWidth="1"/>
    <col min="4" max="4" width="17.3984375" style="1" customWidth="1"/>
    <col min="5" max="6" width="30.69921875" style="1" customWidth="1"/>
    <col min="7" max="7" width="24.3984375" style="1" customWidth="1"/>
    <col min="8" max="8" width="16.09765625" style="1" bestFit="1" customWidth="1"/>
    <col min="9" max="9" width="24" style="1" customWidth="1"/>
    <col min="10" max="16384" width="8.796875" style="1"/>
  </cols>
  <sheetData>
    <row r="1" spans="1:22" x14ac:dyDescent="0.3">
      <c r="A1" s="3" t="s">
        <v>96</v>
      </c>
      <c r="B1" s="3" t="s">
        <v>97</v>
      </c>
      <c r="C1" s="13" t="s">
        <v>94</v>
      </c>
      <c r="D1" s="3" t="s">
        <v>92</v>
      </c>
      <c r="E1" s="3" t="s">
        <v>98</v>
      </c>
      <c r="F1" s="3" t="s">
        <v>117</v>
      </c>
      <c r="G1" s="3" t="s">
        <v>93</v>
      </c>
      <c r="H1" s="3" t="s">
        <v>95</v>
      </c>
      <c r="I1" s="3" t="s">
        <v>18</v>
      </c>
      <c r="J1" s="3" t="s">
        <v>99</v>
      </c>
      <c r="K1" s="3" t="s">
        <v>100</v>
      </c>
      <c r="L1" s="3" t="s">
        <v>101</v>
      </c>
      <c r="M1" s="3" t="s">
        <v>102</v>
      </c>
      <c r="N1" s="3" t="s">
        <v>103</v>
      </c>
      <c r="O1" s="3" t="s">
        <v>89</v>
      </c>
      <c r="P1" s="3" t="s">
        <v>104</v>
      </c>
      <c r="Q1" s="3" t="s">
        <v>90</v>
      </c>
      <c r="R1" s="3" t="s">
        <v>105</v>
      </c>
      <c r="S1" s="3" t="s">
        <v>106</v>
      </c>
      <c r="T1" s="3" t="s">
        <v>107</v>
      </c>
      <c r="U1" s="3" t="s">
        <v>84</v>
      </c>
      <c r="V1" s="3" t="s">
        <v>661</v>
      </c>
    </row>
    <row r="2" spans="1:22" x14ac:dyDescent="0.3">
      <c r="A2" s="1" t="s">
        <v>39</v>
      </c>
      <c r="B2" s="1" t="s">
        <v>382</v>
      </c>
      <c r="C2" s="4" t="s">
        <v>440</v>
      </c>
      <c r="D2" s="1" t="s">
        <v>370</v>
      </c>
      <c r="E2" s="1" t="s">
        <v>545</v>
      </c>
      <c r="F2" s="1" t="str">
        <f t="shared" ref="F2:F38" si="0">CONCATENATE(E2,": ",B2)</f>
        <v>GOA: CA Open Data Portal</v>
      </c>
      <c r="G2" s="1" t="s">
        <v>370</v>
      </c>
      <c r="H2" s="1">
        <v>4</v>
      </c>
      <c r="I2" s="7" t="s">
        <v>450</v>
      </c>
      <c r="J2" s="1" t="s">
        <v>451</v>
      </c>
      <c r="K2" s="1" t="s">
        <v>452</v>
      </c>
      <c r="L2" s="1" t="s">
        <v>3</v>
      </c>
      <c r="M2" s="1" t="s">
        <v>453</v>
      </c>
      <c r="N2" s="1" t="s">
        <v>454</v>
      </c>
      <c r="O2" s="1" t="s">
        <v>3</v>
      </c>
      <c r="P2" s="1" t="s">
        <v>9</v>
      </c>
      <c r="Q2" s="1" t="s">
        <v>10</v>
      </c>
      <c r="R2" s="1" t="s">
        <v>455</v>
      </c>
      <c r="S2" s="1" t="s">
        <v>3</v>
      </c>
      <c r="T2" s="1" t="s">
        <v>11</v>
      </c>
      <c r="U2" s="1" t="s">
        <v>85</v>
      </c>
    </row>
    <row r="3" spans="1:22" x14ac:dyDescent="0.3">
      <c r="A3" s="1" t="s">
        <v>40</v>
      </c>
      <c r="B3" s="1" t="s">
        <v>445</v>
      </c>
      <c r="C3" s="4" t="s">
        <v>27</v>
      </c>
      <c r="D3" s="1" t="s">
        <v>120</v>
      </c>
      <c r="E3" s="1" t="s">
        <v>662</v>
      </c>
      <c r="F3" s="1" t="str">
        <f t="shared" si="0"/>
        <v>CalEPA-Env Monitoring Branch: Surface Water Database (SURF)</v>
      </c>
      <c r="G3" s="1" t="s">
        <v>119</v>
      </c>
      <c r="H3" s="1">
        <v>2</v>
      </c>
      <c r="I3" s="7" t="s">
        <v>446</v>
      </c>
      <c r="J3" s="1" t="s">
        <v>6</v>
      </c>
      <c r="K3" s="1" t="s">
        <v>1</v>
      </c>
      <c r="L3" s="1" t="s">
        <v>3</v>
      </c>
      <c r="M3" s="1" t="s">
        <v>7</v>
      </c>
      <c r="N3" s="1" t="s">
        <v>458</v>
      </c>
      <c r="O3" s="1" t="s">
        <v>3</v>
      </c>
      <c r="P3" s="1" t="s">
        <v>10</v>
      </c>
      <c r="Q3" s="1" t="s">
        <v>10</v>
      </c>
      <c r="R3" s="1" t="s">
        <v>10</v>
      </c>
      <c r="S3" s="1" t="s">
        <v>10</v>
      </c>
      <c r="T3" s="1" t="s">
        <v>12</v>
      </c>
      <c r="U3" s="1" t="s">
        <v>85</v>
      </c>
    </row>
    <row r="4" spans="1:22" x14ac:dyDescent="0.3">
      <c r="A4" s="1" t="s">
        <v>41</v>
      </c>
      <c r="B4" s="1" t="s">
        <v>341</v>
      </c>
      <c r="C4" s="4" t="s">
        <v>27</v>
      </c>
      <c r="D4" s="1" t="s">
        <v>120</v>
      </c>
      <c r="E4" s="1" t="s">
        <v>662</v>
      </c>
      <c r="F4" s="1" t="str">
        <f t="shared" si="0"/>
        <v>CalEPA-Env Monitoring Branch: Well Inventory Database</v>
      </c>
      <c r="G4" s="1" t="s">
        <v>119</v>
      </c>
      <c r="H4" s="1">
        <v>2</v>
      </c>
      <c r="I4" s="7" t="s">
        <v>447</v>
      </c>
      <c r="J4" s="1" t="s">
        <v>6</v>
      </c>
      <c r="K4" s="1" t="s">
        <v>1</v>
      </c>
      <c r="L4" s="1" t="s">
        <v>3</v>
      </c>
      <c r="M4" s="1" t="s">
        <v>456</v>
      </c>
      <c r="N4" s="1" t="s">
        <v>457</v>
      </c>
      <c r="O4" s="1" t="s">
        <v>10</v>
      </c>
      <c r="P4" s="1" t="s">
        <v>10</v>
      </c>
      <c r="Q4" s="1" t="s">
        <v>3</v>
      </c>
      <c r="R4" s="1" t="s">
        <v>10</v>
      </c>
      <c r="S4" s="1" t="s">
        <v>10</v>
      </c>
      <c r="T4" s="1" t="s">
        <v>11</v>
      </c>
      <c r="U4" s="1" t="s">
        <v>85</v>
      </c>
    </row>
    <row r="5" spans="1:22" x14ac:dyDescent="0.3">
      <c r="A5" s="1" t="s">
        <v>42</v>
      </c>
      <c r="B5" s="1" t="s">
        <v>377</v>
      </c>
      <c r="C5" s="4" t="s">
        <v>31</v>
      </c>
      <c r="D5" s="1" t="s">
        <v>124</v>
      </c>
      <c r="E5" s="1" t="s">
        <v>663</v>
      </c>
      <c r="F5" s="1" t="str">
        <f t="shared" si="0"/>
        <v>CalEPA-SWRCB: Integrated Water Quality System Project</v>
      </c>
      <c r="G5" s="1" t="s">
        <v>119</v>
      </c>
      <c r="H5" s="1">
        <v>2</v>
      </c>
      <c r="I5" s="7" t="s">
        <v>459</v>
      </c>
      <c r="J5" s="1" t="s">
        <v>6</v>
      </c>
      <c r="K5" s="1" t="s">
        <v>1</v>
      </c>
      <c r="L5" s="1" t="s">
        <v>3</v>
      </c>
      <c r="M5" s="1" t="s">
        <v>460</v>
      </c>
      <c r="N5" s="1" t="s">
        <v>461</v>
      </c>
      <c r="O5" s="1" t="s">
        <v>3</v>
      </c>
      <c r="P5" s="1" t="s">
        <v>9</v>
      </c>
      <c r="Q5" s="1" t="s">
        <v>3</v>
      </c>
      <c r="R5" s="1" t="s">
        <v>88</v>
      </c>
      <c r="S5" s="1" t="s">
        <v>10</v>
      </c>
      <c r="T5" s="1" t="s">
        <v>462</v>
      </c>
      <c r="U5" s="1" t="s">
        <v>85</v>
      </c>
    </row>
    <row r="6" spans="1:22" x14ac:dyDescent="0.3">
      <c r="A6" s="1" t="s">
        <v>43</v>
      </c>
      <c r="B6" s="1" t="s">
        <v>339</v>
      </c>
      <c r="C6" s="4" t="s">
        <v>25</v>
      </c>
      <c r="D6" s="1" t="s">
        <v>119</v>
      </c>
      <c r="E6" s="1" t="s">
        <v>664</v>
      </c>
      <c r="F6" s="1" t="str">
        <f t="shared" si="0"/>
        <v>CalEPA: Regulated Site Portal</v>
      </c>
      <c r="G6" s="1" t="s">
        <v>119</v>
      </c>
      <c r="H6" s="1">
        <v>2</v>
      </c>
      <c r="I6" s="7" t="s">
        <v>463</v>
      </c>
      <c r="J6" s="1" t="s">
        <v>464</v>
      </c>
      <c r="K6" s="1" t="s">
        <v>465</v>
      </c>
      <c r="L6" s="1" t="s">
        <v>3</v>
      </c>
      <c r="M6" s="1" t="s">
        <v>460</v>
      </c>
      <c r="N6" s="1" t="s">
        <v>461</v>
      </c>
      <c r="O6" s="1" t="s">
        <v>10</v>
      </c>
      <c r="P6" s="1" t="s">
        <v>10</v>
      </c>
      <c r="Q6" s="1" t="s">
        <v>10</v>
      </c>
      <c r="R6" s="1" t="s">
        <v>10</v>
      </c>
      <c r="S6" s="1" t="s">
        <v>10</v>
      </c>
      <c r="T6" s="1" t="s">
        <v>11</v>
      </c>
      <c r="U6" s="1" t="s">
        <v>85</v>
      </c>
    </row>
    <row r="7" spans="1:22" x14ac:dyDescent="0.3">
      <c r="A7" s="1" t="s">
        <v>44</v>
      </c>
      <c r="B7" s="1" t="s">
        <v>344</v>
      </c>
      <c r="C7" s="4" t="s">
        <v>30</v>
      </c>
      <c r="D7" s="1" t="s">
        <v>123</v>
      </c>
      <c r="E7" s="1" t="s">
        <v>665</v>
      </c>
      <c r="F7" s="1" t="str">
        <f t="shared" si="0"/>
        <v>CalEPA-Toxic Substances: EnvirStor</v>
      </c>
      <c r="G7" s="1" t="s">
        <v>119</v>
      </c>
      <c r="H7" s="1">
        <v>2</v>
      </c>
      <c r="I7" s="7" t="s">
        <v>466</v>
      </c>
      <c r="J7" s="1" t="s">
        <v>464</v>
      </c>
      <c r="K7" s="1" t="s">
        <v>452</v>
      </c>
      <c r="L7" s="1" t="s">
        <v>3</v>
      </c>
      <c r="M7" s="1" t="s">
        <v>456</v>
      </c>
      <c r="N7" s="1" t="s">
        <v>467</v>
      </c>
      <c r="O7" s="1" t="s">
        <v>10</v>
      </c>
      <c r="P7" s="1" t="s">
        <v>10</v>
      </c>
      <c r="Q7" s="1" t="s">
        <v>10</v>
      </c>
      <c r="R7" s="1" t="s">
        <v>10</v>
      </c>
      <c r="S7" s="1" t="s">
        <v>10</v>
      </c>
      <c r="T7" s="1" t="s">
        <v>462</v>
      </c>
      <c r="U7" s="1" t="s">
        <v>85</v>
      </c>
    </row>
    <row r="8" spans="1:22" x14ac:dyDescent="0.3">
      <c r="A8" s="1" t="s">
        <v>45</v>
      </c>
      <c r="B8" s="1" t="s">
        <v>346</v>
      </c>
      <c r="C8" s="4" t="s">
        <v>141</v>
      </c>
      <c r="D8" s="1" t="s">
        <v>371</v>
      </c>
      <c r="E8" s="1" t="s">
        <v>666</v>
      </c>
      <c r="F8" s="1" t="str">
        <f t="shared" si="0"/>
        <v>CalEPA-Env Health Hazards: CalEnviroScreen</v>
      </c>
      <c r="G8" s="1" t="s">
        <v>119</v>
      </c>
      <c r="H8" s="1">
        <v>2</v>
      </c>
      <c r="I8" s="7" t="s">
        <v>468</v>
      </c>
      <c r="J8" s="1" t="s">
        <v>6</v>
      </c>
      <c r="K8" s="1" t="s">
        <v>1</v>
      </c>
      <c r="L8" s="1" t="s">
        <v>3</v>
      </c>
      <c r="M8" s="1" t="s">
        <v>469</v>
      </c>
      <c r="N8" s="1" t="s">
        <v>470</v>
      </c>
      <c r="O8" s="1" t="s">
        <v>3</v>
      </c>
      <c r="P8" s="1" t="s">
        <v>658</v>
      </c>
      <c r="Q8" s="1" t="s">
        <v>3</v>
      </c>
      <c r="R8" s="1" t="s">
        <v>91</v>
      </c>
      <c r="S8" s="1" t="s">
        <v>659</v>
      </c>
      <c r="T8" s="1" t="s">
        <v>11</v>
      </c>
      <c r="U8" s="1" t="s">
        <v>471</v>
      </c>
    </row>
    <row r="9" spans="1:22" x14ac:dyDescent="0.3">
      <c r="A9" s="1" t="s">
        <v>46</v>
      </c>
      <c r="B9" s="1" t="s">
        <v>472</v>
      </c>
      <c r="C9" s="4" t="s">
        <v>136</v>
      </c>
      <c r="D9" s="1" t="s">
        <v>395</v>
      </c>
      <c r="E9" s="1" t="s">
        <v>667</v>
      </c>
      <c r="F9" s="1" t="str">
        <f t="shared" si="0"/>
        <v>CalEPA-Water Rights: Electronic Water Rights Information Management System (EWRIMS)</v>
      </c>
      <c r="G9" s="1" t="s">
        <v>119</v>
      </c>
      <c r="H9" s="1">
        <v>2</v>
      </c>
      <c r="I9" s="7" t="s">
        <v>473</v>
      </c>
      <c r="J9" s="1" t="s">
        <v>6</v>
      </c>
      <c r="K9" s="1" t="s">
        <v>1</v>
      </c>
      <c r="L9" s="1" t="s">
        <v>3</v>
      </c>
      <c r="M9" s="1" t="s">
        <v>460</v>
      </c>
      <c r="N9" s="1" t="s">
        <v>475</v>
      </c>
      <c r="O9" s="1" t="s">
        <v>3</v>
      </c>
      <c r="P9" s="1" t="s">
        <v>658</v>
      </c>
      <c r="Q9" s="1" t="s">
        <v>3</v>
      </c>
      <c r="R9" s="1" t="s">
        <v>91</v>
      </c>
      <c r="S9" s="1" t="s">
        <v>10</v>
      </c>
      <c r="T9" s="1" t="s">
        <v>11</v>
      </c>
      <c r="U9" s="1" t="s">
        <v>87</v>
      </c>
    </row>
    <row r="10" spans="1:22" x14ac:dyDescent="0.3">
      <c r="A10" s="1" t="s">
        <v>47</v>
      </c>
      <c r="B10" s="1" t="s">
        <v>350</v>
      </c>
      <c r="C10" s="4" t="s">
        <v>114</v>
      </c>
      <c r="D10" s="1" t="s">
        <v>127</v>
      </c>
      <c r="E10" s="1" t="s">
        <v>668</v>
      </c>
      <c r="F10" s="1" t="str">
        <f t="shared" si="0"/>
        <v>CalEPA-Stormwater: Stormwater Multiple Application and Report Tracking System</v>
      </c>
      <c r="G10" s="1" t="s">
        <v>119</v>
      </c>
      <c r="H10" s="1">
        <v>2</v>
      </c>
      <c r="I10" s="14" t="s">
        <v>474</v>
      </c>
      <c r="J10" s="1" t="s">
        <v>6</v>
      </c>
      <c r="K10" s="1" t="s">
        <v>1</v>
      </c>
      <c r="L10" s="1" t="s">
        <v>3</v>
      </c>
      <c r="M10" s="1" t="s">
        <v>460</v>
      </c>
      <c r="N10" s="1" t="s">
        <v>467</v>
      </c>
      <c r="O10" s="1" t="s">
        <v>10</v>
      </c>
      <c r="P10" s="1" t="s">
        <v>10</v>
      </c>
      <c r="Q10" s="1" t="s">
        <v>10</v>
      </c>
      <c r="R10" s="1" t="s">
        <v>10</v>
      </c>
      <c r="S10" s="1" t="s">
        <v>10</v>
      </c>
      <c r="T10" s="1" t="s">
        <v>462</v>
      </c>
      <c r="U10" s="1" t="s">
        <v>87</v>
      </c>
    </row>
    <row r="11" spans="1:22" x14ac:dyDescent="0.3">
      <c r="A11" s="1" t="s">
        <v>48</v>
      </c>
      <c r="B11" s="1" t="s">
        <v>14</v>
      </c>
      <c r="C11" s="4" t="s">
        <v>116</v>
      </c>
      <c r="D11" s="1" t="s">
        <v>372</v>
      </c>
      <c r="E11" s="1" t="s">
        <v>669</v>
      </c>
      <c r="F11" s="1" t="str">
        <f t="shared" si="0"/>
        <v>CalEPA-Drinking Water: Drinking Water Watch</v>
      </c>
      <c r="G11" s="1" t="s">
        <v>119</v>
      </c>
      <c r="H11" s="1">
        <v>2</v>
      </c>
      <c r="I11" s="7" t="s">
        <v>476</v>
      </c>
      <c r="J11" s="1" t="s">
        <v>6</v>
      </c>
      <c r="K11" s="1" t="s">
        <v>1</v>
      </c>
      <c r="L11" s="1" t="s">
        <v>3</v>
      </c>
      <c r="M11" s="1" t="s">
        <v>13</v>
      </c>
      <c r="N11" s="1" t="s">
        <v>9</v>
      </c>
      <c r="O11" s="1" t="s">
        <v>3</v>
      </c>
      <c r="P11" s="1" t="s">
        <v>484</v>
      </c>
      <c r="Q11" s="1" t="s">
        <v>3</v>
      </c>
      <c r="R11" s="1" t="s">
        <v>91</v>
      </c>
      <c r="S11" s="1" t="s">
        <v>10</v>
      </c>
      <c r="T11" s="1" t="s">
        <v>12</v>
      </c>
      <c r="U11" s="1" t="s">
        <v>87</v>
      </c>
    </row>
    <row r="12" spans="1:22" x14ac:dyDescent="0.3">
      <c r="A12" s="1" t="s">
        <v>49</v>
      </c>
      <c r="B12" s="1" t="s">
        <v>353</v>
      </c>
      <c r="C12" s="4" t="s">
        <v>116</v>
      </c>
      <c r="D12" s="1" t="s">
        <v>372</v>
      </c>
      <c r="E12" s="1" t="s">
        <v>669</v>
      </c>
      <c r="F12" s="1" t="str">
        <f t="shared" si="0"/>
        <v>CalEPA-Drinking Water: Drinking Water Information Clearinghouse</v>
      </c>
      <c r="G12" s="1" t="s">
        <v>119</v>
      </c>
      <c r="H12" s="1">
        <v>2</v>
      </c>
      <c r="I12" s="7" t="s">
        <v>477</v>
      </c>
      <c r="J12" s="1" t="s">
        <v>6</v>
      </c>
      <c r="K12" s="1" t="s">
        <v>1</v>
      </c>
      <c r="L12" s="1" t="s">
        <v>3</v>
      </c>
      <c r="M12" s="1" t="s">
        <v>7</v>
      </c>
      <c r="N12" s="1" t="s">
        <v>480</v>
      </c>
      <c r="O12" s="1" t="s">
        <v>3</v>
      </c>
      <c r="P12" s="1" t="s">
        <v>5</v>
      </c>
      <c r="Q12" s="1" t="s">
        <v>3</v>
      </c>
      <c r="R12" s="1" t="s">
        <v>88</v>
      </c>
      <c r="S12" s="1" t="s">
        <v>10</v>
      </c>
      <c r="T12" s="1" t="s">
        <v>4</v>
      </c>
      <c r="U12" s="1" t="s">
        <v>87</v>
      </c>
    </row>
    <row r="13" spans="1:22" x14ac:dyDescent="0.3">
      <c r="A13" s="1" t="s">
        <v>326</v>
      </c>
      <c r="B13" s="1" t="s">
        <v>355</v>
      </c>
      <c r="C13" s="4" t="s">
        <v>130</v>
      </c>
      <c r="D13" s="1" t="s">
        <v>129</v>
      </c>
      <c r="E13" s="1" t="s">
        <v>670</v>
      </c>
      <c r="F13" s="1" t="str">
        <f t="shared" si="0"/>
        <v>CalEPA-Water Quality Assessments: Impaired Water Bodies</v>
      </c>
      <c r="G13" s="1" t="s">
        <v>119</v>
      </c>
      <c r="H13" s="1">
        <v>2</v>
      </c>
      <c r="I13" s="7" t="s">
        <v>478</v>
      </c>
      <c r="J13" s="1" t="s">
        <v>6</v>
      </c>
      <c r="K13" s="1" t="s">
        <v>1</v>
      </c>
      <c r="L13" s="1" t="s">
        <v>3</v>
      </c>
      <c r="M13" s="1" t="s">
        <v>469</v>
      </c>
      <c r="N13" s="1" t="s">
        <v>470</v>
      </c>
      <c r="O13" s="1" t="s">
        <v>10</v>
      </c>
      <c r="P13" s="1" t="s">
        <v>10</v>
      </c>
      <c r="Q13" s="1" t="s">
        <v>3</v>
      </c>
      <c r="R13" s="1" t="s">
        <v>10</v>
      </c>
      <c r="S13" s="1" t="s">
        <v>10</v>
      </c>
      <c r="T13" s="1" t="s">
        <v>11</v>
      </c>
      <c r="U13" s="1" t="s">
        <v>87</v>
      </c>
    </row>
    <row r="14" spans="1:22" x14ac:dyDescent="0.3">
      <c r="A14" s="1" t="s">
        <v>328</v>
      </c>
      <c r="B14" s="1" t="s">
        <v>357</v>
      </c>
      <c r="C14" s="4" t="s">
        <v>116</v>
      </c>
      <c r="D14" s="1" t="s">
        <v>372</v>
      </c>
      <c r="E14" s="1" t="s">
        <v>669</v>
      </c>
      <c r="F14" s="1" t="str">
        <f t="shared" si="0"/>
        <v xml:space="preserve">CalEPA-Drinking Water: Public Water System Service Area Boundary Tool </v>
      </c>
      <c r="G14" s="1" t="s">
        <v>119</v>
      </c>
      <c r="H14" s="1">
        <v>2</v>
      </c>
      <c r="I14" s="7" t="s">
        <v>479</v>
      </c>
      <c r="J14" s="1" t="s">
        <v>464</v>
      </c>
      <c r="K14" s="1" t="s">
        <v>465</v>
      </c>
      <c r="L14" s="1" t="s">
        <v>481</v>
      </c>
      <c r="M14" s="1" t="s">
        <v>482</v>
      </c>
      <c r="N14" s="1" t="s">
        <v>483</v>
      </c>
      <c r="O14" s="1" t="s">
        <v>3</v>
      </c>
      <c r="P14" s="1" t="s">
        <v>5</v>
      </c>
      <c r="Q14" s="1" t="s">
        <v>3</v>
      </c>
      <c r="R14" s="1" t="s">
        <v>91</v>
      </c>
      <c r="S14" s="1" t="s">
        <v>10</v>
      </c>
      <c r="T14" s="1" t="s">
        <v>11</v>
      </c>
      <c r="U14" s="1" t="s">
        <v>471</v>
      </c>
    </row>
    <row r="15" spans="1:22" x14ac:dyDescent="0.3">
      <c r="A15" s="1" t="s">
        <v>330</v>
      </c>
      <c r="B15" s="1" t="s">
        <v>359</v>
      </c>
      <c r="C15" s="4" t="s">
        <v>31</v>
      </c>
      <c r="D15" s="1" t="s">
        <v>124</v>
      </c>
      <c r="E15" s="1" t="s">
        <v>663</v>
      </c>
      <c r="F15" s="1" t="str">
        <f t="shared" si="0"/>
        <v>CalEPA-SWRCB: Data Map Services</v>
      </c>
      <c r="G15" s="1" t="s">
        <v>119</v>
      </c>
      <c r="H15" s="1">
        <v>2</v>
      </c>
      <c r="I15" s="7" t="s">
        <v>485</v>
      </c>
      <c r="J15" s="1" t="s">
        <v>6</v>
      </c>
      <c r="K15" s="1" t="s">
        <v>1</v>
      </c>
      <c r="L15" s="1" t="s">
        <v>3</v>
      </c>
      <c r="M15" s="1" t="s">
        <v>492</v>
      </c>
      <c r="N15" s="1" t="s">
        <v>493</v>
      </c>
      <c r="O15" s="1" t="s">
        <v>3</v>
      </c>
      <c r="P15" s="1" t="s">
        <v>9</v>
      </c>
      <c r="Q15" s="1" t="s">
        <v>10</v>
      </c>
      <c r="R15" s="1" t="s">
        <v>455</v>
      </c>
      <c r="S15" s="1" t="s">
        <v>3</v>
      </c>
      <c r="T15" s="1" t="s">
        <v>4</v>
      </c>
      <c r="U15" s="1" t="s">
        <v>471</v>
      </c>
    </row>
    <row r="16" spans="1:22" x14ac:dyDescent="0.3">
      <c r="A16" s="1" t="s">
        <v>332</v>
      </c>
      <c r="B16" s="1" t="s">
        <v>361</v>
      </c>
      <c r="C16" s="4" t="s">
        <v>136</v>
      </c>
      <c r="D16" s="1" t="s">
        <v>395</v>
      </c>
      <c r="E16" s="1" t="s">
        <v>667</v>
      </c>
      <c r="F16" s="1" t="str">
        <f t="shared" si="0"/>
        <v>CalEPA-Water Rights: Water Transfers Program</v>
      </c>
      <c r="G16" s="1" t="s">
        <v>119</v>
      </c>
      <c r="H16" s="1">
        <v>2</v>
      </c>
      <c r="I16" s="7" t="s">
        <v>486</v>
      </c>
      <c r="J16" s="1" t="s">
        <v>6</v>
      </c>
      <c r="K16" s="1" t="s">
        <v>1</v>
      </c>
      <c r="L16" s="1" t="s">
        <v>3</v>
      </c>
      <c r="M16" s="1" t="s">
        <v>7</v>
      </c>
      <c r="N16" s="1" t="s">
        <v>5</v>
      </c>
      <c r="O16" s="1" t="s">
        <v>10</v>
      </c>
      <c r="P16" s="1" t="s">
        <v>10</v>
      </c>
      <c r="Q16" s="1" t="s">
        <v>10</v>
      </c>
      <c r="R16" s="1" t="s">
        <v>10</v>
      </c>
      <c r="S16" s="1" t="s">
        <v>10</v>
      </c>
      <c r="T16" s="1" t="s">
        <v>12</v>
      </c>
      <c r="U16" s="1" t="s">
        <v>87</v>
      </c>
    </row>
    <row r="17" spans="1:21" x14ac:dyDescent="0.3">
      <c r="A17" s="1" t="s">
        <v>334</v>
      </c>
      <c r="B17" s="1" t="s">
        <v>363</v>
      </c>
      <c r="C17" s="4" t="s">
        <v>144</v>
      </c>
      <c r="D17" s="1" t="s">
        <v>135</v>
      </c>
      <c r="E17" s="1" t="s">
        <v>536</v>
      </c>
      <c r="F17" s="1" t="str">
        <f t="shared" si="0"/>
        <v>NRA-DWR: Water Data Library</v>
      </c>
      <c r="G17" s="1" t="s">
        <v>133</v>
      </c>
      <c r="H17" s="1">
        <v>3</v>
      </c>
      <c r="I17" s="7" t="s">
        <v>487</v>
      </c>
      <c r="J17" s="1" t="s">
        <v>464</v>
      </c>
      <c r="K17" s="1" t="s">
        <v>494</v>
      </c>
      <c r="L17" s="1" t="s">
        <v>3</v>
      </c>
      <c r="M17" s="1" t="s">
        <v>460</v>
      </c>
      <c r="N17" s="1" t="s">
        <v>495</v>
      </c>
      <c r="O17" s="1" t="s">
        <v>3</v>
      </c>
      <c r="P17" s="1" t="s">
        <v>9</v>
      </c>
      <c r="Q17" s="1" t="s">
        <v>10</v>
      </c>
      <c r="R17" s="1" t="s">
        <v>455</v>
      </c>
      <c r="S17" s="1" t="s">
        <v>10</v>
      </c>
      <c r="T17" s="1" t="s">
        <v>462</v>
      </c>
      <c r="U17" s="1" t="s">
        <v>85</v>
      </c>
    </row>
    <row r="18" spans="1:21" x14ac:dyDescent="0.3">
      <c r="A18" s="1" t="s">
        <v>336</v>
      </c>
      <c r="B18" s="1" t="s">
        <v>389</v>
      </c>
      <c r="C18" s="4" t="s">
        <v>31</v>
      </c>
      <c r="D18" s="1" t="s">
        <v>124</v>
      </c>
      <c r="E18" s="1" t="s">
        <v>663</v>
      </c>
      <c r="F18" s="1" t="str">
        <f t="shared" si="0"/>
        <v>CalEPA-SWRCB: CA Environmental Data Exchange Network</v>
      </c>
      <c r="G18" s="1" t="s">
        <v>119</v>
      </c>
      <c r="H18" s="1">
        <v>2</v>
      </c>
      <c r="I18" s="7" t="s">
        <v>488</v>
      </c>
      <c r="J18" s="1" t="s">
        <v>6</v>
      </c>
      <c r="K18" s="1" t="s">
        <v>452</v>
      </c>
      <c r="L18" s="1" t="s">
        <v>3</v>
      </c>
      <c r="M18" s="1" t="s">
        <v>469</v>
      </c>
      <c r="N18" s="1" t="s">
        <v>467</v>
      </c>
      <c r="O18" s="1" t="s">
        <v>10</v>
      </c>
      <c r="P18" s="1" t="s">
        <v>10</v>
      </c>
      <c r="Q18" s="1" t="s">
        <v>10</v>
      </c>
      <c r="R18" s="1" t="s">
        <v>10</v>
      </c>
      <c r="S18" s="1" t="s">
        <v>10</v>
      </c>
      <c r="T18" s="1" t="s">
        <v>4</v>
      </c>
      <c r="U18" s="1" t="s">
        <v>85</v>
      </c>
    </row>
    <row r="19" spans="1:21" x14ac:dyDescent="0.3">
      <c r="A19" s="1" t="s">
        <v>337</v>
      </c>
      <c r="B19" s="1" t="s">
        <v>366</v>
      </c>
      <c r="C19" s="4" t="s">
        <v>375</v>
      </c>
      <c r="D19" s="1" t="s">
        <v>373</v>
      </c>
      <c r="E19" s="1" t="s">
        <v>671</v>
      </c>
      <c r="F19" s="1" t="str">
        <f t="shared" si="0"/>
        <v>CalEPA,NRA: My Water Quality</v>
      </c>
      <c r="G19" s="1" t="s">
        <v>546</v>
      </c>
      <c r="H19" s="1" t="s">
        <v>546</v>
      </c>
      <c r="I19" s="7" t="s">
        <v>489</v>
      </c>
      <c r="J19" s="1" t="s">
        <v>6</v>
      </c>
      <c r="K19" s="1" t="s">
        <v>496</v>
      </c>
      <c r="L19" s="1" t="s">
        <v>3</v>
      </c>
      <c r="M19" s="1" t="s">
        <v>497</v>
      </c>
      <c r="N19" s="1" t="s">
        <v>498</v>
      </c>
      <c r="O19" s="1" t="s">
        <v>3</v>
      </c>
      <c r="P19" s="1" t="s">
        <v>9</v>
      </c>
      <c r="Q19" s="1" t="s">
        <v>10</v>
      </c>
      <c r="R19" s="1" t="s">
        <v>455</v>
      </c>
      <c r="S19" s="1" t="s">
        <v>3</v>
      </c>
      <c r="T19" s="1" t="s">
        <v>4</v>
      </c>
      <c r="U19" s="1" t="s">
        <v>85</v>
      </c>
    </row>
    <row r="20" spans="1:21" x14ac:dyDescent="0.3">
      <c r="A20" s="1" t="s">
        <v>338</v>
      </c>
      <c r="B20" s="1" t="s">
        <v>368</v>
      </c>
      <c r="C20" s="4" t="s">
        <v>137</v>
      </c>
      <c r="D20" s="1" t="s">
        <v>374</v>
      </c>
      <c r="E20" s="1" t="s">
        <v>672</v>
      </c>
      <c r="F20" s="1" t="str">
        <f t="shared" si="0"/>
        <v>CalEPA-GAMA: GAMA OnLine Tools</v>
      </c>
      <c r="G20" s="1" t="s">
        <v>119</v>
      </c>
      <c r="H20" s="1">
        <v>2</v>
      </c>
      <c r="I20" s="1" t="s">
        <v>490</v>
      </c>
      <c r="J20" s="1" t="s">
        <v>451</v>
      </c>
      <c r="K20" s="1" t="s">
        <v>499</v>
      </c>
      <c r="L20" s="1" t="s">
        <v>3</v>
      </c>
      <c r="M20" s="1" t="s">
        <v>460</v>
      </c>
      <c r="N20" s="1" t="s">
        <v>657</v>
      </c>
      <c r="O20" s="1" t="s">
        <v>501</v>
      </c>
      <c r="P20" s="1" t="s">
        <v>9</v>
      </c>
      <c r="Q20" s="1" t="s">
        <v>10</v>
      </c>
      <c r="R20" s="1" t="s">
        <v>455</v>
      </c>
      <c r="S20" s="1" t="s">
        <v>3</v>
      </c>
      <c r="T20" s="1" t="s">
        <v>11</v>
      </c>
      <c r="U20" s="1" t="s">
        <v>85</v>
      </c>
    </row>
    <row r="21" spans="1:21" x14ac:dyDescent="0.3">
      <c r="A21" s="1" t="s">
        <v>340</v>
      </c>
      <c r="B21" s="1" t="s">
        <v>444</v>
      </c>
      <c r="C21" s="4" t="s">
        <v>439</v>
      </c>
      <c r="D21" s="1" t="s">
        <v>441</v>
      </c>
      <c r="E21" s="1" t="s">
        <v>673</v>
      </c>
      <c r="F21" s="1" t="str">
        <f t="shared" si="0"/>
        <v>CalEPA-Conservation: Water Conservation and Production Reports</v>
      </c>
      <c r="G21" s="1" t="s">
        <v>119</v>
      </c>
      <c r="H21" s="1">
        <v>2</v>
      </c>
      <c r="I21" s="7" t="s">
        <v>491</v>
      </c>
      <c r="J21" s="1" t="s">
        <v>6</v>
      </c>
      <c r="K21" s="1" t="s">
        <v>1</v>
      </c>
      <c r="L21" s="1" t="s">
        <v>3</v>
      </c>
      <c r="M21" s="1" t="s">
        <v>456</v>
      </c>
      <c r="N21" s="1" t="s">
        <v>500</v>
      </c>
      <c r="O21" s="1" t="s">
        <v>10</v>
      </c>
      <c r="P21" s="1" t="s">
        <v>10</v>
      </c>
      <c r="Q21" s="1" t="s">
        <v>10</v>
      </c>
      <c r="R21" s="1" t="s">
        <v>10</v>
      </c>
      <c r="S21" s="1" t="s">
        <v>10</v>
      </c>
      <c r="T21" s="1" t="s">
        <v>12</v>
      </c>
      <c r="U21" s="1" t="s">
        <v>87</v>
      </c>
    </row>
    <row r="22" spans="1:21" x14ac:dyDescent="0.3">
      <c r="A22" s="1" t="s">
        <v>342</v>
      </c>
      <c r="B22" s="1" t="s">
        <v>378</v>
      </c>
      <c r="C22" s="4" t="s">
        <v>142</v>
      </c>
      <c r="D22" s="1" t="s">
        <v>133</v>
      </c>
      <c r="E22" s="1" t="s">
        <v>535</v>
      </c>
      <c r="F22" s="1" t="str">
        <f t="shared" si="0"/>
        <v>NRA: Natural Resources Agency Open Data</v>
      </c>
      <c r="G22" s="1" t="s">
        <v>133</v>
      </c>
      <c r="H22" s="1">
        <v>3</v>
      </c>
      <c r="I22" s="7" t="s">
        <v>502</v>
      </c>
      <c r="J22" s="1" t="s">
        <v>451</v>
      </c>
      <c r="K22" s="1" t="s">
        <v>452</v>
      </c>
      <c r="L22" s="1" t="s">
        <v>3</v>
      </c>
      <c r="M22" s="1" t="s">
        <v>469</v>
      </c>
      <c r="N22" s="1" t="s">
        <v>507</v>
      </c>
      <c r="O22" s="1" t="s">
        <v>3</v>
      </c>
      <c r="P22" s="1" t="s">
        <v>9</v>
      </c>
      <c r="Q22" s="1" t="s">
        <v>3</v>
      </c>
      <c r="R22" s="1" t="s">
        <v>510</v>
      </c>
      <c r="S22" s="1" t="s">
        <v>3</v>
      </c>
      <c r="T22" s="1" t="s">
        <v>11</v>
      </c>
      <c r="U22" s="1" t="s">
        <v>85</v>
      </c>
    </row>
    <row r="23" spans="1:21" x14ac:dyDescent="0.3">
      <c r="A23" s="1" t="s">
        <v>343</v>
      </c>
      <c r="B23" s="1" t="s">
        <v>383</v>
      </c>
      <c r="C23" s="4" t="s">
        <v>144</v>
      </c>
      <c r="D23" s="1" t="s">
        <v>135</v>
      </c>
      <c r="E23" s="1" t="s">
        <v>536</v>
      </c>
      <c r="F23" s="1" t="str">
        <f t="shared" si="0"/>
        <v>NRA-DWR: CA Water Library</v>
      </c>
      <c r="G23" s="1" t="s">
        <v>133</v>
      </c>
      <c r="H23" s="1">
        <v>3</v>
      </c>
      <c r="I23" s="7" t="s">
        <v>503</v>
      </c>
      <c r="J23" s="1" t="s">
        <v>451</v>
      </c>
      <c r="K23" s="1" t="s">
        <v>452</v>
      </c>
      <c r="L23" s="1" t="s">
        <v>3</v>
      </c>
      <c r="M23" s="1" t="s">
        <v>7</v>
      </c>
      <c r="N23" s="1" t="s">
        <v>5</v>
      </c>
      <c r="O23" s="1" t="s">
        <v>3</v>
      </c>
      <c r="P23" s="1" t="s">
        <v>9</v>
      </c>
      <c r="Q23" s="1" t="s">
        <v>10</v>
      </c>
      <c r="R23" s="1" t="s">
        <v>455</v>
      </c>
      <c r="S23" s="1" t="s">
        <v>10</v>
      </c>
      <c r="T23" s="1" t="s">
        <v>11</v>
      </c>
      <c r="U23" s="1" t="s">
        <v>86</v>
      </c>
    </row>
    <row r="24" spans="1:21" x14ac:dyDescent="0.3">
      <c r="A24" s="1" t="s">
        <v>345</v>
      </c>
      <c r="B24" s="1" t="s">
        <v>321</v>
      </c>
      <c r="C24" s="4" t="s">
        <v>375</v>
      </c>
      <c r="D24" s="1" t="s">
        <v>139</v>
      </c>
      <c r="E24" s="1" t="s">
        <v>538</v>
      </c>
      <c r="F24" s="1" t="str">
        <f t="shared" si="0"/>
        <v>Hub: Groundwater Exchange</v>
      </c>
      <c r="G24" s="1" t="s">
        <v>546</v>
      </c>
      <c r="H24" s="1" t="s">
        <v>546</v>
      </c>
      <c r="I24" s="7" t="s">
        <v>504</v>
      </c>
      <c r="J24" s="1" t="s">
        <v>464</v>
      </c>
      <c r="K24" s="1" t="s">
        <v>452</v>
      </c>
      <c r="L24" s="1" t="s">
        <v>10</v>
      </c>
      <c r="M24" s="1" t="s">
        <v>8</v>
      </c>
      <c r="N24" s="1" t="s">
        <v>508</v>
      </c>
      <c r="O24" s="1" t="s">
        <v>10</v>
      </c>
      <c r="P24" s="1" t="s">
        <v>10</v>
      </c>
      <c r="Q24" s="1" t="s">
        <v>10</v>
      </c>
      <c r="R24" s="1" t="s">
        <v>10</v>
      </c>
      <c r="S24" s="1" t="s">
        <v>10</v>
      </c>
      <c r="T24" s="1" t="s">
        <v>11</v>
      </c>
      <c r="U24" s="1" t="s">
        <v>86</v>
      </c>
    </row>
    <row r="25" spans="1:21" x14ac:dyDescent="0.3">
      <c r="A25" s="1" t="s">
        <v>347</v>
      </c>
      <c r="B25" s="1" t="s">
        <v>322</v>
      </c>
      <c r="C25" s="4" t="s">
        <v>144</v>
      </c>
      <c r="D25" s="1" t="s">
        <v>135</v>
      </c>
      <c r="E25" s="1" t="s">
        <v>536</v>
      </c>
      <c r="F25" s="1" t="str">
        <f t="shared" si="0"/>
        <v>NRA-DWR: Best Available Maps</v>
      </c>
      <c r="G25" s="1" t="s">
        <v>133</v>
      </c>
      <c r="H25" s="1">
        <v>3</v>
      </c>
      <c r="I25" s="1" t="s">
        <v>505</v>
      </c>
      <c r="J25" s="1" t="s">
        <v>464</v>
      </c>
      <c r="K25" s="1" t="s">
        <v>465</v>
      </c>
      <c r="L25" s="1" t="s">
        <v>10</v>
      </c>
      <c r="M25" s="1" t="s">
        <v>8</v>
      </c>
      <c r="N25" s="1" t="s">
        <v>508</v>
      </c>
      <c r="O25" s="1" t="s">
        <v>10</v>
      </c>
      <c r="P25" s="1" t="s">
        <v>10</v>
      </c>
      <c r="Q25" s="1" t="s">
        <v>10</v>
      </c>
      <c r="R25" s="1" t="s">
        <v>10</v>
      </c>
      <c r="S25" s="1" t="s">
        <v>10</v>
      </c>
      <c r="T25" s="1" t="s">
        <v>11</v>
      </c>
      <c r="U25" s="1" t="s">
        <v>471</v>
      </c>
    </row>
    <row r="26" spans="1:21" x14ac:dyDescent="0.3">
      <c r="A26" s="1" t="s">
        <v>348</v>
      </c>
      <c r="B26" s="1" t="s">
        <v>384</v>
      </c>
      <c r="C26" s="4" t="s">
        <v>144</v>
      </c>
      <c r="D26" s="1" t="s">
        <v>135</v>
      </c>
      <c r="E26" s="1" t="s">
        <v>536</v>
      </c>
      <c r="F26" s="1" t="str">
        <f t="shared" si="0"/>
        <v>NRA-DWR: CA Data Exchange Center</v>
      </c>
      <c r="G26" s="1" t="s">
        <v>133</v>
      </c>
      <c r="H26" s="1">
        <v>3</v>
      </c>
      <c r="I26" s="1" t="s">
        <v>506</v>
      </c>
      <c r="J26" s="1" t="s">
        <v>6</v>
      </c>
      <c r="K26" s="1" t="s">
        <v>1</v>
      </c>
      <c r="L26" s="1" t="s">
        <v>3</v>
      </c>
      <c r="M26" s="1" t="s">
        <v>469</v>
      </c>
      <c r="N26" s="1" t="s">
        <v>509</v>
      </c>
      <c r="O26" s="1" t="s">
        <v>10</v>
      </c>
      <c r="P26" s="1" t="s">
        <v>10</v>
      </c>
      <c r="Q26" s="1" t="s">
        <v>10</v>
      </c>
      <c r="R26" s="1" t="s">
        <v>10</v>
      </c>
      <c r="S26" s="1" t="s">
        <v>10</v>
      </c>
      <c r="T26" s="1" t="s">
        <v>462</v>
      </c>
      <c r="U26" s="1" t="s">
        <v>87</v>
      </c>
    </row>
    <row r="27" spans="1:21" x14ac:dyDescent="0.3">
      <c r="A27" s="1" t="s">
        <v>349</v>
      </c>
      <c r="B27" s="1" t="s">
        <v>385</v>
      </c>
      <c r="C27" s="4" t="s">
        <v>144</v>
      </c>
      <c r="D27" s="1" t="s">
        <v>135</v>
      </c>
      <c r="E27" s="1" t="s">
        <v>536</v>
      </c>
      <c r="F27" s="1" t="str">
        <f t="shared" si="0"/>
        <v>NRA-DWR: CA Irrigation Management Information System</v>
      </c>
      <c r="G27" s="1" t="s">
        <v>133</v>
      </c>
      <c r="H27" s="1">
        <v>3</v>
      </c>
      <c r="I27" s="7" t="s">
        <v>511</v>
      </c>
      <c r="J27" s="1" t="s">
        <v>6</v>
      </c>
      <c r="K27" s="1" t="s">
        <v>1</v>
      </c>
      <c r="L27" s="1" t="s">
        <v>3</v>
      </c>
      <c r="M27" s="1" t="s">
        <v>7</v>
      </c>
      <c r="N27" s="1" t="s">
        <v>517</v>
      </c>
      <c r="O27" s="1" t="s">
        <v>3</v>
      </c>
      <c r="P27" s="1" t="s">
        <v>9</v>
      </c>
      <c r="Q27" s="1" t="s">
        <v>10</v>
      </c>
      <c r="R27" s="1" t="s">
        <v>88</v>
      </c>
      <c r="S27" s="1" t="s">
        <v>10</v>
      </c>
      <c r="T27" s="1" t="s">
        <v>462</v>
      </c>
      <c r="U27" s="1" t="s">
        <v>87</v>
      </c>
    </row>
    <row r="28" spans="1:21" x14ac:dyDescent="0.3">
      <c r="A28" s="1" t="s">
        <v>351</v>
      </c>
      <c r="B28" s="1" t="s">
        <v>323</v>
      </c>
      <c r="C28" s="4" t="s">
        <v>144</v>
      </c>
      <c r="D28" s="1" t="s">
        <v>135</v>
      </c>
      <c r="E28" s="1" t="s">
        <v>536</v>
      </c>
      <c r="F28" s="1" t="str">
        <f t="shared" si="0"/>
        <v>NRA-DWR: Water Management Planning Tool</v>
      </c>
      <c r="G28" s="1" t="s">
        <v>133</v>
      </c>
      <c r="H28" s="1">
        <v>3</v>
      </c>
      <c r="I28" s="7" t="s">
        <v>512</v>
      </c>
      <c r="J28" s="1" t="s">
        <v>464</v>
      </c>
      <c r="K28" s="1" t="s">
        <v>465</v>
      </c>
      <c r="L28" s="1" t="s">
        <v>3</v>
      </c>
      <c r="M28" s="1" t="s">
        <v>492</v>
      </c>
      <c r="N28" s="1" t="s">
        <v>518</v>
      </c>
      <c r="O28" s="1" t="s">
        <v>3</v>
      </c>
      <c r="P28" s="1" t="s">
        <v>9</v>
      </c>
      <c r="Q28" s="1" t="s">
        <v>10</v>
      </c>
      <c r="R28" s="1" t="s">
        <v>455</v>
      </c>
      <c r="S28" s="1" t="s">
        <v>3</v>
      </c>
      <c r="T28" s="1" t="s">
        <v>11</v>
      </c>
      <c r="U28" s="1" t="s">
        <v>471</v>
      </c>
    </row>
    <row r="29" spans="1:21" x14ac:dyDescent="0.3">
      <c r="A29" s="1" t="s">
        <v>352</v>
      </c>
      <c r="B29" s="1" t="s">
        <v>324</v>
      </c>
      <c r="C29" s="4" t="s">
        <v>144</v>
      </c>
      <c r="D29" s="1" t="s">
        <v>135</v>
      </c>
      <c r="E29" s="1" t="s">
        <v>536</v>
      </c>
      <c r="F29" s="1" t="str">
        <f t="shared" si="0"/>
        <v>NRA-DWR: Groundwater Information Center Interactive Map Application</v>
      </c>
      <c r="G29" s="1" t="s">
        <v>133</v>
      </c>
      <c r="H29" s="1">
        <v>3</v>
      </c>
      <c r="I29" s="7" t="s">
        <v>513</v>
      </c>
      <c r="J29" s="1" t="s">
        <v>6</v>
      </c>
      <c r="K29" s="1" t="s">
        <v>1</v>
      </c>
      <c r="L29" s="1" t="s">
        <v>3</v>
      </c>
      <c r="M29" s="1" t="s">
        <v>7</v>
      </c>
      <c r="N29" s="1" t="s">
        <v>517</v>
      </c>
      <c r="O29" s="1" t="s">
        <v>3</v>
      </c>
      <c r="P29" s="1" t="s">
        <v>9</v>
      </c>
      <c r="Q29" s="1" t="s">
        <v>10</v>
      </c>
      <c r="R29" s="1" t="s">
        <v>91</v>
      </c>
      <c r="S29" s="1" t="s">
        <v>10</v>
      </c>
      <c r="T29" s="1" t="s">
        <v>12</v>
      </c>
      <c r="U29" s="1" t="s">
        <v>87</v>
      </c>
    </row>
    <row r="30" spans="1:21" x14ac:dyDescent="0.3">
      <c r="A30" s="1" t="s">
        <v>354</v>
      </c>
      <c r="B30" s="1" t="s">
        <v>325</v>
      </c>
      <c r="C30" s="4" t="s">
        <v>149</v>
      </c>
      <c r="D30" s="1" t="s">
        <v>421</v>
      </c>
      <c r="E30" s="1" t="s">
        <v>539</v>
      </c>
      <c r="F30" s="1" t="str">
        <f t="shared" si="0"/>
        <v>NRA-Flood Management: Flood Emergency Response Information Exchange</v>
      </c>
      <c r="G30" s="1" t="s">
        <v>133</v>
      </c>
      <c r="H30" s="1">
        <v>3</v>
      </c>
      <c r="I30" s="7" t="s">
        <v>514</v>
      </c>
      <c r="J30" s="1" t="s">
        <v>6</v>
      </c>
      <c r="K30" s="1" t="s">
        <v>1</v>
      </c>
      <c r="L30" s="1" t="s">
        <v>3</v>
      </c>
      <c r="M30" s="1" t="s">
        <v>519</v>
      </c>
      <c r="N30" s="1" t="s">
        <v>520</v>
      </c>
      <c r="O30" s="1" t="s">
        <v>10</v>
      </c>
      <c r="P30" s="1" t="s">
        <v>10</v>
      </c>
      <c r="Q30" s="1" t="s">
        <v>10</v>
      </c>
      <c r="R30" s="1" t="s">
        <v>10</v>
      </c>
      <c r="S30" s="1" t="s">
        <v>10</v>
      </c>
      <c r="T30" s="1" t="s">
        <v>11</v>
      </c>
      <c r="U30" s="1" t="s">
        <v>85</v>
      </c>
    </row>
    <row r="31" spans="1:21" x14ac:dyDescent="0.3">
      <c r="A31" s="1" t="s">
        <v>356</v>
      </c>
      <c r="B31" s="1" t="s">
        <v>386</v>
      </c>
      <c r="C31" s="4" t="s">
        <v>150</v>
      </c>
      <c r="D31" s="1" t="s">
        <v>422</v>
      </c>
      <c r="E31" s="1" t="s">
        <v>540</v>
      </c>
      <c r="F31" s="1" t="str">
        <f t="shared" si="0"/>
        <v>NRA-Groundwater Management: CA Statewide Groundwater Elevation Monitoring (CASGEM)</v>
      </c>
      <c r="G31" s="1" t="s">
        <v>133</v>
      </c>
      <c r="H31" s="1">
        <v>3</v>
      </c>
      <c r="I31" s="7" t="s">
        <v>515</v>
      </c>
      <c r="J31" s="1" t="s">
        <v>6</v>
      </c>
      <c r="K31" s="1" t="s">
        <v>4</v>
      </c>
      <c r="L31" s="1" t="s">
        <v>481</v>
      </c>
      <c r="M31" s="1" t="s">
        <v>521</v>
      </c>
      <c r="N31" s="1" t="s">
        <v>522</v>
      </c>
      <c r="O31" s="1" t="s">
        <v>3</v>
      </c>
      <c r="P31" s="1" t="s">
        <v>9</v>
      </c>
      <c r="Q31" s="1" t="s">
        <v>10</v>
      </c>
      <c r="R31" s="1" t="s">
        <v>455</v>
      </c>
      <c r="S31" s="1" t="s">
        <v>10</v>
      </c>
      <c r="T31" s="1" t="s">
        <v>4</v>
      </c>
      <c r="U31" s="1" t="s">
        <v>4</v>
      </c>
    </row>
    <row r="32" spans="1:21" x14ac:dyDescent="0.3">
      <c r="A32" s="1" t="s">
        <v>358</v>
      </c>
      <c r="B32" s="1" t="s">
        <v>327</v>
      </c>
      <c r="C32" s="4" t="s">
        <v>150</v>
      </c>
      <c r="D32" s="1" t="s">
        <v>422</v>
      </c>
      <c r="E32" s="1" t="s">
        <v>540</v>
      </c>
      <c r="F32" s="1" t="str">
        <f t="shared" si="0"/>
        <v>NRA-Groundwater Management: SGMA Groundwater Management Portal</v>
      </c>
      <c r="G32" s="1" t="s">
        <v>133</v>
      </c>
      <c r="H32" s="1">
        <v>3</v>
      </c>
      <c r="I32" s="7" t="s">
        <v>516</v>
      </c>
      <c r="J32" s="1" t="s">
        <v>6</v>
      </c>
      <c r="K32" s="1" t="s">
        <v>496</v>
      </c>
      <c r="L32" s="1" t="s">
        <v>3</v>
      </c>
      <c r="M32" s="1" t="s">
        <v>7</v>
      </c>
      <c r="N32" s="1" t="s">
        <v>523</v>
      </c>
      <c r="O32" s="1" t="s">
        <v>10</v>
      </c>
      <c r="P32" s="1" t="s">
        <v>10</v>
      </c>
      <c r="Q32" s="1" t="s">
        <v>10</v>
      </c>
      <c r="R32" s="1" t="s">
        <v>10</v>
      </c>
      <c r="S32" s="1" t="s">
        <v>10</v>
      </c>
      <c r="T32" s="1" t="s">
        <v>4</v>
      </c>
      <c r="U32" s="1" t="s">
        <v>85</v>
      </c>
    </row>
    <row r="33" spans="1:21" x14ac:dyDescent="0.3">
      <c r="A33" s="1" t="s">
        <v>360</v>
      </c>
      <c r="B33" s="1" t="s">
        <v>329</v>
      </c>
      <c r="C33" s="4" t="s">
        <v>161</v>
      </c>
      <c r="D33" s="1" t="s">
        <v>436</v>
      </c>
      <c r="E33" s="1" t="s">
        <v>542</v>
      </c>
      <c r="F33" s="1" t="str">
        <f t="shared" si="0"/>
        <v>NRA-CGS: DOC Maps: California Geological Survey</v>
      </c>
      <c r="G33" s="1" t="s">
        <v>133</v>
      </c>
      <c r="H33" s="1">
        <v>3</v>
      </c>
      <c r="I33" s="7" t="s">
        <v>524</v>
      </c>
      <c r="J33" s="1" t="s">
        <v>6</v>
      </c>
      <c r="K33" s="1" t="s">
        <v>1</v>
      </c>
      <c r="L33" s="1" t="s">
        <v>3</v>
      </c>
      <c r="M33" s="1" t="s">
        <v>492</v>
      </c>
      <c r="N33" s="1" t="s">
        <v>530</v>
      </c>
      <c r="O33" s="1" t="s">
        <v>3</v>
      </c>
      <c r="P33" s="1" t="s">
        <v>9</v>
      </c>
      <c r="Q33" s="1" t="s">
        <v>3</v>
      </c>
      <c r="R33" s="1" t="s">
        <v>510</v>
      </c>
      <c r="S33" s="1" t="s">
        <v>3</v>
      </c>
      <c r="T33" s="1" t="s">
        <v>11</v>
      </c>
      <c r="U33" s="1" t="s">
        <v>85</v>
      </c>
    </row>
    <row r="34" spans="1:21" x14ac:dyDescent="0.3">
      <c r="A34" s="1" t="s">
        <v>362</v>
      </c>
      <c r="B34" s="1" t="s">
        <v>331</v>
      </c>
      <c r="C34" s="4" t="s">
        <v>165</v>
      </c>
      <c r="D34" s="1" t="s">
        <v>148</v>
      </c>
      <c r="E34" s="1" t="s">
        <v>537</v>
      </c>
      <c r="F34" s="1" t="str">
        <f t="shared" si="0"/>
        <v>NRA-DOGGR: Water Use SB 1281 Data and Reports</v>
      </c>
      <c r="G34" s="1" t="s">
        <v>133</v>
      </c>
      <c r="H34" s="1">
        <v>3</v>
      </c>
      <c r="I34" s="7" t="s">
        <v>525</v>
      </c>
      <c r="J34" s="1" t="s">
        <v>6</v>
      </c>
      <c r="K34" s="1" t="s">
        <v>1</v>
      </c>
      <c r="L34" s="1" t="s">
        <v>3</v>
      </c>
      <c r="M34" s="1" t="s">
        <v>7</v>
      </c>
      <c r="N34" s="1" t="s">
        <v>531</v>
      </c>
      <c r="O34" s="1" t="s">
        <v>10</v>
      </c>
      <c r="P34" s="1" t="s">
        <v>10</v>
      </c>
      <c r="Q34" s="1" t="s">
        <v>3</v>
      </c>
      <c r="R34" s="1" t="s">
        <v>10</v>
      </c>
      <c r="S34" s="1" t="s">
        <v>10</v>
      </c>
      <c r="T34" s="1" t="s">
        <v>12</v>
      </c>
      <c r="U34" s="1" t="s">
        <v>87</v>
      </c>
    </row>
    <row r="35" spans="1:21" x14ac:dyDescent="0.3">
      <c r="A35" s="1" t="s">
        <v>364</v>
      </c>
      <c r="B35" s="1" t="s">
        <v>333</v>
      </c>
      <c r="C35" s="4" t="s">
        <v>174</v>
      </c>
      <c r="D35" s="1" t="s">
        <v>168</v>
      </c>
      <c r="E35" s="1" t="s">
        <v>543</v>
      </c>
      <c r="F35" s="1" t="str">
        <f t="shared" si="0"/>
        <v>NRA-Ecosystems Conservation: Biogeographic Information and Observation System</v>
      </c>
      <c r="G35" s="1" t="s">
        <v>133</v>
      </c>
      <c r="H35" s="1">
        <v>3</v>
      </c>
      <c r="I35" s="7" t="s">
        <v>526</v>
      </c>
      <c r="J35" s="1" t="s">
        <v>464</v>
      </c>
      <c r="K35" s="1" t="s">
        <v>465</v>
      </c>
      <c r="L35" s="1" t="s">
        <v>3</v>
      </c>
      <c r="M35" s="1" t="s">
        <v>519</v>
      </c>
      <c r="N35" s="1" t="s">
        <v>532</v>
      </c>
      <c r="O35" s="1" t="s">
        <v>3</v>
      </c>
      <c r="P35" s="1" t="s">
        <v>9</v>
      </c>
      <c r="Q35" s="1" t="s">
        <v>10</v>
      </c>
      <c r="R35" s="1" t="s">
        <v>510</v>
      </c>
      <c r="S35" s="1" t="s">
        <v>3</v>
      </c>
      <c r="T35" s="1" t="s">
        <v>4</v>
      </c>
      <c r="U35" s="1" t="s">
        <v>85</v>
      </c>
    </row>
    <row r="36" spans="1:21" x14ac:dyDescent="0.3">
      <c r="A36" s="1" t="s">
        <v>365</v>
      </c>
      <c r="B36" s="1" t="s">
        <v>335</v>
      </c>
      <c r="C36" s="4" t="s">
        <v>174</v>
      </c>
      <c r="D36" s="1" t="s">
        <v>168</v>
      </c>
      <c r="E36" s="1" t="s">
        <v>543</v>
      </c>
      <c r="F36" s="1" t="str">
        <f t="shared" si="0"/>
        <v>NRA-Ecosystems Conservation: Geographic Information Systems (GIS) Services</v>
      </c>
      <c r="G36" s="1" t="s">
        <v>133</v>
      </c>
      <c r="H36" s="1">
        <v>3</v>
      </c>
      <c r="I36" s="7" t="s">
        <v>527</v>
      </c>
      <c r="J36" s="1" t="s">
        <v>6</v>
      </c>
      <c r="K36" s="1" t="s">
        <v>1</v>
      </c>
      <c r="L36" s="1" t="s">
        <v>3</v>
      </c>
      <c r="M36" s="1" t="s">
        <v>469</v>
      </c>
      <c r="N36" s="1" t="s">
        <v>530</v>
      </c>
      <c r="O36" s="1" t="s">
        <v>10</v>
      </c>
      <c r="P36" s="1" t="s">
        <v>10</v>
      </c>
      <c r="Q36" s="1" t="s">
        <v>10</v>
      </c>
      <c r="R36" s="1" t="s">
        <v>10</v>
      </c>
      <c r="S36" s="1" t="s">
        <v>10</v>
      </c>
      <c r="T36" s="1" t="s">
        <v>4</v>
      </c>
      <c r="U36" s="1" t="s">
        <v>85</v>
      </c>
    </row>
    <row r="37" spans="1:21" x14ac:dyDescent="0.3">
      <c r="A37" s="1" t="s">
        <v>367</v>
      </c>
      <c r="B37" s="1" t="s">
        <v>387</v>
      </c>
      <c r="C37" s="4" t="s">
        <v>178</v>
      </c>
      <c r="D37" s="1" t="s">
        <v>376</v>
      </c>
      <c r="E37" s="1" t="s">
        <v>544</v>
      </c>
      <c r="F37" s="1" t="str">
        <f t="shared" si="0"/>
        <v>NRA-Energy Commission: Electricity Data, Facts, and Statistics</v>
      </c>
      <c r="G37" s="1" t="s">
        <v>133</v>
      </c>
      <c r="H37" s="1">
        <v>3</v>
      </c>
      <c r="I37" s="7" t="s">
        <v>528</v>
      </c>
      <c r="J37" s="1" t="s">
        <v>6</v>
      </c>
      <c r="K37" s="1" t="s">
        <v>1</v>
      </c>
      <c r="L37" s="1" t="s">
        <v>3</v>
      </c>
      <c r="M37" s="1" t="s">
        <v>533</v>
      </c>
      <c r="N37" s="1" t="s">
        <v>534</v>
      </c>
      <c r="O37" s="1" t="s">
        <v>10</v>
      </c>
      <c r="P37" s="1" t="s">
        <v>10</v>
      </c>
      <c r="Q37" s="1" t="s">
        <v>10</v>
      </c>
      <c r="R37" s="1" t="s">
        <v>10</v>
      </c>
      <c r="S37" s="1" t="s">
        <v>10</v>
      </c>
      <c r="T37" s="1" t="s">
        <v>12</v>
      </c>
      <c r="U37" s="1" t="s">
        <v>87</v>
      </c>
    </row>
    <row r="38" spans="1:21" x14ac:dyDescent="0.3">
      <c r="A38" s="1" t="s">
        <v>369</v>
      </c>
      <c r="B38" s="1" t="s">
        <v>388</v>
      </c>
      <c r="C38" s="4" t="s">
        <v>182</v>
      </c>
      <c r="D38" s="1" t="s">
        <v>175</v>
      </c>
      <c r="E38" s="1" t="s">
        <v>541</v>
      </c>
      <c r="F38" s="1" t="str">
        <f t="shared" si="0"/>
        <v>NRA-Renewable Energy: CA Renewable Energy Statistics and Data</v>
      </c>
      <c r="G38" s="1" t="s">
        <v>133</v>
      </c>
      <c r="H38" s="1">
        <v>3</v>
      </c>
      <c r="I38" s="7" t="s">
        <v>529</v>
      </c>
      <c r="J38" s="1" t="s">
        <v>6</v>
      </c>
      <c r="K38" s="1" t="s">
        <v>1</v>
      </c>
      <c r="L38" s="1" t="s">
        <v>3</v>
      </c>
      <c r="M38" s="1" t="s">
        <v>533</v>
      </c>
      <c r="N38" s="1" t="s">
        <v>534</v>
      </c>
      <c r="O38" s="1" t="s">
        <v>10</v>
      </c>
      <c r="P38" s="1" t="s">
        <v>10</v>
      </c>
      <c r="Q38" s="1" t="s">
        <v>10</v>
      </c>
      <c r="R38" s="1" t="s">
        <v>10</v>
      </c>
      <c r="S38" s="1" t="s">
        <v>10</v>
      </c>
      <c r="T38" s="1" t="s">
        <v>12</v>
      </c>
      <c r="U38" s="1" t="s">
        <v>87</v>
      </c>
    </row>
    <row r="39" spans="1:21" x14ac:dyDescent="0.3">
      <c r="C39" s="1"/>
    </row>
    <row r="40" spans="1:21" x14ac:dyDescent="0.3">
      <c r="C40" s="1"/>
    </row>
    <row r="41" spans="1:21" x14ac:dyDescent="0.3">
      <c r="C41" s="1"/>
    </row>
    <row r="42" spans="1:21" x14ac:dyDescent="0.3">
      <c r="C42" s="1"/>
    </row>
    <row r="43" spans="1:21" x14ac:dyDescent="0.3">
      <c r="C43" s="1"/>
    </row>
    <row r="44" spans="1:21" x14ac:dyDescent="0.3">
      <c r="C44" s="1"/>
    </row>
    <row r="45" spans="1:21" x14ac:dyDescent="0.3">
      <c r="C45" s="1"/>
    </row>
    <row r="46" spans="1:21" x14ac:dyDescent="0.3">
      <c r="C46" s="1"/>
    </row>
    <row r="47" spans="1:21" x14ac:dyDescent="0.3">
      <c r="C47" s="1"/>
    </row>
    <row r="48" spans="1:21" x14ac:dyDescent="0.3">
      <c r="C48" s="1"/>
    </row>
    <row r="49" spans="3:3" x14ac:dyDescent="0.3">
      <c r="C49" s="1"/>
    </row>
  </sheetData>
  <hyperlinks>
    <hyperlink ref="I3" r:id="rId1"/>
    <hyperlink ref="I4" r:id="rId2"/>
    <hyperlink ref="I2" r:id="rId3"/>
    <hyperlink ref="I5" r:id="rId4"/>
    <hyperlink ref="I6" r:id="rId5"/>
    <hyperlink ref="I7" r:id="rId6"/>
    <hyperlink ref="I8" r:id="rId7"/>
    <hyperlink ref="I9" r:id="rId8" location="db"/>
    <hyperlink ref="I10" r:id="rId9"/>
    <hyperlink ref="I11" r:id="rId10"/>
    <hyperlink ref="I12" r:id="rId11"/>
    <hyperlink ref="I13" r:id="rId12"/>
    <hyperlink ref="I14" r:id="rId13"/>
    <hyperlink ref="I31" r:id="rId14"/>
    <hyperlink ref="I27" r:id="rId15"/>
    <hyperlink ref="I28" r:id="rId16"/>
    <hyperlink ref="I29" r:id="rId17"/>
    <hyperlink ref="I30" r:id="rId18"/>
    <hyperlink ref="I32" r:id="rId19" location="intro"/>
    <hyperlink ref="I33" r:id="rId20" location="datalist"/>
    <hyperlink ref="I34" r:id="rId21"/>
    <hyperlink ref="I35" r:id="rId22"/>
    <hyperlink ref="I36" r:id="rId23"/>
    <hyperlink ref="I37" r:id="rId24"/>
    <hyperlink ref="I38" r:id="rId25"/>
    <hyperlink ref="I19" r:id="rId26"/>
    <hyperlink ref="I24" r:id="rId27"/>
  </hyperlinks>
  <pageMargins left="0.7" right="0.7" top="0.75" bottom="0.75" header="0.3" footer="0.3"/>
  <pageSetup orientation="portrait" r:id="rId2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80" zoomScaleNormal="80" workbookViewId="0">
      <selection activeCell="B36" sqref="B36"/>
    </sheetView>
  </sheetViews>
  <sheetFormatPr defaultRowHeight="15.6" x14ac:dyDescent="0.3"/>
  <cols>
    <col min="1" max="1" width="9.8984375" style="1" bestFit="1" customWidth="1"/>
    <col min="2" max="2" width="29.19921875" style="1" customWidth="1"/>
    <col min="3" max="3" width="12.3984375" style="1" bestFit="1" customWidth="1"/>
    <col min="4" max="16384" width="8.796875" style="1"/>
  </cols>
  <sheetData>
    <row r="1" spans="1:3" x14ac:dyDescent="0.3">
      <c r="A1" s="6" t="s">
        <v>111</v>
      </c>
      <c r="B1" s="6" t="s">
        <v>110</v>
      </c>
      <c r="C1" s="6" t="s">
        <v>109</v>
      </c>
    </row>
    <row r="2" spans="1:3" x14ac:dyDescent="0.3">
      <c r="A2" s="1" t="s">
        <v>50</v>
      </c>
      <c r="B2" s="1" t="s">
        <v>71</v>
      </c>
      <c r="C2" s="1" t="s">
        <v>59</v>
      </c>
    </row>
    <row r="3" spans="1:3" x14ac:dyDescent="0.3">
      <c r="A3" s="1" t="s">
        <v>51</v>
      </c>
      <c r="B3" s="1" t="s">
        <v>72</v>
      </c>
      <c r="C3" s="1" t="s">
        <v>59</v>
      </c>
    </row>
    <row r="4" spans="1:3" x14ac:dyDescent="0.3">
      <c r="A4" s="1" t="s">
        <v>53</v>
      </c>
      <c r="B4" s="1" t="s">
        <v>73</v>
      </c>
      <c r="C4" s="1" t="s">
        <v>73</v>
      </c>
    </row>
    <row r="5" spans="1:3" x14ac:dyDescent="0.3">
      <c r="A5" s="1" t="s">
        <v>74</v>
      </c>
      <c r="B5" s="1" t="s">
        <v>65</v>
      </c>
      <c r="C5" s="1" t="s">
        <v>73</v>
      </c>
    </row>
    <row r="6" spans="1:3" x14ac:dyDescent="0.3">
      <c r="A6" s="1" t="s">
        <v>54</v>
      </c>
      <c r="B6" s="1" t="s">
        <v>52</v>
      </c>
      <c r="C6" s="1" t="s">
        <v>75</v>
      </c>
    </row>
    <row r="7" spans="1:3" x14ac:dyDescent="0.3">
      <c r="A7" s="1" t="s">
        <v>55</v>
      </c>
      <c r="B7" s="1" t="s">
        <v>76</v>
      </c>
      <c r="C7" s="1" t="s">
        <v>75</v>
      </c>
    </row>
    <row r="8" spans="1:3" x14ac:dyDescent="0.3">
      <c r="A8" s="1" t="s">
        <v>56</v>
      </c>
      <c r="B8" s="1" t="s">
        <v>77</v>
      </c>
      <c r="C8" s="1" t="s">
        <v>75</v>
      </c>
    </row>
    <row r="9" spans="1:3" x14ac:dyDescent="0.3">
      <c r="A9" s="1" t="s">
        <v>58</v>
      </c>
      <c r="B9" s="1" t="s">
        <v>2</v>
      </c>
      <c r="C9" s="1" t="s">
        <v>75</v>
      </c>
    </row>
    <row r="10" spans="1:3" x14ac:dyDescent="0.3">
      <c r="A10" s="1" t="s">
        <v>78</v>
      </c>
      <c r="B10" s="1" t="s">
        <v>61</v>
      </c>
      <c r="C10" s="1" t="s">
        <v>75</v>
      </c>
    </row>
    <row r="11" spans="1:3" x14ac:dyDescent="0.3">
      <c r="A11" s="1" t="s">
        <v>60</v>
      </c>
      <c r="B11" s="1" t="s">
        <v>63</v>
      </c>
      <c r="C11" s="1" t="s">
        <v>75</v>
      </c>
    </row>
    <row r="12" spans="1:3" x14ac:dyDescent="0.3">
      <c r="A12" s="1" t="s">
        <v>62</v>
      </c>
      <c r="B12" s="1" t="s">
        <v>16</v>
      </c>
      <c r="C12" s="1" t="s">
        <v>75</v>
      </c>
    </row>
    <row r="13" spans="1:3" x14ac:dyDescent="0.3">
      <c r="A13" s="1" t="s">
        <v>64</v>
      </c>
      <c r="B13" s="1" t="s">
        <v>68</v>
      </c>
      <c r="C13" s="1" t="s">
        <v>75</v>
      </c>
    </row>
    <row r="14" spans="1:3" x14ac:dyDescent="0.3">
      <c r="A14" s="1" t="s">
        <v>66</v>
      </c>
      <c r="B14" s="1" t="s">
        <v>15</v>
      </c>
      <c r="C14" s="1" t="s">
        <v>75</v>
      </c>
    </row>
    <row r="15" spans="1:3" x14ac:dyDescent="0.3">
      <c r="A15" s="1" t="s">
        <v>79</v>
      </c>
      <c r="B15" s="1" t="s">
        <v>57</v>
      </c>
      <c r="C15" s="1" t="s">
        <v>80</v>
      </c>
    </row>
    <row r="16" spans="1:3" x14ac:dyDescent="0.3">
      <c r="A16" s="1" t="s">
        <v>81</v>
      </c>
      <c r="B16" s="1" t="s">
        <v>82</v>
      </c>
      <c r="C16" s="1" t="s">
        <v>80</v>
      </c>
    </row>
    <row r="17" spans="1:3" x14ac:dyDescent="0.3">
      <c r="A17" s="1" t="s">
        <v>67</v>
      </c>
      <c r="B17" s="1" t="s">
        <v>80</v>
      </c>
      <c r="C17" s="1" t="s">
        <v>80</v>
      </c>
    </row>
    <row r="18" spans="1:3" x14ac:dyDescent="0.3">
      <c r="A18" s="1" t="s">
        <v>69</v>
      </c>
      <c r="B18" s="1" t="s">
        <v>38</v>
      </c>
      <c r="C18" s="1" t="s">
        <v>80</v>
      </c>
    </row>
    <row r="19" spans="1:3" x14ac:dyDescent="0.3">
      <c r="A19" s="1" t="s">
        <v>70</v>
      </c>
      <c r="B19" s="1" t="s">
        <v>83</v>
      </c>
      <c r="C19" s="1" t="s">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4"/>
  <sheetViews>
    <sheetView zoomScale="80" zoomScaleNormal="80" workbookViewId="0">
      <pane ySplit="1" topLeftCell="A80" activePane="bottomLeft" state="frozen"/>
      <selection pane="bottomLeft" activeCell="I2" sqref="I2:I124"/>
    </sheetView>
  </sheetViews>
  <sheetFormatPr defaultRowHeight="15.6" x14ac:dyDescent="0.3"/>
  <cols>
    <col min="1" max="1" width="10.09765625" style="1" bestFit="1" customWidth="1"/>
    <col min="2" max="2" width="25.5" style="1" customWidth="1"/>
    <col min="3" max="3" width="15.296875" style="1" customWidth="1"/>
    <col min="4" max="4" width="19.796875" style="1" customWidth="1"/>
    <col min="5" max="5" width="21.8984375" style="1" customWidth="1"/>
    <col min="6" max="6" width="13.59765625" style="1" customWidth="1"/>
    <col min="7" max="7" width="13.5" style="1" bestFit="1" customWidth="1"/>
    <col min="8" max="8" width="14.59765625" style="1" bestFit="1" customWidth="1"/>
    <col min="9" max="9" width="16.796875" style="1" customWidth="1"/>
    <col min="10" max="10" width="9.5" style="1" bestFit="1" customWidth="1"/>
    <col min="11" max="12" width="8.796875" style="1"/>
    <col min="13" max="13" width="16.796875" style="1" customWidth="1"/>
    <col min="14" max="16384" width="8.796875" style="1"/>
  </cols>
  <sheetData>
    <row r="1" spans="1:14" x14ac:dyDescent="0.3">
      <c r="A1" s="3" t="s">
        <v>96</v>
      </c>
      <c r="B1" s="10" t="s">
        <v>97</v>
      </c>
      <c r="C1" s="9" t="s">
        <v>92</v>
      </c>
      <c r="D1" s="9" t="s">
        <v>93</v>
      </c>
      <c r="E1" s="10" t="s">
        <v>18</v>
      </c>
      <c r="F1" s="9" t="s">
        <v>108</v>
      </c>
      <c r="G1" s="9" t="s">
        <v>110</v>
      </c>
      <c r="H1" s="9" t="s">
        <v>109</v>
      </c>
      <c r="I1" s="11" t="s">
        <v>111</v>
      </c>
      <c r="J1" s="9" t="s">
        <v>0</v>
      </c>
      <c r="M1" s="1" t="s">
        <v>113</v>
      </c>
      <c r="N1" s="1" t="s">
        <v>112</v>
      </c>
    </row>
    <row r="2" spans="1:14" x14ac:dyDescent="0.3">
      <c r="A2" s="1" t="s">
        <v>39</v>
      </c>
      <c r="B2" s="1" t="s">
        <v>382</v>
      </c>
      <c r="C2" s="1" t="s">
        <v>370</v>
      </c>
      <c r="D2" s="1" t="s">
        <v>370</v>
      </c>
      <c r="E2" s="7" t="s">
        <v>450</v>
      </c>
      <c r="F2" s="1" t="s">
        <v>547</v>
      </c>
      <c r="G2" s="1" t="s">
        <v>71</v>
      </c>
      <c r="H2" s="1" t="s">
        <v>59</v>
      </c>
      <c r="I2" s="1" t="str">
        <f>VLOOKUP($G2,$M$2:$N$19,2,FALSE)</f>
        <v>d01</v>
      </c>
      <c r="M2" s="8" t="str">
        <f>dataNodes!B2</f>
        <v>Built</v>
      </c>
      <c r="N2" s="5" t="str">
        <f>dataNodes!A2</f>
        <v>d01</v>
      </c>
    </row>
    <row r="3" spans="1:14" x14ac:dyDescent="0.3">
      <c r="A3" s="1" t="s">
        <v>39</v>
      </c>
      <c r="B3" s="1" t="s">
        <v>382</v>
      </c>
      <c r="C3" s="1" t="s">
        <v>370</v>
      </c>
      <c r="D3" s="1" t="s">
        <v>370</v>
      </c>
      <c r="E3" s="7" t="s">
        <v>450</v>
      </c>
      <c r="F3" s="1" t="s">
        <v>548</v>
      </c>
      <c r="G3" s="1" t="s">
        <v>72</v>
      </c>
      <c r="H3" s="1" t="s">
        <v>59</v>
      </c>
      <c r="I3" s="1" t="str">
        <f t="shared" ref="I3:I66" si="0">VLOOKUP(G3,$M$2:$N$19,2,FALSE)</f>
        <v>d02</v>
      </c>
      <c r="M3" s="8" t="str">
        <f>dataNodes!B3</f>
        <v>Natural</v>
      </c>
      <c r="N3" s="5" t="str">
        <f>dataNodes!A3</f>
        <v>d02</v>
      </c>
    </row>
    <row r="4" spans="1:14" x14ac:dyDescent="0.3">
      <c r="A4" s="1" t="s">
        <v>39</v>
      </c>
      <c r="B4" s="1" t="s">
        <v>382</v>
      </c>
      <c r="C4" s="1" t="s">
        <v>370</v>
      </c>
      <c r="D4" s="1" t="s">
        <v>370</v>
      </c>
      <c r="E4" s="7" t="s">
        <v>450</v>
      </c>
      <c r="F4" s="1" t="s">
        <v>549</v>
      </c>
      <c r="G4" s="1" t="s">
        <v>73</v>
      </c>
      <c r="H4" s="1" t="s">
        <v>73</v>
      </c>
      <c r="I4" s="1" t="str">
        <f t="shared" si="0"/>
        <v>d03</v>
      </c>
      <c r="M4" s="8" t="str">
        <f>dataNodes!B4</f>
        <v>Quality</v>
      </c>
      <c r="N4" s="5" t="str">
        <f>dataNodes!A4</f>
        <v>d03</v>
      </c>
    </row>
    <row r="5" spans="1:14" x14ac:dyDescent="0.3">
      <c r="A5" s="1" t="s">
        <v>39</v>
      </c>
      <c r="B5" s="1" t="s">
        <v>382</v>
      </c>
      <c r="C5" s="1" t="s">
        <v>370</v>
      </c>
      <c r="D5" s="1" t="s">
        <v>370</v>
      </c>
      <c r="E5" s="7" t="s">
        <v>450</v>
      </c>
      <c r="F5" s="1" t="s">
        <v>550</v>
      </c>
      <c r="G5" s="1" t="s">
        <v>65</v>
      </c>
      <c r="H5" s="1" t="s">
        <v>73</v>
      </c>
      <c r="I5" s="1" t="str">
        <f t="shared" si="0"/>
        <v>d04</v>
      </c>
      <c r="M5" s="8" t="str">
        <f>dataNodes!B5</f>
        <v>Regulatory</v>
      </c>
      <c r="N5" s="5" t="str">
        <f>dataNodes!A5</f>
        <v>d04</v>
      </c>
    </row>
    <row r="6" spans="1:14" x14ac:dyDescent="0.3">
      <c r="A6" s="1" t="s">
        <v>39</v>
      </c>
      <c r="B6" s="1" t="s">
        <v>382</v>
      </c>
      <c r="C6" s="1" t="s">
        <v>370</v>
      </c>
      <c r="D6" s="1" t="s">
        <v>370</v>
      </c>
      <c r="E6" s="7" t="s">
        <v>450</v>
      </c>
      <c r="F6" s="1" t="s">
        <v>551</v>
      </c>
      <c r="G6" s="1" t="s">
        <v>38</v>
      </c>
      <c r="H6" s="1" t="s">
        <v>80</v>
      </c>
      <c r="I6" s="1" t="str">
        <f t="shared" si="0"/>
        <v>d17</v>
      </c>
      <c r="M6" s="8" t="str">
        <f>dataNodes!B6</f>
        <v>Evapotranspiration</v>
      </c>
      <c r="N6" s="5" t="str">
        <f>dataNodes!A6</f>
        <v>d05</v>
      </c>
    </row>
    <row r="7" spans="1:14" x14ac:dyDescent="0.3">
      <c r="A7" s="1" t="s">
        <v>39</v>
      </c>
      <c r="B7" s="1" t="s">
        <v>382</v>
      </c>
      <c r="C7" s="1" t="s">
        <v>370</v>
      </c>
      <c r="D7" s="1" t="s">
        <v>370</v>
      </c>
      <c r="E7" s="7" t="s">
        <v>450</v>
      </c>
      <c r="F7" s="1" t="s">
        <v>552</v>
      </c>
      <c r="G7" s="1" t="s">
        <v>2</v>
      </c>
      <c r="H7" s="1" t="s">
        <v>75</v>
      </c>
      <c r="I7" s="1" t="str">
        <f t="shared" si="0"/>
        <v>d08</v>
      </c>
      <c r="M7" s="8" t="str">
        <f>dataNodes!B7</f>
        <v>Extreme Events</v>
      </c>
      <c r="N7" s="5" t="str">
        <f>dataNodes!A7</f>
        <v>d06</v>
      </c>
    </row>
    <row r="8" spans="1:14" x14ac:dyDescent="0.3">
      <c r="A8" s="1" t="s">
        <v>39</v>
      </c>
      <c r="B8" s="1" t="s">
        <v>382</v>
      </c>
      <c r="C8" s="1" t="s">
        <v>370</v>
      </c>
      <c r="D8" s="1" t="s">
        <v>370</v>
      </c>
      <c r="E8" s="7" t="s">
        <v>450</v>
      </c>
      <c r="F8" s="1" t="s">
        <v>553</v>
      </c>
      <c r="G8" s="1" t="s">
        <v>83</v>
      </c>
      <c r="H8" s="1" t="s">
        <v>80</v>
      </c>
      <c r="I8" s="1" t="str">
        <f t="shared" si="0"/>
        <v>d18</v>
      </c>
      <c r="M8" s="8" t="str">
        <f>dataNodes!B8</f>
        <v>Glacial and Snow</v>
      </c>
      <c r="N8" s="5" t="str">
        <f>dataNodes!A8</f>
        <v>d07</v>
      </c>
    </row>
    <row r="9" spans="1:14" x14ac:dyDescent="0.3">
      <c r="A9" s="1" t="s">
        <v>39</v>
      </c>
      <c r="B9" s="1" t="s">
        <v>382</v>
      </c>
      <c r="C9" s="1" t="s">
        <v>370</v>
      </c>
      <c r="D9" s="1" t="s">
        <v>370</v>
      </c>
      <c r="E9" s="7" t="s">
        <v>450</v>
      </c>
      <c r="F9" s="1" t="s">
        <v>554</v>
      </c>
      <c r="G9" s="1" t="s">
        <v>52</v>
      </c>
      <c r="H9" s="1" t="s">
        <v>75</v>
      </c>
      <c r="I9" s="1" t="str">
        <f t="shared" si="0"/>
        <v>d05</v>
      </c>
      <c r="M9" s="8" t="str">
        <f>dataNodes!B9</f>
        <v>Groundwater</v>
      </c>
      <c r="N9" s="5" t="str">
        <f>dataNodes!A9</f>
        <v>d08</v>
      </c>
    </row>
    <row r="10" spans="1:14" x14ac:dyDescent="0.3">
      <c r="A10" s="1" t="s">
        <v>39</v>
      </c>
      <c r="B10" s="1" t="s">
        <v>382</v>
      </c>
      <c r="C10" s="1" t="s">
        <v>370</v>
      </c>
      <c r="D10" s="1" t="s">
        <v>370</v>
      </c>
      <c r="E10" s="7" t="s">
        <v>450</v>
      </c>
      <c r="F10" s="1" t="s">
        <v>554</v>
      </c>
      <c r="G10" s="1" t="s">
        <v>63</v>
      </c>
      <c r="H10" s="1" t="s">
        <v>75</v>
      </c>
      <c r="I10" s="1" t="str">
        <f t="shared" si="0"/>
        <v>d10</v>
      </c>
      <c r="M10" s="8" t="str">
        <f>dataNodes!B10</f>
        <v>Meteorology</v>
      </c>
      <c r="N10" s="5" t="str">
        <f>dataNodes!A10</f>
        <v>d09</v>
      </c>
    </row>
    <row r="11" spans="1:14" x14ac:dyDescent="0.3">
      <c r="A11" s="1" t="s">
        <v>39</v>
      </c>
      <c r="B11" s="1" t="s">
        <v>382</v>
      </c>
      <c r="C11" s="1" t="s">
        <v>370</v>
      </c>
      <c r="D11" s="1" t="s">
        <v>370</v>
      </c>
      <c r="E11" s="7" t="s">
        <v>450</v>
      </c>
      <c r="F11" s="1" t="s">
        <v>554</v>
      </c>
      <c r="G11" s="1" t="s">
        <v>61</v>
      </c>
      <c r="H11" s="1" t="s">
        <v>75</v>
      </c>
      <c r="I11" s="1" t="str">
        <f t="shared" si="0"/>
        <v>d09</v>
      </c>
      <c r="M11" s="8" t="str">
        <f>dataNodes!B11</f>
        <v>Precipitation</v>
      </c>
      <c r="N11" s="5" t="str">
        <f>dataNodes!A11</f>
        <v>d10</v>
      </c>
    </row>
    <row r="12" spans="1:14" x14ac:dyDescent="0.3">
      <c r="A12" s="1" t="s">
        <v>39</v>
      </c>
      <c r="B12" s="1" t="s">
        <v>382</v>
      </c>
      <c r="C12" s="1" t="s">
        <v>370</v>
      </c>
      <c r="D12" s="1" t="s">
        <v>370</v>
      </c>
      <c r="E12" s="7" t="s">
        <v>450</v>
      </c>
      <c r="F12" s="1" t="s">
        <v>555</v>
      </c>
      <c r="G12" s="1" t="s">
        <v>76</v>
      </c>
      <c r="H12" s="1" t="s">
        <v>75</v>
      </c>
      <c r="I12" s="1" t="str">
        <f t="shared" si="0"/>
        <v>d06</v>
      </c>
      <c r="M12" s="8" t="str">
        <f>dataNodes!B12</f>
        <v>Reservoir</v>
      </c>
      <c r="N12" s="5" t="str">
        <f>dataNodes!A12</f>
        <v>d11</v>
      </c>
    </row>
    <row r="13" spans="1:14" x14ac:dyDescent="0.3">
      <c r="A13" s="1" t="s">
        <v>39</v>
      </c>
      <c r="B13" s="1" t="s">
        <v>382</v>
      </c>
      <c r="C13" s="1" t="s">
        <v>370</v>
      </c>
      <c r="D13" s="1" t="s">
        <v>370</v>
      </c>
      <c r="E13" s="7" t="s">
        <v>450</v>
      </c>
      <c r="F13" s="1" t="s">
        <v>554</v>
      </c>
      <c r="G13" s="1" t="s">
        <v>68</v>
      </c>
      <c r="H13" s="1" t="s">
        <v>75</v>
      </c>
      <c r="I13" s="1" t="str">
        <f t="shared" si="0"/>
        <v>d12</v>
      </c>
      <c r="M13" s="8" t="str">
        <f>dataNodes!B13</f>
        <v>Soil</v>
      </c>
      <c r="N13" s="5" t="str">
        <f>dataNodes!A13</f>
        <v>d12</v>
      </c>
    </row>
    <row r="14" spans="1:14" x14ac:dyDescent="0.3">
      <c r="A14" s="1" t="s">
        <v>39</v>
      </c>
      <c r="B14" s="1" t="s">
        <v>382</v>
      </c>
      <c r="C14" s="1" t="s">
        <v>370</v>
      </c>
      <c r="D14" s="1" t="s">
        <v>370</v>
      </c>
      <c r="E14" s="7" t="s">
        <v>450</v>
      </c>
      <c r="F14" s="1" t="s">
        <v>554</v>
      </c>
      <c r="G14" s="1" t="s">
        <v>82</v>
      </c>
      <c r="H14" s="1" t="s">
        <v>80</v>
      </c>
      <c r="I14" s="1" t="str">
        <f t="shared" si="0"/>
        <v>d15</v>
      </c>
      <c r="M14" s="8" t="str">
        <f>dataNodes!B14</f>
        <v>Surface Water</v>
      </c>
      <c r="N14" s="5" t="str">
        <f>dataNodes!A14</f>
        <v>d13</v>
      </c>
    </row>
    <row r="15" spans="1:14" x14ac:dyDescent="0.3">
      <c r="A15" s="1" t="s">
        <v>40</v>
      </c>
      <c r="B15" s="1" t="s">
        <v>445</v>
      </c>
      <c r="C15" s="1" t="s">
        <v>120</v>
      </c>
      <c r="D15" s="15" t="s">
        <v>119</v>
      </c>
      <c r="E15" s="7" t="s">
        <v>446</v>
      </c>
      <c r="F15" s="1" t="s">
        <v>556</v>
      </c>
      <c r="G15" s="1" t="s">
        <v>73</v>
      </c>
      <c r="H15" s="1" t="s">
        <v>73</v>
      </c>
      <c r="I15" s="1" t="str">
        <f t="shared" si="0"/>
        <v>d03</v>
      </c>
      <c r="M15" s="8" t="str">
        <f>dataNodes!B15</f>
        <v>Hydropower</v>
      </c>
      <c r="N15" s="5" t="str">
        <f>dataNodes!A15</f>
        <v>d14</v>
      </c>
    </row>
    <row r="16" spans="1:14" x14ac:dyDescent="0.3">
      <c r="A16" s="1" t="s">
        <v>41</v>
      </c>
      <c r="B16" s="1" t="s">
        <v>341</v>
      </c>
      <c r="C16" s="1" t="s">
        <v>120</v>
      </c>
      <c r="D16" s="15" t="s">
        <v>119</v>
      </c>
      <c r="E16" s="7" t="s">
        <v>447</v>
      </c>
      <c r="F16" s="1" t="s">
        <v>557</v>
      </c>
      <c r="G16" s="1" t="s">
        <v>65</v>
      </c>
      <c r="H16" s="1" t="s">
        <v>73</v>
      </c>
      <c r="I16" s="1" t="str">
        <f t="shared" si="0"/>
        <v>d04</v>
      </c>
      <c r="M16" s="8" t="str">
        <f>dataNodes!B16</f>
        <v>Irrigation</v>
      </c>
      <c r="N16" s="5" t="str">
        <f>dataNodes!A16</f>
        <v>d15</v>
      </c>
    </row>
    <row r="17" spans="1:14" x14ac:dyDescent="0.3">
      <c r="A17" s="1" t="s">
        <v>42</v>
      </c>
      <c r="B17" s="1" t="s">
        <v>377</v>
      </c>
      <c r="C17" s="1" t="s">
        <v>377</v>
      </c>
      <c r="D17" s="15" t="s">
        <v>119</v>
      </c>
      <c r="E17" s="7" t="s">
        <v>459</v>
      </c>
      <c r="F17" s="1" t="s">
        <v>558</v>
      </c>
      <c r="G17" s="1" t="s">
        <v>65</v>
      </c>
      <c r="H17" s="1" t="s">
        <v>73</v>
      </c>
      <c r="I17" s="1" t="str">
        <f t="shared" si="0"/>
        <v>d04</v>
      </c>
      <c r="M17" s="8" t="str">
        <f>dataNodes!B17</f>
        <v>Use</v>
      </c>
      <c r="N17" s="5" t="str">
        <f>dataNodes!A17</f>
        <v>d16</v>
      </c>
    </row>
    <row r="18" spans="1:14" x14ac:dyDescent="0.3">
      <c r="A18" s="1" t="s">
        <v>43</v>
      </c>
      <c r="B18" s="1" t="s">
        <v>339</v>
      </c>
      <c r="C18" s="1" t="s">
        <v>119</v>
      </c>
      <c r="D18" s="15" t="s">
        <v>119</v>
      </c>
      <c r="E18" s="7" t="s">
        <v>463</v>
      </c>
      <c r="F18" s="1" t="s">
        <v>559</v>
      </c>
      <c r="G18" s="1" t="s">
        <v>71</v>
      </c>
      <c r="H18" s="1" t="s">
        <v>59</v>
      </c>
      <c r="I18" s="1" t="str">
        <f t="shared" si="0"/>
        <v>d01</v>
      </c>
      <c r="M18" s="8" t="str">
        <f>dataNodes!B18</f>
        <v>Utilities</v>
      </c>
      <c r="N18" s="5" t="str">
        <f>dataNodes!A18</f>
        <v>d17</v>
      </c>
    </row>
    <row r="19" spans="1:14" x14ac:dyDescent="0.3">
      <c r="A19" s="1" t="s">
        <v>43</v>
      </c>
      <c r="B19" s="1" t="s">
        <v>339</v>
      </c>
      <c r="C19" s="1" t="s">
        <v>119</v>
      </c>
      <c r="D19" s="15" t="s">
        <v>119</v>
      </c>
      <c r="E19" s="7" t="s">
        <v>463</v>
      </c>
      <c r="F19" s="1" t="s">
        <v>560</v>
      </c>
      <c r="G19" s="1" t="s">
        <v>65</v>
      </c>
      <c r="H19" s="1" t="s">
        <v>73</v>
      </c>
      <c r="I19" s="1" t="str">
        <f t="shared" si="0"/>
        <v>d04</v>
      </c>
      <c r="M19" s="8" t="str">
        <f>dataNodes!B19</f>
        <v>Management Plans</v>
      </c>
      <c r="N19" s="5" t="str">
        <f>dataNodes!A19</f>
        <v>d18</v>
      </c>
    </row>
    <row r="20" spans="1:14" x14ac:dyDescent="0.3">
      <c r="A20" s="1" t="s">
        <v>44</v>
      </c>
      <c r="B20" s="1" t="s">
        <v>344</v>
      </c>
      <c r="C20" s="1" t="s">
        <v>123</v>
      </c>
      <c r="D20" s="15" t="s">
        <v>119</v>
      </c>
      <c r="E20" s="7" t="s">
        <v>466</v>
      </c>
      <c r="F20" s="1" t="s">
        <v>561</v>
      </c>
      <c r="G20" s="1" t="s">
        <v>65</v>
      </c>
      <c r="H20" s="1" t="s">
        <v>73</v>
      </c>
      <c r="I20" s="1" t="str">
        <f t="shared" si="0"/>
        <v>d04</v>
      </c>
    </row>
    <row r="21" spans="1:14" x14ac:dyDescent="0.3">
      <c r="A21" s="1" t="s">
        <v>45</v>
      </c>
      <c r="B21" s="1" t="s">
        <v>346</v>
      </c>
      <c r="C21" s="1" t="s">
        <v>371</v>
      </c>
      <c r="D21" s="15" t="s">
        <v>119</v>
      </c>
      <c r="E21" s="7" t="s">
        <v>468</v>
      </c>
      <c r="F21" s="1" t="s">
        <v>562</v>
      </c>
      <c r="G21" s="1" t="s">
        <v>65</v>
      </c>
      <c r="H21" s="1" t="s">
        <v>73</v>
      </c>
      <c r="I21" s="1" t="str">
        <f t="shared" si="0"/>
        <v>d04</v>
      </c>
    </row>
    <row r="22" spans="1:14" x14ac:dyDescent="0.3">
      <c r="A22" s="1" t="s">
        <v>45</v>
      </c>
      <c r="B22" s="1" t="s">
        <v>346</v>
      </c>
      <c r="C22" s="1" t="s">
        <v>371</v>
      </c>
      <c r="D22" s="15" t="s">
        <v>119</v>
      </c>
      <c r="E22" s="7" t="s">
        <v>468</v>
      </c>
      <c r="F22" s="1" t="s">
        <v>562</v>
      </c>
      <c r="G22" s="1" t="s">
        <v>38</v>
      </c>
      <c r="H22" s="1" t="s">
        <v>80</v>
      </c>
      <c r="I22" s="1" t="str">
        <f t="shared" si="0"/>
        <v>d17</v>
      </c>
    </row>
    <row r="23" spans="1:14" x14ac:dyDescent="0.3">
      <c r="A23" s="1" t="s">
        <v>45</v>
      </c>
      <c r="B23" s="1" t="s">
        <v>346</v>
      </c>
      <c r="C23" s="1" t="s">
        <v>371</v>
      </c>
      <c r="D23" s="15" t="s">
        <v>119</v>
      </c>
      <c r="E23" s="7" t="s">
        <v>468</v>
      </c>
      <c r="F23" s="1" t="s">
        <v>563</v>
      </c>
      <c r="G23" s="1" t="s">
        <v>73</v>
      </c>
      <c r="H23" s="1" t="s">
        <v>73</v>
      </c>
      <c r="I23" s="1" t="str">
        <f t="shared" si="0"/>
        <v>d03</v>
      </c>
    </row>
    <row r="24" spans="1:14" x14ac:dyDescent="0.3">
      <c r="A24" s="1" t="s">
        <v>45</v>
      </c>
      <c r="B24" s="1" t="s">
        <v>346</v>
      </c>
      <c r="C24" s="1" t="s">
        <v>371</v>
      </c>
      <c r="D24" s="15" t="s">
        <v>119</v>
      </c>
      <c r="E24" s="7" t="s">
        <v>468</v>
      </c>
      <c r="F24" s="1" t="s">
        <v>564</v>
      </c>
      <c r="G24" s="1" t="s">
        <v>2</v>
      </c>
      <c r="H24" s="1" t="s">
        <v>73</v>
      </c>
      <c r="I24" s="1" t="str">
        <f t="shared" si="0"/>
        <v>d08</v>
      </c>
    </row>
    <row r="25" spans="1:14" x14ac:dyDescent="0.3">
      <c r="A25" s="1" t="s">
        <v>46</v>
      </c>
      <c r="B25" s="1" t="s">
        <v>472</v>
      </c>
      <c r="C25" s="1" t="s">
        <v>395</v>
      </c>
      <c r="D25" s="15" t="s">
        <v>119</v>
      </c>
      <c r="E25" s="7" t="s">
        <v>473</v>
      </c>
      <c r="F25" s="1" t="s">
        <v>565</v>
      </c>
      <c r="G25" s="1" t="s">
        <v>80</v>
      </c>
      <c r="H25" s="1" t="s">
        <v>566</v>
      </c>
      <c r="I25" s="1" t="str">
        <f t="shared" si="0"/>
        <v>d16</v>
      </c>
    </row>
    <row r="26" spans="1:14" x14ac:dyDescent="0.3">
      <c r="A26" s="1" t="s">
        <v>46</v>
      </c>
      <c r="B26" s="1" t="s">
        <v>472</v>
      </c>
      <c r="C26" s="1" t="s">
        <v>395</v>
      </c>
      <c r="D26" s="15" t="s">
        <v>119</v>
      </c>
      <c r="E26" s="7" t="s">
        <v>473</v>
      </c>
      <c r="F26" s="1" t="s">
        <v>567</v>
      </c>
      <c r="G26" s="1" t="s">
        <v>71</v>
      </c>
      <c r="H26" s="1" t="s">
        <v>59</v>
      </c>
      <c r="I26" s="1" t="str">
        <f t="shared" si="0"/>
        <v>d01</v>
      </c>
    </row>
    <row r="27" spans="1:14" x14ac:dyDescent="0.3">
      <c r="A27" s="1" t="s">
        <v>46</v>
      </c>
      <c r="B27" s="1" t="s">
        <v>472</v>
      </c>
      <c r="C27" s="1" t="s">
        <v>395</v>
      </c>
      <c r="D27" s="15" t="s">
        <v>119</v>
      </c>
      <c r="E27" s="7" t="s">
        <v>473</v>
      </c>
      <c r="F27" s="1" t="s">
        <v>568</v>
      </c>
      <c r="G27" s="1" t="s">
        <v>72</v>
      </c>
      <c r="H27" s="1" t="s">
        <v>59</v>
      </c>
      <c r="I27" s="1" t="str">
        <f t="shared" si="0"/>
        <v>d02</v>
      </c>
    </row>
    <row r="28" spans="1:14" x14ac:dyDescent="0.3">
      <c r="A28" s="1" t="s">
        <v>47</v>
      </c>
      <c r="B28" s="1" t="s">
        <v>350</v>
      </c>
      <c r="C28" s="1" t="s">
        <v>127</v>
      </c>
      <c r="D28" s="15" t="s">
        <v>119</v>
      </c>
      <c r="E28" s="14" t="s">
        <v>474</v>
      </c>
      <c r="F28" s="1" t="s">
        <v>569</v>
      </c>
      <c r="G28" s="1" t="s">
        <v>71</v>
      </c>
      <c r="H28" s="1" t="s">
        <v>59</v>
      </c>
      <c r="I28" s="1" t="str">
        <f t="shared" si="0"/>
        <v>d01</v>
      </c>
    </row>
    <row r="29" spans="1:14" x14ac:dyDescent="0.3">
      <c r="A29" s="1" t="s">
        <v>47</v>
      </c>
      <c r="B29" s="1" t="s">
        <v>350</v>
      </c>
      <c r="C29" s="1" t="s">
        <v>127</v>
      </c>
      <c r="D29" s="15" t="s">
        <v>119</v>
      </c>
      <c r="E29" s="14" t="s">
        <v>474</v>
      </c>
      <c r="F29" s="1" t="s">
        <v>570</v>
      </c>
      <c r="G29" s="1" t="s">
        <v>80</v>
      </c>
      <c r="H29" s="1" t="s">
        <v>80</v>
      </c>
      <c r="I29" s="1" t="str">
        <f t="shared" si="0"/>
        <v>d16</v>
      </c>
    </row>
    <row r="30" spans="1:14" x14ac:dyDescent="0.3">
      <c r="A30" s="1" t="s">
        <v>47</v>
      </c>
      <c r="B30" s="1" t="s">
        <v>350</v>
      </c>
      <c r="C30" s="1" t="s">
        <v>127</v>
      </c>
      <c r="D30" s="15" t="s">
        <v>119</v>
      </c>
      <c r="E30" s="14" t="s">
        <v>474</v>
      </c>
      <c r="F30" s="1" t="s">
        <v>571</v>
      </c>
      <c r="G30" s="1" t="s">
        <v>65</v>
      </c>
      <c r="H30" s="1" t="s">
        <v>73</v>
      </c>
      <c r="I30" s="1" t="str">
        <f t="shared" si="0"/>
        <v>d04</v>
      </c>
    </row>
    <row r="31" spans="1:14" x14ac:dyDescent="0.3">
      <c r="A31" s="1" t="s">
        <v>48</v>
      </c>
      <c r="B31" s="1" t="s">
        <v>14</v>
      </c>
      <c r="C31" s="1" t="s">
        <v>372</v>
      </c>
      <c r="E31" s="7" t="s">
        <v>476</v>
      </c>
      <c r="F31" s="1" t="s">
        <v>572</v>
      </c>
      <c r="G31" s="1" t="s">
        <v>65</v>
      </c>
      <c r="H31" s="1" t="s">
        <v>73</v>
      </c>
      <c r="I31" s="1" t="str">
        <f t="shared" si="0"/>
        <v>d04</v>
      </c>
    </row>
    <row r="32" spans="1:14" x14ac:dyDescent="0.3">
      <c r="A32" s="1" t="s">
        <v>48</v>
      </c>
      <c r="B32" s="1" t="s">
        <v>14</v>
      </c>
      <c r="C32" s="1" t="s">
        <v>372</v>
      </c>
      <c r="E32" s="7" t="s">
        <v>476</v>
      </c>
      <c r="F32" s="1" t="s">
        <v>573</v>
      </c>
      <c r="G32" s="1" t="s">
        <v>38</v>
      </c>
      <c r="H32" s="1" t="s">
        <v>80</v>
      </c>
      <c r="I32" s="1" t="str">
        <f t="shared" si="0"/>
        <v>d17</v>
      </c>
    </row>
    <row r="33" spans="1:9" x14ac:dyDescent="0.3">
      <c r="A33" s="1" t="s">
        <v>48</v>
      </c>
      <c r="B33" s="1" t="s">
        <v>14</v>
      </c>
      <c r="C33" s="1" t="s">
        <v>372</v>
      </c>
      <c r="E33" s="7" t="s">
        <v>476</v>
      </c>
      <c r="F33" s="1" t="s">
        <v>574</v>
      </c>
      <c r="G33" s="1" t="s">
        <v>73</v>
      </c>
      <c r="H33" s="1" t="s">
        <v>73</v>
      </c>
      <c r="I33" s="1" t="str">
        <f t="shared" si="0"/>
        <v>d03</v>
      </c>
    </row>
    <row r="34" spans="1:9" x14ac:dyDescent="0.3">
      <c r="A34" s="1" t="s">
        <v>49</v>
      </c>
      <c r="B34" s="1" t="s">
        <v>353</v>
      </c>
      <c r="C34" s="1" t="s">
        <v>372</v>
      </c>
      <c r="D34" s="1" t="s">
        <v>119</v>
      </c>
      <c r="E34" s="7" t="s">
        <v>477</v>
      </c>
      <c r="F34" s="1" t="s">
        <v>575</v>
      </c>
      <c r="G34" s="1" t="s">
        <v>71</v>
      </c>
      <c r="H34" s="1" t="s">
        <v>59</v>
      </c>
      <c r="I34" s="1" t="str">
        <f t="shared" si="0"/>
        <v>d01</v>
      </c>
    </row>
    <row r="35" spans="1:9" x14ac:dyDescent="0.3">
      <c r="A35" s="1" t="s">
        <v>49</v>
      </c>
      <c r="B35" s="1" t="s">
        <v>353</v>
      </c>
      <c r="C35" s="1" t="s">
        <v>372</v>
      </c>
      <c r="D35" s="1" t="s">
        <v>119</v>
      </c>
      <c r="E35" s="7" t="s">
        <v>477</v>
      </c>
      <c r="F35" s="1" t="s">
        <v>576</v>
      </c>
      <c r="G35" s="1" t="s">
        <v>38</v>
      </c>
      <c r="H35" s="1" t="s">
        <v>80</v>
      </c>
      <c r="I35" s="1" t="str">
        <f t="shared" si="0"/>
        <v>d17</v>
      </c>
    </row>
    <row r="36" spans="1:9" x14ac:dyDescent="0.3">
      <c r="A36" s="1" t="s">
        <v>49</v>
      </c>
      <c r="B36" s="1" t="s">
        <v>353</v>
      </c>
      <c r="C36" s="1" t="s">
        <v>372</v>
      </c>
      <c r="D36" s="1" t="s">
        <v>119</v>
      </c>
      <c r="E36" s="7" t="s">
        <v>477</v>
      </c>
      <c r="F36" s="1" t="s">
        <v>577</v>
      </c>
      <c r="G36" s="1" t="s">
        <v>73</v>
      </c>
      <c r="H36" s="1" t="s">
        <v>73</v>
      </c>
      <c r="I36" s="1" t="str">
        <f t="shared" si="0"/>
        <v>d03</v>
      </c>
    </row>
    <row r="37" spans="1:9" x14ac:dyDescent="0.3">
      <c r="A37" s="1" t="s">
        <v>326</v>
      </c>
      <c r="B37" s="1" t="s">
        <v>355</v>
      </c>
      <c r="C37" s="1" t="s">
        <v>129</v>
      </c>
      <c r="D37" s="1" t="s">
        <v>119</v>
      </c>
      <c r="E37" s="7" t="s">
        <v>478</v>
      </c>
      <c r="F37" s="1" t="s">
        <v>578</v>
      </c>
      <c r="G37" s="1" t="s">
        <v>65</v>
      </c>
      <c r="H37" s="1" t="s">
        <v>73</v>
      </c>
      <c r="I37" s="1" t="str">
        <f t="shared" si="0"/>
        <v>d04</v>
      </c>
    </row>
    <row r="38" spans="1:9" x14ac:dyDescent="0.3">
      <c r="A38" s="1" t="s">
        <v>326</v>
      </c>
      <c r="B38" s="1" t="s">
        <v>355</v>
      </c>
      <c r="C38" s="1" t="s">
        <v>129</v>
      </c>
      <c r="D38" s="1" t="s">
        <v>119</v>
      </c>
      <c r="E38" s="7" t="s">
        <v>478</v>
      </c>
      <c r="F38" s="1" t="s">
        <v>579</v>
      </c>
      <c r="G38" s="1" t="s">
        <v>72</v>
      </c>
      <c r="H38" s="1" t="s">
        <v>59</v>
      </c>
      <c r="I38" s="1" t="str">
        <f t="shared" si="0"/>
        <v>d02</v>
      </c>
    </row>
    <row r="39" spans="1:9" x14ac:dyDescent="0.3">
      <c r="A39" s="1" t="s">
        <v>328</v>
      </c>
      <c r="B39" s="1" t="s">
        <v>357</v>
      </c>
      <c r="C39" s="1" t="s">
        <v>372</v>
      </c>
      <c r="D39" s="1" t="s">
        <v>119</v>
      </c>
      <c r="E39" s="7" t="s">
        <v>479</v>
      </c>
      <c r="F39" s="1" t="s">
        <v>580</v>
      </c>
      <c r="G39" s="1" t="s">
        <v>71</v>
      </c>
      <c r="H39" s="1" t="s">
        <v>59</v>
      </c>
      <c r="I39" s="1" t="str">
        <f t="shared" si="0"/>
        <v>d01</v>
      </c>
    </row>
    <row r="40" spans="1:9" x14ac:dyDescent="0.3">
      <c r="A40" s="1" t="s">
        <v>328</v>
      </c>
      <c r="B40" s="1" t="s">
        <v>357</v>
      </c>
      <c r="C40" s="1" t="s">
        <v>372</v>
      </c>
      <c r="D40" s="1" t="s">
        <v>119</v>
      </c>
      <c r="E40" s="7" t="s">
        <v>479</v>
      </c>
      <c r="F40" s="1" t="s">
        <v>581</v>
      </c>
      <c r="G40" s="1" t="s">
        <v>38</v>
      </c>
      <c r="H40" s="1" t="s">
        <v>80</v>
      </c>
      <c r="I40" s="1" t="str">
        <f t="shared" si="0"/>
        <v>d17</v>
      </c>
    </row>
    <row r="41" spans="1:9" x14ac:dyDescent="0.3">
      <c r="A41" s="1" t="s">
        <v>328</v>
      </c>
      <c r="B41" s="1" t="s">
        <v>357</v>
      </c>
      <c r="C41" s="1" t="s">
        <v>372</v>
      </c>
      <c r="D41" s="1" t="s">
        <v>119</v>
      </c>
      <c r="E41" s="7" t="s">
        <v>479</v>
      </c>
      <c r="F41" s="1" t="s">
        <v>581</v>
      </c>
      <c r="G41" s="1" t="s">
        <v>65</v>
      </c>
      <c r="H41" s="1" t="s">
        <v>73</v>
      </c>
      <c r="I41" s="1" t="str">
        <f t="shared" si="0"/>
        <v>d04</v>
      </c>
    </row>
    <row r="42" spans="1:9" x14ac:dyDescent="0.3">
      <c r="A42" s="1" t="s">
        <v>330</v>
      </c>
      <c r="B42" s="1" t="s">
        <v>359</v>
      </c>
      <c r="C42" s="1" t="s">
        <v>124</v>
      </c>
      <c r="D42" s="1" t="s">
        <v>119</v>
      </c>
      <c r="E42" s="7" t="s">
        <v>485</v>
      </c>
      <c r="F42" s="1" t="s">
        <v>582</v>
      </c>
      <c r="G42" s="1" t="s">
        <v>76</v>
      </c>
      <c r="H42" s="1" t="s">
        <v>75</v>
      </c>
      <c r="I42" s="1" t="str">
        <f t="shared" si="0"/>
        <v>d06</v>
      </c>
    </row>
    <row r="43" spans="1:9" x14ac:dyDescent="0.3">
      <c r="A43" s="1" t="s">
        <v>330</v>
      </c>
      <c r="B43" s="1" t="s">
        <v>359</v>
      </c>
      <c r="C43" s="1" t="s">
        <v>124</v>
      </c>
      <c r="D43" s="1" t="s">
        <v>119</v>
      </c>
      <c r="E43" s="7" t="s">
        <v>485</v>
      </c>
      <c r="F43" s="1" t="s">
        <v>583</v>
      </c>
      <c r="G43" s="1" t="s">
        <v>71</v>
      </c>
      <c r="H43" s="1" t="s">
        <v>59</v>
      </c>
      <c r="I43" s="1" t="str">
        <f t="shared" si="0"/>
        <v>d01</v>
      </c>
    </row>
    <row r="44" spans="1:9" x14ac:dyDescent="0.3">
      <c r="A44" s="1" t="s">
        <v>330</v>
      </c>
      <c r="B44" s="1" t="s">
        <v>359</v>
      </c>
      <c r="C44" s="1" t="s">
        <v>124</v>
      </c>
      <c r="D44" s="1" t="s">
        <v>119</v>
      </c>
      <c r="E44" s="7" t="s">
        <v>485</v>
      </c>
      <c r="F44" s="1" t="s">
        <v>584</v>
      </c>
      <c r="G44" s="1" t="s">
        <v>72</v>
      </c>
      <c r="H44" s="1" t="s">
        <v>59</v>
      </c>
      <c r="I44" s="1" t="str">
        <f t="shared" si="0"/>
        <v>d02</v>
      </c>
    </row>
    <row r="45" spans="1:9" x14ac:dyDescent="0.3">
      <c r="A45" s="1" t="s">
        <v>330</v>
      </c>
      <c r="B45" s="1" t="s">
        <v>359</v>
      </c>
      <c r="C45" s="1" t="s">
        <v>124</v>
      </c>
      <c r="D45" s="1" t="s">
        <v>119</v>
      </c>
      <c r="E45" s="7" t="s">
        <v>485</v>
      </c>
      <c r="F45" s="1" t="s">
        <v>585</v>
      </c>
      <c r="G45" s="1" t="s">
        <v>73</v>
      </c>
      <c r="H45" s="1" t="s">
        <v>73</v>
      </c>
      <c r="I45" s="1" t="str">
        <f t="shared" si="0"/>
        <v>d03</v>
      </c>
    </row>
    <row r="46" spans="1:9" x14ac:dyDescent="0.3">
      <c r="A46" s="1" t="s">
        <v>332</v>
      </c>
      <c r="B46" s="1" t="s">
        <v>361</v>
      </c>
      <c r="C46" s="1" t="s">
        <v>395</v>
      </c>
      <c r="D46" s="1" t="s">
        <v>119</v>
      </c>
      <c r="E46" s="7" t="s">
        <v>486</v>
      </c>
      <c r="F46" s="1" t="s">
        <v>586</v>
      </c>
      <c r="G46" s="1" t="s">
        <v>80</v>
      </c>
      <c r="H46" s="1" t="s">
        <v>80</v>
      </c>
      <c r="I46" s="1" t="str">
        <f t="shared" si="0"/>
        <v>d16</v>
      </c>
    </row>
    <row r="47" spans="1:9" x14ac:dyDescent="0.3">
      <c r="A47" s="1" t="s">
        <v>334</v>
      </c>
      <c r="B47" s="1" t="s">
        <v>363</v>
      </c>
      <c r="C47" s="1" t="s">
        <v>135</v>
      </c>
      <c r="D47" s="1" t="s">
        <v>133</v>
      </c>
      <c r="E47" s="7" t="s">
        <v>487</v>
      </c>
      <c r="F47" s="1" t="s">
        <v>587</v>
      </c>
      <c r="G47" s="1" t="s">
        <v>2</v>
      </c>
      <c r="H47" s="1" t="s">
        <v>75</v>
      </c>
      <c r="I47" s="1" t="str">
        <f t="shared" si="0"/>
        <v>d08</v>
      </c>
    </row>
    <row r="48" spans="1:9" x14ac:dyDescent="0.3">
      <c r="A48" s="1" t="s">
        <v>334</v>
      </c>
      <c r="B48" s="1" t="s">
        <v>363</v>
      </c>
      <c r="C48" s="1" t="s">
        <v>135</v>
      </c>
      <c r="D48" s="1" t="s">
        <v>133</v>
      </c>
      <c r="E48" s="7" t="s">
        <v>487</v>
      </c>
      <c r="F48" s="1" t="s">
        <v>577</v>
      </c>
      <c r="G48" s="1" t="s">
        <v>73</v>
      </c>
      <c r="H48" s="1" t="s">
        <v>73</v>
      </c>
      <c r="I48" s="1" t="str">
        <f t="shared" si="0"/>
        <v>d03</v>
      </c>
    </row>
    <row r="49" spans="1:9" x14ac:dyDescent="0.3">
      <c r="A49" s="1" t="s">
        <v>334</v>
      </c>
      <c r="B49" s="1" t="s">
        <v>363</v>
      </c>
      <c r="C49" s="1" t="s">
        <v>135</v>
      </c>
      <c r="D49" s="1" t="s">
        <v>133</v>
      </c>
      <c r="E49" s="7" t="s">
        <v>487</v>
      </c>
      <c r="F49" s="1" t="s">
        <v>588</v>
      </c>
      <c r="G49" s="1" t="s">
        <v>15</v>
      </c>
      <c r="H49" s="1" t="s">
        <v>75</v>
      </c>
      <c r="I49" s="1" t="str">
        <f t="shared" si="0"/>
        <v>d13</v>
      </c>
    </row>
    <row r="50" spans="1:9" x14ac:dyDescent="0.3">
      <c r="A50" s="1" t="s">
        <v>336</v>
      </c>
      <c r="B50" s="1" t="s">
        <v>389</v>
      </c>
      <c r="C50" s="1" t="s">
        <v>124</v>
      </c>
      <c r="D50" s="1" t="s">
        <v>119</v>
      </c>
      <c r="E50" s="7" t="s">
        <v>488</v>
      </c>
      <c r="F50" s="1" t="s">
        <v>589</v>
      </c>
      <c r="G50" s="1" t="s">
        <v>73</v>
      </c>
      <c r="H50" s="1" t="s">
        <v>73</v>
      </c>
      <c r="I50" s="1" t="str">
        <f t="shared" si="0"/>
        <v>d03</v>
      </c>
    </row>
    <row r="51" spans="1:9" x14ac:dyDescent="0.3">
      <c r="A51" s="1" t="s">
        <v>337</v>
      </c>
      <c r="B51" s="1" t="s">
        <v>366</v>
      </c>
      <c r="C51" s="1" t="s">
        <v>373</v>
      </c>
      <c r="D51" s="1" t="s">
        <v>546</v>
      </c>
      <c r="E51" s="7" t="s">
        <v>489</v>
      </c>
      <c r="F51" s="1" t="s">
        <v>590</v>
      </c>
      <c r="G51" s="1" t="s">
        <v>73</v>
      </c>
      <c r="H51" s="1" t="s">
        <v>73</v>
      </c>
      <c r="I51" s="1" t="str">
        <f t="shared" si="0"/>
        <v>d03</v>
      </c>
    </row>
    <row r="52" spans="1:9" x14ac:dyDescent="0.3">
      <c r="A52" s="1" t="s">
        <v>338</v>
      </c>
      <c r="B52" s="1" t="s">
        <v>368</v>
      </c>
      <c r="C52" s="1" t="s">
        <v>374</v>
      </c>
      <c r="D52" s="1" t="s">
        <v>119</v>
      </c>
      <c r="E52" s="7" t="s">
        <v>490</v>
      </c>
      <c r="F52" s="1" t="s">
        <v>591</v>
      </c>
      <c r="G52" s="1" t="s">
        <v>2</v>
      </c>
      <c r="H52" s="1" t="s">
        <v>75</v>
      </c>
      <c r="I52" s="1" t="str">
        <f t="shared" si="0"/>
        <v>d08</v>
      </c>
    </row>
    <row r="53" spans="1:9" x14ac:dyDescent="0.3">
      <c r="A53" s="1" t="s">
        <v>338</v>
      </c>
      <c r="B53" s="1" t="s">
        <v>368</v>
      </c>
      <c r="C53" s="1" t="s">
        <v>374</v>
      </c>
      <c r="D53" s="1" t="s">
        <v>119</v>
      </c>
      <c r="E53" s="7" t="s">
        <v>490</v>
      </c>
      <c r="F53" s="1" t="s">
        <v>592</v>
      </c>
      <c r="G53" s="1" t="s">
        <v>73</v>
      </c>
      <c r="H53" s="1" t="s">
        <v>73</v>
      </c>
      <c r="I53" s="1" t="str">
        <f t="shared" si="0"/>
        <v>d03</v>
      </c>
    </row>
    <row r="54" spans="1:9" x14ac:dyDescent="0.3">
      <c r="A54" s="1" t="s">
        <v>338</v>
      </c>
      <c r="B54" s="1" t="s">
        <v>368</v>
      </c>
      <c r="C54" s="1" t="s">
        <v>374</v>
      </c>
      <c r="D54" s="1" t="s">
        <v>119</v>
      </c>
      <c r="E54" s="7" t="s">
        <v>490</v>
      </c>
      <c r="F54" s="1" t="s">
        <v>593</v>
      </c>
      <c r="G54" t="s">
        <v>71</v>
      </c>
      <c r="H54" s="1" t="s">
        <v>59</v>
      </c>
      <c r="I54" s="1" t="str">
        <f t="shared" si="0"/>
        <v>d01</v>
      </c>
    </row>
    <row r="55" spans="1:9" x14ac:dyDescent="0.3">
      <c r="A55" s="1" t="s">
        <v>340</v>
      </c>
      <c r="B55" s="1" t="s">
        <v>444</v>
      </c>
      <c r="C55" s="1" t="s">
        <v>441</v>
      </c>
      <c r="D55" s="1" t="s">
        <v>119</v>
      </c>
      <c r="E55" s="7" t="s">
        <v>491</v>
      </c>
      <c r="F55" s="1" t="s">
        <v>594</v>
      </c>
      <c r="G55" s="1" t="s">
        <v>38</v>
      </c>
      <c r="H55" s="1" t="s">
        <v>75</v>
      </c>
      <c r="I55" s="1" t="str">
        <f t="shared" si="0"/>
        <v>d17</v>
      </c>
    </row>
    <row r="56" spans="1:9" x14ac:dyDescent="0.3">
      <c r="A56" s="1" t="s">
        <v>342</v>
      </c>
      <c r="B56" s="1" t="s">
        <v>378</v>
      </c>
      <c r="C56" s="1" t="s">
        <v>133</v>
      </c>
      <c r="D56" s="1" t="s">
        <v>133</v>
      </c>
      <c r="E56" s="7" t="s">
        <v>502</v>
      </c>
      <c r="F56" s="1" t="s">
        <v>591</v>
      </c>
      <c r="G56" s="1" t="s">
        <v>2</v>
      </c>
      <c r="H56" s="1" t="s">
        <v>75</v>
      </c>
      <c r="I56" s="1" t="str">
        <f t="shared" si="0"/>
        <v>d08</v>
      </c>
    </row>
    <row r="57" spans="1:9" x14ac:dyDescent="0.3">
      <c r="A57" s="1" t="s">
        <v>342</v>
      </c>
      <c r="B57" s="1" t="s">
        <v>378</v>
      </c>
      <c r="C57" s="1" t="s">
        <v>133</v>
      </c>
      <c r="D57" s="1" t="s">
        <v>133</v>
      </c>
      <c r="E57" s="7" t="s">
        <v>502</v>
      </c>
      <c r="F57" s="7" t="s">
        <v>595</v>
      </c>
      <c r="G57" s="1" t="s">
        <v>73</v>
      </c>
      <c r="H57" s="1" t="s">
        <v>73</v>
      </c>
      <c r="I57" s="1" t="str">
        <f t="shared" si="0"/>
        <v>d03</v>
      </c>
    </row>
    <row r="58" spans="1:9" x14ac:dyDescent="0.3">
      <c r="A58" s="1" t="s">
        <v>342</v>
      </c>
      <c r="B58" s="1" t="s">
        <v>378</v>
      </c>
      <c r="C58" s="1" t="s">
        <v>133</v>
      </c>
      <c r="D58" s="1" t="s">
        <v>133</v>
      </c>
      <c r="E58" s="7" t="s">
        <v>502</v>
      </c>
      <c r="F58" s="7" t="s">
        <v>596</v>
      </c>
      <c r="G58" s="1" t="s">
        <v>65</v>
      </c>
      <c r="H58" s="1" t="s">
        <v>73</v>
      </c>
      <c r="I58" s="1" t="str">
        <f t="shared" si="0"/>
        <v>d04</v>
      </c>
    </row>
    <row r="59" spans="1:9" x14ac:dyDescent="0.3">
      <c r="A59" s="1" t="s">
        <v>342</v>
      </c>
      <c r="B59" s="1" t="s">
        <v>378</v>
      </c>
      <c r="C59" s="1" t="s">
        <v>133</v>
      </c>
      <c r="D59" s="1" t="s">
        <v>133</v>
      </c>
      <c r="E59" s="7" t="s">
        <v>502</v>
      </c>
      <c r="F59" s="7" t="s">
        <v>597</v>
      </c>
      <c r="G59" s="1" t="s">
        <v>71</v>
      </c>
      <c r="H59" s="1" t="s">
        <v>59</v>
      </c>
      <c r="I59" s="1" t="str">
        <f t="shared" si="0"/>
        <v>d01</v>
      </c>
    </row>
    <row r="60" spans="1:9" x14ac:dyDescent="0.3">
      <c r="A60" s="1" t="s">
        <v>342</v>
      </c>
      <c r="B60" s="1" t="s">
        <v>378</v>
      </c>
      <c r="C60" s="1" t="s">
        <v>133</v>
      </c>
      <c r="D60" s="1" t="s">
        <v>133</v>
      </c>
      <c r="E60" s="7" t="s">
        <v>502</v>
      </c>
      <c r="F60" s="7" t="s">
        <v>598</v>
      </c>
      <c r="G60" s="1" t="s">
        <v>38</v>
      </c>
      <c r="H60" s="1" t="s">
        <v>80</v>
      </c>
      <c r="I60" s="1" t="str">
        <f t="shared" si="0"/>
        <v>d17</v>
      </c>
    </row>
    <row r="61" spans="1:9" x14ac:dyDescent="0.3">
      <c r="A61" s="1" t="s">
        <v>342</v>
      </c>
      <c r="B61" s="1" t="s">
        <v>378</v>
      </c>
      <c r="C61" s="1" t="s">
        <v>133</v>
      </c>
      <c r="D61" s="1" t="s">
        <v>133</v>
      </c>
      <c r="E61" s="7" t="s">
        <v>502</v>
      </c>
      <c r="F61" s="7" t="s">
        <v>599</v>
      </c>
      <c r="G61" s="1" t="s">
        <v>52</v>
      </c>
      <c r="H61" s="1" t="s">
        <v>75</v>
      </c>
      <c r="I61" s="1" t="str">
        <f t="shared" si="0"/>
        <v>d05</v>
      </c>
    </row>
    <row r="62" spans="1:9" x14ac:dyDescent="0.3">
      <c r="A62" s="1" t="s">
        <v>342</v>
      </c>
      <c r="B62" s="1" t="s">
        <v>378</v>
      </c>
      <c r="C62" s="1" t="s">
        <v>133</v>
      </c>
      <c r="D62" s="1" t="s">
        <v>133</v>
      </c>
      <c r="E62" s="7" t="s">
        <v>502</v>
      </c>
      <c r="F62" s="1" t="s">
        <v>600</v>
      </c>
      <c r="G62" s="1" t="s">
        <v>82</v>
      </c>
      <c r="H62" s="1" t="s">
        <v>80</v>
      </c>
      <c r="I62" s="1" t="str">
        <f t="shared" si="0"/>
        <v>d15</v>
      </c>
    </row>
    <row r="63" spans="1:9" x14ac:dyDescent="0.3">
      <c r="A63" s="1" t="s">
        <v>342</v>
      </c>
      <c r="B63" s="1" t="s">
        <v>378</v>
      </c>
      <c r="C63" s="1" t="s">
        <v>133</v>
      </c>
      <c r="D63" s="1" t="s">
        <v>133</v>
      </c>
      <c r="E63" s="7" t="s">
        <v>502</v>
      </c>
      <c r="F63" s="7" t="s">
        <v>601</v>
      </c>
      <c r="G63" s="1" t="s">
        <v>72</v>
      </c>
      <c r="H63" s="1" t="s">
        <v>59</v>
      </c>
      <c r="I63" s="1" t="str">
        <f t="shared" si="0"/>
        <v>d02</v>
      </c>
    </row>
    <row r="64" spans="1:9" x14ac:dyDescent="0.3">
      <c r="A64" s="1" t="s">
        <v>342</v>
      </c>
      <c r="B64" s="1" t="s">
        <v>378</v>
      </c>
      <c r="C64" s="1" t="s">
        <v>133</v>
      </c>
      <c r="D64" s="1" t="s">
        <v>133</v>
      </c>
      <c r="E64" s="7" t="s">
        <v>502</v>
      </c>
      <c r="F64" s="7" t="s">
        <v>554</v>
      </c>
      <c r="G64" s="1" t="s">
        <v>68</v>
      </c>
      <c r="H64" s="1" t="s">
        <v>75</v>
      </c>
      <c r="I64" s="1" t="str">
        <f t="shared" si="0"/>
        <v>d12</v>
      </c>
    </row>
    <row r="65" spans="1:9" x14ac:dyDescent="0.3">
      <c r="A65" s="1" t="s">
        <v>342</v>
      </c>
      <c r="B65" s="1" t="s">
        <v>378</v>
      </c>
      <c r="C65" s="1" t="s">
        <v>133</v>
      </c>
      <c r="D65" s="1" t="s">
        <v>133</v>
      </c>
      <c r="E65" s="7" t="s">
        <v>502</v>
      </c>
      <c r="F65" s="7" t="s">
        <v>554</v>
      </c>
      <c r="G65" s="1" t="s">
        <v>63</v>
      </c>
      <c r="H65" s="1" t="s">
        <v>75</v>
      </c>
      <c r="I65" s="1" t="str">
        <f t="shared" si="0"/>
        <v>d10</v>
      </c>
    </row>
    <row r="66" spans="1:9" x14ac:dyDescent="0.3">
      <c r="A66" s="1" t="s">
        <v>342</v>
      </c>
      <c r="B66" s="1" t="s">
        <v>378</v>
      </c>
      <c r="C66" s="1" t="s">
        <v>133</v>
      </c>
      <c r="D66" s="1" t="s">
        <v>133</v>
      </c>
      <c r="E66" s="7" t="s">
        <v>502</v>
      </c>
      <c r="F66" s="7" t="s">
        <v>554</v>
      </c>
      <c r="G66" s="1" t="s">
        <v>61</v>
      </c>
      <c r="H66" s="1" t="s">
        <v>75</v>
      </c>
      <c r="I66" s="1" t="str">
        <f t="shared" si="0"/>
        <v>d09</v>
      </c>
    </row>
    <row r="67" spans="1:9" x14ac:dyDescent="0.3">
      <c r="A67" s="1" t="s">
        <v>342</v>
      </c>
      <c r="B67" s="1" t="s">
        <v>378</v>
      </c>
      <c r="C67" s="1" t="s">
        <v>133</v>
      </c>
      <c r="D67" s="1" t="s">
        <v>133</v>
      </c>
      <c r="E67" s="7" t="s">
        <v>502</v>
      </c>
      <c r="F67" s="1" t="s">
        <v>602</v>
      </c>
      <c r="G67" s="1" t="s">
        <v>57</v>
      </c>
      <c r="H67" s="1" t="s">
        <v>80</v>
      </c>
      <c r="I67" s="1" t="str">
        <f t="shared" ref="I67:I124" si="1">VLOOKUP(G67,$M$2:$N$19,2,FALSE)</f>
        <v>d14</v>
      </c>
    </row>
    <row r="68" spans="1:9" x14ac:dyDescent="0.3">
      <c r="A68" s="1" t="s">
        <v>342</v>
      </c>
      <c r="B68" s="1" t="s">
        <v>378</v>
      </c>
      <c r="C68" s="1" t="s">
        <v>133</v>
      </c>
      <c r="D68" s="1" t="s">
        <v>133</v>
      </c>
      <c r="E68" s="7" t="s">
        <v>502</v>
      </c>
      <c r="F68" s="1" t="s">
        <v>603</v>
      </c>
      <c r="G68" s="1" t="s">
        <v>15</v>
      </c>
      <c r="H68" s="1" t="s">
        <v>75</v>
      </c>
      <c r="I68" s="1" t="str">
        <f t="shared" si="1"/>
        <v>d13</v>
      </c>
    </row>
    <row r="69" spans="1:9" x14ac:dyDescent="0.3">
      <c r="A69" s="1" t="s">
        <v>342</v>
      </c>
      <c r="B69" s="1" t="s">
        <v>378</v>
      </c>
      <c r="C69" s="1" t="s">
        <v>133</v>
      </c>
      <c r="D69" s="1" t="s">
        <v>133</v>
      </c>
      <c r="E69" s="7" t="s">
        <v>502</v>
      </c>
      <c r="F69" s="7" t="s">
        <v>603</v>
      </c>
      <c r="G69" s="1" t="s">
        <v>16</v>
      </c>
      <c r="H69" s="1" t="s">
        <v>75</v>
      </c>
      <c r="I69" s="1" t="str">
        <f t="shared" si="1"/>
        <v>d11</v>
      </c>
    </row>
    <row r="70" spans="1:9" x14ac:dyDescent="0.3">
      <c r="A70" s="1" t="s">
        <v>342</v>
      </c>
      <c r="B70" s="1" t="s">
        <v>378</v>
      </c>
      <c r="C70" s="1" t="s">
        <v>133</v>
      </c>
      <c r="D70" s="1" t="s">
        <v>133</v>
      </c>
      <c r="E70" s="7" t="s">
        <v>502</v>
      </c>
      <c r="F70" s="7" t="s">
        <v>603</v>
      </c>
      <c r="G70" s="1" t="s">
        <v>80</v>
      </c>
      <c r="H70" s="1" t="s">
        <v>80</v>
      </c>
      <c r="I70" s="1" t="str">
        <f t="shared" si="1"/>
        <v>d16</v>
      </c>
    </row>
    <row r="71" spans="1:9" x14ac:dyDescent="0.3">
      <c r="A71" s="1" t="s">
        <v>342</v>
      </c>
      <c r="B71" s="1" t="s">
        <v>378</v>
      </c>
      <c r="C71" s="1" t="s">
        <v>133</v>
      </c>
      <c r="D71" s="1" t="s">
        <v>133</v>
      </c>
      <c r="E71" s="7" t="s">
        <v>502</v>
      </c>
      <c r="F71" s="7" t="s">
        <v>604</v>
      </c>
      <c r="G71" s="1" t="s">
        <v>83</v>
      </c>
      <c r="H71" s="1" t="s">
        <v>80</v>
      </c>
      <c r="I71" s="1" t="str">
        <f t="shared" si="1"/>
        <v>d18</v>
      </c>
    </row>
    <row r="72" spans="1:9" x14ac:dyDescent="0.3">
      <c r="A72" s="1" t="s">
        <v>343</v>
      </c>
      <c r="B72" s="1" t="s">
        <v>383</v>
      </c>
      <c r="C72" s="1" t="s">
        <v>135</v>
      </c>
      <c r="D72" s="1" t="s">
        <v>133</v>
      </c>
      <c r="E72" s="7" t="s">
        <v>503</v>
      </c>
      <c r="F72" s="1" t="s">
        <v>605</v>
      </c>
      <c r="G72" s="1" t="s">
        <v>83</v>
      </c>
      <c r="H72" s="1" t="s">
        <v>80</v>
      </c>
      <c r="I72" s="1" t="str">
        <f t="shared" si="1"/>
        <v>d18</v>
      </c>
    </row>
    <row r="73" spans="1:9" x14ac:dyDescent="0.3">
      <c r="A73" s="1" t="s">
        <v>343</v>
      </c>
      <c r="B73" s="1" t="s">
        <v>383</v>
      </c>
      <c r="C73" s="1" t="s">
        <v>135</v>
      </c>
      <c r="D73" s="1" t="s">
        <v>133</v>
      </c>
      <c r="E73" s="7" t="s">
        <v>503</v>
      </c>
      <c r="F73" s="1" t="s">
        <v>606</v>
      </c>
      <c r="G73" s="1" t="s">
        <v>65</v>
      </c>
      <c r="H73" s="1" t="s">
        <v>80</v>
      </c>
      <c r="I73" s="1" t="str">
        <f t="shared" si="1"/>
        <v>d04</v>
      </c>
    </row>
    <row r="74" spans="1:9" x14ac:dyDescent="0.3">
      <c r="A74" s="1" t="s">
        <v>343</v>
      </c>
      <c r="B74" s="1" t="s">
        <v>383</v>
      </c>
      <c r="C74" s="1" t="s">
        <v>135</v>
      </c>
      <c r="D74" s="1" t="s">
        <v>133</v>
      </c>
      <c r="E74" s="7" t="s">
        <v>503</v>
      </c>
      <c r="F74" s="1" t="s">
        <v>607</v>
      </c>
      <c r="G74" s="1" t="s">
        <v>38</v>
      </c>
      <c r="H74" s="1" t="s">
        <v>80</v>
      </c>
      <c r="I74" s="1" t="str">
        <f t="shared" si="1"/>
        <v>d17</v>
      </c>
    </row>
    <row r="75" spans="1:9" x14ac:dyDescent="0.3">
      <c r="A75" s="1" t="s">
        <v>343</v>
      </c>
      <c r="B75" s="1" t="s">
        <v>383</v>
      </c>
      <c r="C75" s="1" t="s">
        <v>135</v>
      </c>
      <c r="D75" s="1" t="s">
        <v>133</v>
      </c>
      <c r="E75" s="7" t="s">
        <v>503</v>
      </c>
      <c r="F75" s="1" t="s">
        <v>608</v>
      </c>
      <c r="G75" s="1" t="s">
        <v>73</v>
      </c>
      <c r="H75" s="1" t="s">
        <v>73</v>
      </c>
      <c r="I75" s="1" t="str">
        <f t="shared" si="1"/>
        <v>d03</v>
      </c>
    </row>
    <row r="76" spans="1:9" x14ac:dyDescent="0.3">
      <c r="A76" s="1" t="s">
        <v>343</v>
      </c>
      <c r="B76" s="1" t="s">
        <v>383</v>
      </c>
      <c r="C76" s="1" t="s">
        <v>135</v>
      </c>
      <c r="D76" s="1" t="s">
        <v>133</v>
      </c>
      <c r="E76" s="7" t="s">
        <v>503</v>
      </c>
      <c r="F76" s="1" t="s">
        <v>609</v>
      </c>
      <c r="G76" s="1" t="s">
        <v>2</v>
      </c>
      <c r="H76" s="1" t="s">
        <v>75</v>
      </c>
      <c r="I76" s="1" t="str">
        <f t="shared" si="1"/>
        <v>d08</v>
      </c>
    </row>
    <row r="77" spans="1:9" x14ac:dyDescent="0.3">
      <c r="A77" s="1" t="s">
        <v>343</v>
      </c>
      <c r="B77" s="1" t="s">
        <v>383</v>
      </c>
      <c r="C77" s="1" t="s">
        <v>135</v>
      </c>
      <c r="D77" s="1" t="s">
        <v>133</v>
      </c>
      <c r="E77" s="7" t="s">
        <v>503</v>
      </c>
      <c r="F77" s="1" t="s">
        <v>610</v>
      </c>
      <c r="G77" s="1" t="s">
        <v>76</v>
      </c>
      <c r="H77" s="1" t="s">
        <v>75</v>
      </c>
      <c r="I77" s="1" t="str">
        <f t="shared" si="1"/>
        <v>d06</v>
      </c>
    </row>
    <row r="78" spans="1:9" x14ac:dyDescent="0.3">
      <c r="A78" s="1" t="s">
        <v>343</v>
      </c>
      <c r="B78" s="1" t="s">
        <v>383</v>
      </c>
      <c r="C78" s="1" t="s">
        <v>135</v>
      </c>
      <c r="D78" s="1" t="s">
        <v>133</v>
      </c>
      <c r="E78" s="7" t="s">
        <v>503</v>
      </c>
      <c r="F78" s="1" t="s">
        <v>611</v>
      </c>
      <c r="G78" s="1" t="s">
        <v>77</v>
      </c>
      <c r="H78" s="1" t="s">
        <v>75</v>
      </c>
      <c r="I78" s="1" t="str">
        <f t="shared" si="1"/>
        <v>d07</v>
      </c>
    </row>
    <row r="79" spans="1:9" x14ac:dyDescent="0.3">
      <c r="A79" s="1" t="s">
        <v>343</v>
      </c>
      <c r="B79" s="1" t="s">
        <v>383</v>
      </c>
      <c r="C79" s="1" t="s">
        <v>135</v>
      </c>
      <c r="D79" s="1" t="s">
        <v>133</v>
      </c>
      <c r="E79" s="7" t="s">
        <v>503</v>
      </c>
      <c r="F79" s="1" t="s">
        <v>612</v>
      </c>
      <c r="G79" s="1" t="s">
        <v>57</v>
      </c>
      <c r="H79" s="1" t="s">
        <v>80</v>
      </c>
      <c r="I79" s="1" t="str">
        <f t="shared" si="1"/>
        <v>d14</v>
      </c>
    </row>
    <row r="80" spans="1:9" x14ac:dyDescent="0.3">
      <c r="A80" s="1" t="s">
        <v>343</v>
      </c>
      <c r="B80" s="1" t="s">
        <v>383</v>
      </c>
      <c r="C80" s="1" t="s">
        <v>135</v>
      </c>
      <c r="D80" s="1" t="s">
        <v>133</v>
      </c>
      <c r="E80" s="7" t="s">
        <v>503</v>
      </c>
      <c r="F80" s="1" t="s">
        <v>613</v>
      </c>
      <c r="G80" s="1" t="s">
        <v>82</v>
      </c>
      <c r="H80" s="1" t="s">
        <v>80</v>
      </c>
      <c r="I80" s="1" t="str">
        <f t="shared" si="1"/>
        <v>d15</v>
      </c>
    </row>
    <row r="81" spans="1:9" x14ac:dyDescent="0.3">
      <c r="A81" s="1" t="s">
        <v>343</v>
      </c>
      <c r="B81" s="1" t="s">
        <v>383</v>
      </c>
      <c r="C81" s="1" t="s">
        <v>135</v>
      </c>
      <c r="D81" s="1" t="s">
        <v>133</v>
      </c>
      <c r="E81" s="7" t="s">
        <v>503</v>
      </c>
      <c r="F81" s="1" t="s">
        <v>614</v>
      </c>
      <c r="G81" s="1" t="s">
        <v>61</v>
      </c>
      <c r="H81" s="1" t="s">
        <v>75</v>
      </c>
      <c r="I81" s="1" t="str">
        <f t="shared" si="1"/>
        <v>d09</v>
      </c>
    </row>
    <row r="82" spans="1:9" x14ac:dyDescent="0.3">
      <c r="A82" s="1" t="s">
        <v>345</v>
      </c>
      <c r="B82" s="1" t="s">
        <v>321</v>
      </c>
      <c r="C82" s="1" t="s">
        <v>139</v>
      </c>
      <c r="D82" s="1" t="s">
        <v>546</v>
      </c>
      <c r="E82" s="7" t="s">
        <v>504</v>
      </c>
      <c r="F82" s="1" t="s">
        <v>615</v>
      </c>
      <c r="G82" s="1" t="s">
        <v>2</v>
      </c>
      <c r="H82" s="1" t="s">
        <v>75</v>
      </c>
      <c r="I82" s="1" t="str">
        <f t="shared" si="1"/>
        <v>d08</v>
      </c>
    </row>
    <row r="83" spans="1:9" x14ac:dyDescent="0.3">
      <c r="A83" s="1" t="s">
        <v>345</v>
      </c>
      <c r="B83" s="1" t="s">
        <v>321</v>
      </c>
      <c r="C83" s="1" t="s">
        <v>139</v>
      </c>
      <c r="D83" s="1" t="s">
        <v>546</v>
      </c>
      <c r="E83" s="7" t="s">
        <v>504</v>
      </c>
      <c r="F83" s="1" t="s">
        <v>616</v>
      </c>
      <c r="G83" s="1" t="s">
        <v>71</v>
      </c>
      <c r="H83" s="1" t="s">
        <v>59</v>
      </c>
      <c r="I83" s="1" t="str">
        <f t="shared" si="1"/>
        <v>d01</v>
      </c>
    </row>
    <row r="84" spans="1:9" x14ac:dyDescent="0.3">
      <c r="A84" s="1" t="s">
        <v>345</v>
      </c>
      <c r="B84" s="1" t="s">
        <v>321</v>
      </c>
      <c r="C84" s="1" t="s">
        <v>139</v>
      </c>
      <c r="D84" s="1" t="s">
        <v>546</v>
      </c>
      <c r="E84" s="7" t="s">
        <v>504</v>
      </c>
      <c r="F84" s="1" t="s">
        <v>617</v>
      </c>
      <c r="G84" s="1" t="s">
        <v>80</v>
      </c>
      <c r="H84" s="1" t="s">
        <v>80</v>
      </c>
      <c r="I84" s="1" t="str">
        <f t="shared" si="1"/>
        <v>d16</v>
      </c>
    </row>
    <row r="85" spans="1:9" x14ac:dyDescent="0.3">
      <c r="A85" s="1" t="s">
        <v>345</v>
      </c>
      <c r="B85" s="1" t="s">
        <v>321</v>
      </c>
      <c r="C85" s="1" t="s">
        <v>139</v>
      </c>
      <c r="D85" s="1" t="s">
        <v>546</v>
      </c>
      <c r="E85" s="7" t="s">
        <v>504</v>
      </c>
      <c r="F85" s="1" t="s">
        <v>618</v>
      </c>
      <c r="G85" s="1" t="s">
        <v>73</v>
      </c>
      <c r="H85" s="1" t="s">
        <v>73</v>
      </c>
      <c r="I85" s="1" t="str">
        <f t="shared" si="1"/>
        <v>d03</v>
      </c>
    </row>
    <row r="86" spans="1:9" x14ac:dyDescent="0.3">
      <c r="A86" s="1" t="s">
        <v>345</v>
      </c>
      <c r="B86" s="1" t="s">
        <v>321</v>
      </c>
      <c r="C86" s="1" t="s">
        <v>139</v>
      </c>
      <c r="D86" s="1" t="s">
        <v>546</v>
      </c>
      <c r="E86" s="7" t="s">
        <v>504</v>
      </c>
      <c r="F86" s="1" t="s">
        <v>619</v>
      </c>
      <c r="G86" s="1" t="s">
        <v>15</v>
      </c>
      <c r="H86" s="1" t="s">
        <v>75</v>
      </c>
      <c r="I86" s="1" t="str">
        <f t="shared" si="1"/>
        <v>d13</v>
      </c>
    </row>
    <row r="87" spans="1:9" x14ac:dyDescent="0.3">
      <c r="A87" s="1" t="s">
        <v>345</v>
      </c>
      <c r="B87" s="1" t="s">
        <v>321</v>
      </c>
      <c r="C87" s="1" t="s">
        <v>139</v>
      </c>
      <c r="D87" s="1" t="s">
        <v>546</v>
      </c>
      <c r="E87" s="7" t="s">
        <v>504</v>
      </c>
      <c r="F87" s="1" t="s">
        <v>620</v>
      </c>
      <c r="G87" s="1" t="s">
        <v>83</v>
      </c>
      <c r="H87" s="1" t="s">
        <v>80</v>
      </c>
      <c r="I87" s="1" t="str">
        <f t="shared" si="1"/>
        <v>d18</v>
      </c>
    </row>
    <row r="88" spans="1:9" x14ac:dyDescent="0.3">
      <c r="A88" s="1" t="s">
        <v>347</v>
      </c>
      <c r="B88" s="1" t="s">
        <v>322</v>
      </c>
      <c r="C88" s="1" t="s">
        <v>135</v>
      </c>
      <c r="D88" s="1" t="s">
        <v>133</v>
      </c>
      <c r="E88" s="1" t="s">
        <v>505</v>
      </c>
      <c r="F88" s="1" t="s">
        <v>621</v>
      </c>
      <c r="G88" s="1" t="s">
        <v>71</v>
      </c>
      <c r="H88" s="1" t="s">
        <v>59</v>
      </c>
      <c r="I88" s="1" t="str">
        <f t="shared" si="1"/>
        <v>d01</v>
      </c>
    </row>
    <row r="89" spans="1:9" x14ac:dyDescent="0.3">
      <c r="A89" s="1" t="s">
        <v>347</v>
      </c>
      <c r="B89" s="1" t="s">
        <v>322</v>
      </c>
      <c r="C89" s="1" t="s">
        <v>135</v>
      </c>
      <c r="D89" s="1" t="s">
        <v>133</v>
      </c>
      <c r="E89" s="1" t="s">
        <v>505</v>
      </c>
      <c r="F89" s="1" t="s">
        <v>622</v>
      </c>
      <c r="G89" s="1" t="s">
        <v>72</v>
      </c>
      <c r="H89" s="1" t="s">
        <v>59</v>
      </c>
      <c r="I89" s="1" t="str">
        <f t="shared" si="1"/>
        <v>d02</v>
      </c>
    </row>
    <row r="90" spans="1:9" x14ac:dyDescent="0.3">
      <c r="A90" s="1" t="s">
        <v>347</v>
      </c>
      <c r="B90" s="1" t="s">
        <v>322</v>
      </c>
      <c r="C90" s="1" t="s">
        <v>135</v>
      </c>
      <c r="D90" s="1" t="s">
        <v>133</v>
      </c>
      <c r="E90" s="1" t="s">
        <v>505</v>
      </c>
      <c r="F90" s="1" t="s">
        <v>623</v>
      </c>
      <c r="G90" s="1" t="s">
        <v>76</v>
      </c>
      <c r="H90" s="1" t="s">
        <v>75</v>
      </c>
      <c r="I90" s="1" t="str">
        <f t="shared" si="1"/>
        <v>d06</v>
      </c>
    </row>
    <row r="91" spans="1:9" x14ac:dyDescent="0.3">
      <c r="A91" s="1" t="s">
        <v>348</v>
      </c>
      <c r="B91" s="1" t="s">
        <v>384</v>
      </c>
      <c r="C91" s="1" t="s">
        <v>135</v>
      </c>
      <c r="D91" s="1" t="s">
        <v>133</v>
      </c>
      <c r="E91" s="1" t="s">
        <v>506</v>
      </c>
      <c r="F91" s="1" t="s">
        <v>624</v>
      </c>
      <c r="G91" s="1" t="s">
        <v>77</v>
      </c>
      <c r="H91" s="1" t="s">
        <v>75</v>
      </c>
      <c r="I91" s="1" t="str">
        <f t="shared" si="1"/>
        <v>d07</v>
      </c>
    </row>
    <row r="92" spans="1:9" x14ac:dyDescent="0.3">
      <c r="A92" s="1" t="s">
        <v>348</v>
      </c>
      <c r="B92" s="1" t="s">
        <v>384</v>
      </c>
      <c r="C92" s="1" t="s">
        <v>135</v>
      </c>
      <c r="D92" s="1" t="s">
        <v>133</v>
      </c>
      <c r="E92" s="1" t="s">
        <v>506</v>
      </c>
      <c r="F92" s="1" t="s">
        <v>625</v>
      </c>
      <c r="G92" s="1" t="s">
        <v>15</v>
      </c>
      <c r="H92" s="1" t="s">
        <v>75</v>
      </c>
      <c r="I92" s="1" t="str">
        <f t="shared" si="1"/>
        <v>d13</v>
      </c>
    </row>
    <row r="93" spans="1:9" x14ac:dyDescent="0.3">
      <c r="A93" s="1" t="s">
        <v>348</v>
      </c>
      <c r="B93" s="1" t="s">
        <v>384</v>
      </c>
      <c r="C93" s="1" t="s">
        <v>135</v>
      </c>
      <c r="D93" s="1" t="s">
        <v>133</v>
      </c>
      <c r="E93" s="1" t="s">
        <v>506</v>
      </c>
      <c r="F93" s="1" t="s">
        <v>626</v>
      </c>
      <c r="G93" s="1" t="s">
        <v>63</v>
      </c>
      <c r="H93" s="1" t="s">
        <v>75</v>
      </c>
      <c r="I93" s="1" t="str">
        <f t="shared" si="1"/>
        <v>d10</v>
      </c>
    </row>
    <row r="94" spans="1:9" x14ac:dyDescent="0.3">
      <c r="A94" s="1" t="s">
        <v>348</v>
      </c>
      <c r="B94" s="1" t="s">
        <v>384</v>
      </c>
      <c r="C94" s="1" t="s">
        <v>135</v>
      </c>
      <c r="D94" s="1" t="s">
        <v>133</v>
      </c>
      <c r="E94" s="1" t="s">
        <v>506</v>
      </c>
      <c r="F94" s="1" t="s">
        <v>627</v>
      </c>
      <c r="G94" s="1" t="s">
        <v>73</v>
      </c>
      <c r="H94" s="1" t="s">
        <v>73</v>
      </c>
      <c r="I94" s="1" t="str">
        <f t="shared" si="1"/>
        <v>d03</v>
      </c>
    </row>
    <row r="95" spans="1:9" x14ac:dyDescent="0.3">
      <c r="A95" s="1" t="s">
        <v>348</v>
      </c>
      <c r="B95" s="1" t="s">
        <v>384</v>
      </c>
      <c r="C95" s="1" t="s">
        <v>135</v>
      </c>
      <c r="D95" s="1" t="s">
        <v>133</v>
      </c>
      <c r="E95" s="1" t="s">
        <v>506</v>
      </c>
      <c r="F95" s="1" t="s">
        <v>628</v>
      </c>
      <c r="G95" s="1" t="s">
        <v>16</v>
      </c>
      <c r="H95" s="1" t="s">
        <v>75</v>
      </c>
      <c r="I95" s="1" t="str">
        <f t="shared" si="1"/>
        <v>d11</v>
      </c>
    </row>
    <row r="96" spans="1:9" x14ac:dyDescent="0.3">
      <c r="A96" s="1" t="s">
        <v>349</v>
      </c>
      <c r="B96" s="1" t="s">
        <v>385</v>
      </c>
      <c r="C96" s="1" t="s">
        <v>135</v>
      </c>
      <c r="D96" s="1" t="s">
        <v>133</v>
      </c>
      <c r="E96" s="7" t="s">
        <v>511</v>
      </c>
      <c r="F96" s="1" t="s">
        <v>629</v>
      </c>
      <c r="G96" s="1" t="s">
        <v>61</v>
      </c>
      <c r="H96" s="1" t="s">
        <v>75</v>
      </c>
      <c r="I96" s="1" t="str">
        <f t="shared" si="1"/>
        <v>d09</v>
      </c>
    </row>
    <row r="97" spans="1:9" x14ac:dyDescent="0.3">
      <c r="A97" s="1" t="s">
        <v>349</v>
      </c>
      <c r="B97" s="1" t="s">
        <v>385</v>
      </c>
      <c r="C97" s="1" t="s">
        <v>135</v>
      </c>
      <c r="D97" s="1" t="s">
        <v>133</v>
      </c>
      <c r="E97" s="7" t="s">
        <v>511</v>
      </c>
      <c r="F97" s="1" t="s">
        <v>630</v>
      </c>
      <c r="G97" s="1" t="s">
        <v>52</v>
      </c>
      <c r="H97" s="1" t="s">
        <v>75</v>
      </c>
      <c r="I97" s="1" t="str">
        <f t="shared" si="1"/>
        <v>d05</v>
      </c>
    </row>
    <row r="98" spans="1:9" x14ac:dyDescent="0.3">
      <c r="A98" s="1" t="s">
        <v>349</v>
      </c>
      <c r="B98" s="1" t="s">
        <v>385</v>
      </c>
      <c r="C98" s="1" t="s">
        <v>135</v>
      </c>
      <c r="D98" s="1" t="s">
        <v>133</v>
      </c>
      <c r="E98" s="7" t="s">
        <v>511</v>
      </c>
      <c r="F98" s="1" t="s">
        <v>631</v>
      </c>
      <c r="G98" s="1" t="s">
        <v>68</v>
      </c>
      <c r="H98" s="1" t="s">
        <v>75</v>
      </c>
      <c r="I98" s="1" t="str">
        <f t="shared" si="1"/>
        <v>d12</v>
      </c>
    </row>
    <row r="99" spans="1:9" x14ac:dyDescent="0.3">
      <c r="A99" s="1" t="s">
        <v>351</v>
      </c>
      <c r="B99" s="1" t="s">
        <v>323</v>
      </c>
      <c r="C99" s="1" t="s">
        <v>135</v>
      </c>
      <c r="D99" s="1" t="s">
        <v>133</v>
      </c>
      <c r="E99" s="7" t="s">
        <v>512</v>
      </c>
      <c r="F99" s="1" t="s">
        <v>632</v>
      </c>
      <c r="G99" s="1" t="s">
        <v>71</v>
      </c>
      <c r="H99" s="1" t="s">
        <v>59</v>
      </c>
      <c r="I99" s="1" t="str">
        <f t="shared" si="1"/>
        <v>d01</v>
      </c>
    </row>
    <row r="100" spans="1:9" x14ac:dyDescent="0.3">
      <c r="A100" s="1" t="s">
        <v>351</v>
      </c>
      <c r="B100" s="1" t="s">
        <v>323</v>
      </c>
      <c r="C100" s="1" t="s">
        <v>135</v>
      </c>
      <c r="D100" s="1" t="s">
        <v>133</v>
      </c>
      <c r="E100" s="7" t="s">
        <v>512</v>
      </c>
      <c r="F100" s="1" t="s">
        <v>633</v>
      </c>
      <c r="G100" s="1" t="s">
        <v>72</v>
      </c>
      <c r="H100" s="1" t="s">
        <v>59</v>
      </c>
      <c r="I100" s="1" t="str">
        <f t="shared" si="1"/>
        <v>d02</v>
      </c>
    </row>
    <row r="101" spans="1:9" x14ac:dyDescent="0.3">
      <c r="A101" s="1" t="s">
        <v>352</v>
      </c>
      <c r="B101" s="1" t="s">
        <v>324</v>
      </c>
      <c r="C101" s="1" t="s">
        <v>135</v>
      </c>
      <c r="D101" s="1" t="s">
        <v>133</v>
      </c>
      <c r="E101" s="7" t="s">
        <v>513</v>
      </c>
      <c r="F101" s="1" t="s">
        <v>634</v>
      </c>
      <c r="G101" s="1" t="s">
        <v>71</v>
      </c>
      <c r="H101" s="1" t="s">
        <v>59</v>
      </c>
      <c r="I101" s="1" t="str">
        <f t="shared" si="1"/>
        <v>d01</v>
      </c>
    </row>
    <row r="102" spans="1:9" x14ac:dyDescent="0.3">
      <c r="A102" s="1" t="s">
        <v>352</v>
      </c>
      <c r="B102" s="1" t="s">
        <v>324</v>
      </c>
      <c r="C102" s="1" t="s">
        <v>135</v>
      </c>
      <c r="D102" s="1" t="s">
        <v>133</v>
      </c>
      <c r="E102" s="7" t="s">
        <v>513</v>
      </c>
      <c r="F102" s="1" t="s">
        <v>635</v>
      </c>
      <c r="G102" s="1" t="s">
        <v>2</v>
      </c>
      <c r="H102" s="1" t="s">
        <v>75</v>
      </c>
      <c r="I102" s="1" t="str">
        <f t="shared" si="1"/>
        <v>d08</v>
      </c>
    </row>
    <row r="103" spans="1:9" x14ac:dyDescent="0.3">
      <c r="A103" s="1" t="s">
        <v>354</v>
      </c>
      <c r="B103" s="1" t="s">
        <v>325</v>
      </c>
      <c r="C103" s="1" t="s">
        <v>421</v>
      </c>
      <c r="D103" s="1" t="s">
        <v>133</v>
      </c>
      <c r="E103" s="7" t="s">
        <v>514</v>
      </c>
      <c r="F103" s="1" t="s">
        <v>636</v>
      </c>
      <c r="G103" s="1" t="s">
        <v>77</v>
      </c>
      <c r="H103" s="1" t="s">
        <v>75</v>
      </c>
      <c r="I103" s="1" t="str">
        <f t="shared" si="1"/>
        <v>d07</v>
      </c>
    </row>
    <row r="104" spans="1:9" x14ac:dyDescent="0.3">
      <c r="A104" s="1" t="s">
        <v>354</v>
      </c>
      <c r="B104" s="1" t="s">
        <v>325</v>
      </c>
      <c r="C104" s="1" t="s">
        <v>421</v>
      </c>
      <c r="D104" s="1" t="s">
        <v>133</v>
      </c>
      <c r="E104" s="7" t="s">
        <v>514</v>
      </c>
      <c r="F104" s="1" t="s">
        <v>626</v>
      </c>
      <c r="G104" s="1" t="s">
        <v>63</v>
      </c>
      <c r="H104" s="1" t="s">
        <v>75</v>
      </c>
      <c r="I104" s="1" t="str">
        <f t="shared" si="1"/>
        <v>d10</v>
      </c>
    </row>
    <row r="105" spans="1:9" x14ac:dyDescent="0.3">
      <c r="A105" s="1" t="s">
        <v>354</v>
      </c>
      <c r="B105" s="1" t="s">
        <v>325</v>
      </c>
      <c r="C105" s="1" t="s">
        <v>421</v>
      </c>
      <c r="D105" s="1" t="s">
        <v>133</v>
      </c>
      <c r="E105" s="7" t="s">
        <v>514</v>
      </c>
      <c r="F105" s="1" t="s">
        <v>637</v>
      </c>
      <c r="G105" s="1" t="s">
        <v>61</v>
      </c>
      <c r="H105" s="1" t="s">
        <v>75</v>
      </c>
      <c r="I105" s="1" t="str">
        <f t="shared" si="1"/>
        <v>d09</v>
      </c>
    </row>
    <row r="106" spans="1:9" x14ac:dyDescent="0.3">
      <c r="A106" s="1" t="s">
        <v>354</v>
      </c>
      <c r="B106" s="1" t="s">
        <v>325</v>
      </c>
      <c r="C106" s="1" t="s">
        <v>421</v>
      </c>
      <c r="D106" s="1" t="s">
        <v>133</v>
      </c>
      <c r="E106" s="7" t="s">
        <v>514</v>
      </c>
      <c r="F106" s="1" t="s">
        <v>638</v>
      </c>
      <c r="G106" s="1" t="s">
        <v>71</v>
      </c>
      <c r="H106" s="1" t="s">
        <v>59</v>
      </c>
      <c r="I106" s="1" t="str">
        <f t="shared" si="1"/>
        <v>d01</v>
      </c>
    </row>
    <row r="107" spans="1:9" x14ac:dyDescent="0.3">
      <c r="A107" s="1" t="s">
        <v>354</v>
      </c>
      <c r="B107" s="1" t="s">
        <v>325</v>
      </c>
      <c r="C107" s="1" t="s">
        <v>421</v>
      </c>
      <c r="D107" s="1" t="s">
        <v>133</v>
      </c>
      <c r="E107" s="7" t="s">
        <v>514</v>
      </c>
      <c r="F107" s="1" t="s">
        <v>639</v>
      </c>
      <c r="G107" s="1" t="s">
        <v>72</v>
      </c>
      <c r="H107" s="1" t="s">
        <v>59</v>
      </c>
      <c r="I107" s="1" t="str">
        <f t="shared" si="1"/>
        <v>d02</v>
      </c>
    </row>
    <row r="108" spans="1:9" x14ac:dyDescent="0.3">
      <c r="A108" s="1" t="s">
        <v>354</v>
      </c>
      <c r="B108" s="1" t="s">
        <v>325</v>
      </c>
      <c r="C108" s="1" t="s">
        <v>421</v>
      </c>
      <c r="D108" s="1" t="s">
        <v>133</v>
      </c>
      <c r="E108" s="7" t="s">
        <v>514</v>
      </c>
      <c r="F108" s="1" t="s">
        <v>640</v>
      </c>
      <c r="G108" s="1" t="s">
        <v>76</v>
      </c>
      <c r="H108" s="1" t="s">
        <v>75</v>
      </c>
      <c r="I108" s="1" t="str">
        <f t="shared" si="1"/>
        <v>d06</v>
      </c>
    </row>
    <row r="109" spans="1:9" x14ac:dyDescent="0.3">
      <c r="A109" s="1" t="s">
        <v>356</v>
      </c>
      <c r="B109" s="1" t="s">
        <v>386</v>
      </c>
      <c r="C109" s="1" t="s">
        <v>422</v>
      </c>
      <c r="D109" s="1" t="s">
        <v>133</v>
      </c>
      <c r="E109" s="7" t="s">
        <v>515</v>
      </c>
      <c r="F109" s="1" t="s">
        <v>641</v>
      </c>
      <c r="G109" s="1" t="s">
        <v>83</v>
      </c>
      <c r="H109" s="1" t="s">
        <v>80</v>
      </c>
      <c r="I109" s="1" t="str">
        <f t="shared" si="1"/>
        <v>d18</v>
      </c>
    </row>
    <row r="110" spans="1:9" x14ac:dyDescent="0.3">
      <c r="A110" s="1" t="s">
        <v>356</v>
      </c>
      <c r="B110" s="1" t="s">
        <v>386</v>
      </c>
      <c r="C110" s="1" t="s">
        <v>422</v>
      </c>
      <c r="D110" s="1" t="s">
        <v>133</v>
      </c>
      <c r="E110" s="7" t="s">
        <v>515</v>
      </c>
      <c r="F110" s="1" t="s">
        <v>642</v>
      </c>
      <c r="G110" s="1" t="s">
        <v>2</v>
      </c>
      <c r="H110" s="1" t="s">
        <v>75</v>
      </c>
      <c r="I110" s="1" t="str">
        <f t="shared" si="1"/>
        <v>d08</v>
      </c>
    </row>
    <row r="111" spans="1:9" x14ac:dyDescent="0.3">
      <c r="A111" s="1" t="s">
        <v>356</v>
      </c>
      <c r="B111" s="1" t="s">
        <v>386</v>
      </c>
      <c r="C111" s="1" t="s">
        <v>422</v>
      </c>
      <c r="D111" s="1" t="s">
        <v>133</v>
      </c>
      <c r="E111" s="7" t="s">
        <v>515</v>
      </c>
      <c r="F111" s="1" t="s">
        <v>643</v>
      </c>
      <c r="G111" s="1" t="s">
        <v>71</v>
      </c>
      <c r="H111" s="1" t="s">
        <v>59</v>
      </c>
      <c r="I111" s="1" t="str">
        <f t="shared" si="1"/>
        <v>d01</v>
      </c>
    </row>
    <row r="112" spans="1:9" x14ac:dyDescent="0.3">
      <c r="A112" s="1" t="s">
        <v>358</v>
      </c>
      <c r="B112" s="1" t="s">
        <v>327</v>
      </c>
      <c r="C112" s="1" t="s">
        <v>422</v>
      </c>
      <c r="D112" s="1" t="s">
        <v>133</v>
      </c>
      <c r="E112" s="7" t="s">
        <v>516</v>
      </c>
      <c r="F112" s="1" t="s">
        <v>644</v>
      </c>
      <c r="G112" s="1" t="s">
        <v>71</v>
      </c>
      <c r="H112" s="1" t="s">
        <v>59</v>
      </c>
      <c r="I112" s="1" t="str">
        <f t="shared" si="1"/>
        <v>d01</v>
      </c>
    </row>
    <row r="113" spans="1:9" x14ac:dyDescent="0.3">
      <c r="A113" s="1" t="s">
        <v>358</v>
      </c>
      <c r="B113" s="1" t="s">
        <v>327</v>
      </c>
      <c r="C113" s="1" t="s">
        <v>422</v>
      </c>
      <c r="D113" s="1" t="s">
        <v>133</v>
      </c>
      <c r="E113" s="7" t="s">
        <v>516</v>
      </c>
      <c r="F113" s="1" t="s">
        <v>645</v>
      </c>
      <c r="G113" s="1" t="s">
        <v>65</v>
      </c>
      <c r="H113" s="1" t="s">
        <v>80</v>
      </c>
      <c r="I113" s="1" t="str">
        <f t="shared" si="1"/>
        <v>d04</v>
      </c>
    </row>
    <row r="114" spans="1:9" x14ac:dyDescent="0.3">
      <c r="A114" s="1" t="s">
        <v>358</v>
      </c>
      <c r="B114" s="1" t="s">
        <v>327</v>
      </c>
      <c r="C114" s="1" t="s">
        <v>422</v>
      </c>
      <c r="D114" s="1" t="s">
        <v>133</v>
      </c>
      <c r="E114" s="7" t="s">
        <v>516</v>
      </c>
      <c r="F114" s="1" t="s">
        <v>646</v>
      </c>
      <c r="G114" s="1" t="s">
        <v>83</v>
      </c>
      <c r="H114" s="1" t="s">
        <v>80</v>
      </c>
      <c r="I114" s="1" t="str">
        <f t="shared" si="1"/>
        <v>d18</v>
      </c>
    </row>
    <row r="115" spans="1:9" x14ac:dyDescent="0.3">
      <c r="A115" s="1" t="s">
        <v>360</v>
      </c>
      <c r="B115" s="1" t="s">
        <v>329</v>
      </c>
      <c r="C115" s="1" t="s">
        <v>436</v>
      </c>
      <c r="D115" s="1" t="s">
        <v>133</v>
      </c>
      <c r="E115" s="7" t="s">
        <v>524</v>
      </c>
      <c r="F115" s="1" t="s">
        <v>647</v>
      </c>
      <c r="G115" s="1" t="s">
        <v>72</v>
      </c>
      <c r="H115" s="1" t="s">
        <v>59</v>
      </c>
      <c r="I115" s="1" t="str">
        <f t="shared" si="1"/>
        <v>d02</v>
      </c>
    </row>
    <row r="116" spans="1:9" x14ac:dyDescent="0.3">
      <c r="A116" s="1" t="s">
        <v>362</v>
      </c>
      <c r="B116" s="1" t="s">
        <v>331</v>
      </c>
      <c r="C116" s="1" t="s">
        <v>148</v>
      </c>
      <c r="D116" s="1" t="s">
        <v>133</v>
      </c>
      <c r="E116" s="7" t="s">
        <v>525</v>
      </c>
      <c r="F116" s="1" t="s">
        <v>648</v>
      </c>
      <c r="G116" s="1" t="s">
        <v>80</v>
      </c>
      <c r="H116" s="1" t="s">
        <v>80</v>
      </c>
      <c r="I116" s="1" t="str">
        <f t="shared" si="1"/>
        <v>d16</v>
      </c>
    </row>
    <row r="117" spans="1:9" x14ac:dyDescent="0.3">
      <c r="A117" s="1" t="s">
        <v>364</v>
      </c>
      <c r="B117" s="1" t="s">
        <v>333</v>
      </c>
      <c r="C117" s="1" t="s">
        <v>168</v>
      </c>
      <c r="D117" s="1" t="s">
        <v>133</v>
      </c>
      <c r="E117" s="7" t="s">
        <v>526</v>
      </c>
      <c r="F117" s="1" t="s">
        <v>649</v>
      </c>
      <c r="G117" s="1" t="s">
        <v>72</v>
      </c>
      <c r="H117" s="1" t="s">
        <v>59</v>
      </c>
      <c r="I117" s="1" t="str">
        <f t="shared" si="1"/>
        <v>d02</v>
      </c>
    </row>
    <row r="118" spans="1:9" x14ac:dyDescent="0.3">
      <c r="A118" s="1" t="s">
        <v>364</v>
      </c>
      <c r="B118" s="1" t="s">
        <v>333</v>
      </c>
      <c r="C118" s="1" t="s">
        <v>168</v>
      </c>
      <c r="D118" s="1" t="s">
        <v>133</v>
      </c>
      <c r="E118" s="7" t="s">
        <v>526</v>
      </c>
      <c r="F118" s="1" t="s">
        <v>650</v>
      </c>
      <c r="G118" s="1" t="s">
        <v>71</v>
      </c>
      <c r="H118" s="1" t="s">
        <v>59</v>
      </c>
      <c r="I118" s="1" t="str">
        <f t="shared" si="1"/>
        <v>d01</v>
      </c>
    </row>
    <row r="119" spans="1:9" x14ac:dyDescent="0.3">
      <c r="A119" s="1" t="s">
        <v>364</v>
      </c>
      <c r="B119" s="1" t="s">
        <v>333</v>
      </c>
      <c r="C119" s="1" t="s">
        <v>168</v>
      </c>
      <c r="D119" s="1" t="s">
        <v>133</v>
      </c>
      <c r="E119" s="7" t="s">
        <v>526</v>
      </c>
      <c r="F119" s="1" t="s">
        <v>651</v>
      </c>
      <c r="G119" s="1" t="s">
        <v>15</v>
      </c>
      <c r="H119" s="1" t="s">
        <v>75</v>
      </c>
      <c r="I119" s="1" t="str">
        <f t="shared" si="1"/>
        <v>d13</v>
      </c>
    </row>
    <row r="120" spans="1:9" x14ac:dyDescent="0.3">
      <c r="A120" s="1" t="s">
        <v>364</v>
      </c>
      <c r="B120" s="1" t="s">
        <v>333</v>
      </c>
      <c r="C120" s="1" t="s">
        <v>168</v>
      </c>
      <c r="D120" s="1" t="s">
        <v>133</v>
      </c>
      <c r="E120" s="7" t="s">
        <v>526</v>
      </c>
      <c r="F120" s="1" t="s">
        <v>589</v>
      </c>
      <c r="G120" s="1" t="s">
        <v>73</v>
      </c>
      <c r="H120" s="1" t="s">
        <v>73</v>
      </c>
      <c r="I120" s="1" t="str">
        <f t="shared" si="1"/>
        <v>d03</v>
      </c>
    </row>
    <row r="121" spans="1:9" x14ac:dyDescent="0.3">
      <c r="A121" s="1" t="s">
        <v>365</v>
      </c>
      <c r="B121" s="1" t="s">
        <v>335</v>
      </c>
      <c r="C121" s="1" t="s">
        <v>168</v>
      </c>
      <c r="D121" s="1" t="s">
        <v>133</v>
      </c>
      <c r="E121" s="7" t="s">
        <v>527</v>
      </c>
      <c r="F121" s="1" t="s">
        <v>652</v>
      </c>
      <c r="G121" s="1" t="s">
        <v>72</v>
      </c>
      <c r="H121" s="1" t="s">
        <v>59</v>
      </c>
      <c r="I121" s="1" t="str">
        <f t="shared" si="1"/>
        <v>d02</v>
      </c>
    </row>
    <row r="122" spans="1:9" x14ac:dyDescent="0.3">
      <c r="A122" s="1" t="s">
        <v>367</v>
      </c>
      <c r="B122" s="1" t="s">
        <v>387</v>
      </c>
      <c r="C122" s="1" t="s">
        <v>376</v>
      </c>
      <c r="D122" s="1" t="s">
        <v>133</v>
      </c>
      <c r="E122" s="7" t="s">
        <v>528</v>
      </c>
      <c r="F122" s="1" t="s">
        <v>653</v>
      </c>
      <c r="G122" s="1" t="s">
        <v>57</v>
      </c>
      <c r="H122" s="1" t="s">
        <v>80</v>
      </c>
      <c r="I122" s="1" t="str">
        <f t="shared" si="1"/>
        <v>d14</v>
      </c>
    </row>
    <row r="123" spans="1:9" x14ac:dyDescent="0.3">
      <c r="A123" s="1" t="s">
        <v>369</v>
      </c>
      <c r="B123" s="1" t="s">
        <v>388</v>
      </c>
      <c r="C123" s="1" t="s">
        <v>175</v>
      </c>
      <c r="D123" s="1" t="s">
        <v>133</v>
      </c>
      <c r="E123" s="7" t="s">
        <v>529</v>
      </c>
      <c r="F123" s="1" t="s">
        <v>654</v>
      </c>
      <c r="G123" s="1" t="s">
        <v>57</v>
      </c>
      <c r="H123" s="1" t="s">
        <v>80</v>
      </c>
      <c r="I123" s="1" t="str">
        <f t="shared" si="1"/>
        <v>d14</v>
      </c>
    </row>
    <row r="124" spans="1:9" x14ac:dyDescent="0.3">
      <c r="A124" s="1" t="s">
        <v>369</v>
      </c>
      <c r="B124" s="1" t="s">
        <v>388</v>
      </c>
      <c r="C124" s="1" t="s">
        <v>175</v>
      </c>
      <c r="D124" s="1" t="s">
        <v>133</v>
      </c>
      <c r="E124" s="7" t="s">
        <v>529</v>
      </c>
      <c r="F124" s="1" t="s">
        <v>655</v>
      </c>
      <c r="G124" s="1" t="s">
        <v>71</v>
      </c>
      <c r="H124" s="1" t="s">
        <v>59</v>
      </c>
      <c r="I124" s="1" t="str">
        <f t="shared" si="1"/>
        <v>d01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location="db"/>
    <hyperlink ref="E26" r:id="rId25" location="db"/>
    <hyperlink ref="E27" r:id="rId26" location="db"/>
    <hyperlink ref="E28" r:id="rId27"/>
    <hyperlink ref="E29" r:id="rId28"/>
    <hyperlink ref="E30" r:id="rId29"/>
    <hyperlink ref="E31" r:id="rId30"/>
    <hyperlink ref="E107" r:id="rId31"/>
    <hyperlink ref="E120" r:id="rId32"/>
    <hyperlink ref="E121" r:id="rId33"/>
    <hyperlink ref="E122" r:id="rId34"/>
    <hyperlink ref="E123" r:id="rId35"/>
    <hyperlink ref="E32" r:id="rId36"/>
    <hyperlink ref="E33" r:id="rId37"/>
    <hyperlink ref="E34" r:id="rId38"/>
    <hyperlink ref="E35" r:id="rId39"/>
    <hyperlink ref="E36" r:id="rId40"/>
    <hyperlink ref="E37" r:id="rId41"/>
    <hyperlink ref="E38" r:id="rId42"/>
    <hyperlink ref="E39" r:id="rId43"/>
    <hyperlink ref="E40" r:id="rId44"/>
    <hyperlink ref="E41" r:id="rId45"/>
    <hyperlink ref="E51" r:id="rId46"/>
    <hyperlink ref="E52" r:id="rId47"/>
    <hyperlink ref="E53" r:id="rId48"/>
    <hyperlink ref="E54" r:id="rId49"/>
    <hyperlink ref="E82" r:id="rId50"/>
    <hyperlink ref="E83" r:id="rId51"/>
    <hyperlink ref="E84" r:id="rId52"/>
    <hyperlink ref="E85" r:id="rId53"/>
    <hyperlink ref="E86" r:id="rId54"/>
    <hyperlink ref="E87" r:id="rId55"/>
    <hyperlink ref="E96" r:id="rId56"/>
    <hyperlink ref="E97" r:id="rId57"/>
    <hyperlink ref="E98" r:id="rId58"/>
    <hyperlink ref="E99" r:id="rId59"/>
    <hyperlink ref="E100" r:id="rId60"/>
    <hyperlink ref="E101" r:id="rId61"/>
    <hyperlink ref="E102" r:id="rId62"/>
    <hyperlink ref="E103" r:id="rId63"/>
    <hyperlink ref="E104" r:id="rId64"/>
    <hyperlink ref="E105" r:id="rId65"/>
    <hyperlink ref="E106" r:id="rId66"/>
    <hyperlink ref="E108" r:id="rId67"/>
    <hyperlink ref="E109" r:id="rId68"/>
    <hyperlink ref="E110" r:id="rId69"/>
    <hyperlink ref="E111" r:id="rId70"/>
    <hyperlink ref="E112" r:id="rId71" location="intro"/>
    <hyperlink ref="E113" r:id="rId72" location="intro"/>
    <hyperlink ref="E114" r:id="rId73" location="intro"/>
    <hyperlink ref="E115" r:id="rId74" location="datalist"/>
    <hyperlink ref="E116" r:id="rId75"/>
    <hyperlink ref="E117" r:id="rId76"/>
    <hyperlink ref="E118" r:id="rId77"/>
    <hyperlink ref="E119" r:id="rId78"/>
    <hyperlink ref="E124" r:id="rId7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4"/>
  <sheetViews>
    <sheetView tabSelected="1" workbookViewId="0">
      <selection activeCell="A7" sqref="A7"/>
    </sheetView>
  </sheetViews>
  <sheetFormatPr defaultRowHeight="15.6" x14ac:dyDescent="0.3"/>
  <cols>
    <col min="1" max="16384" width="8.796875" style="1"/>
  </cols>
  <sheetData>
    <row r="1" spans="1:2" x14ac:dyDescent="0.3">
      <c r="A1" s="6" t="s">
        <v>36</v>
      </c>
      <c r="B1" s="6" t="s">
        <v>37</v>
      </c>
    </row>
    <row r="2" spans="1:2" x14ac:dyDescent="0.3">
      <c r="A2" s="1" t="s">
        <v>39</v>
      </c>
      <c r="B2" s="1" t="s">
        <v>50</v>
      </c>
    </row>
    <row r="3" spans="1:2" x14ac:dyDescent="0.3">
      <c r="A3" s="1" t="s">
        <v>39</v>
      </c>
      <c r="B3" s="1" t="s">
        <v>51</v>
      </c>
    </row>
    <row r="4" spans="1:2" x14ac:dyDescent="0.3">
      <c r="A4" s="1" t="s">
        <v>39</v>
      </c>
      <c r="B4" s="1" t="s">
        <v>53</v>
      </c>
    </row>
    <row r="5" spans="1:2" x14ac:dyDescent="0.3">
      <c r="A5" s="1" t="s">
        <v>39</v>
      </c>
      <c r="B5" s="1" t="s">
        <v>74</v>
      </c>
    </row>
    <row r="6" spans="1:2" x14ac:dyDescent="0.3">
      <c r="A6" s="1" t="s">
        <v>39</v>
      </c>
      <c r="B6" s="1" t="s">
        <v>69</v>
      </c>
    </row>
    <row r="7" spans="1:2" x14ac:dyDescent="0.3">
      <c r="A7" s="1" t="s">
        <v>39</v>
      </c>
      <c r="B7" s="1" t="s">
        <v>58</v>
      </c>
    </row>
    <row r="8" spans="1:2" x14ac:dyDescent="0.3">
      <c r="A8" s="1" t="s">
        <v>39</v>
      </c>
      <c r="B8" s="1" t="s">
        <v>70</v>
      </c>
    </row>
    <row r="9" spans="1:2" x14ac:dyDescent="0.3">
      <c r="A9" s="1" t="s">
        <v>39</v>
      </c>
      <c r="B9" s="1" t="s">
        <v>54</v>
      </c>
    </row>
    <row r="10" spans="1:2" x14ac:dyDescent="0.3">
      <c r="A10" s="1" t="s">
        <v>39</v>
      </c>
      <c r="B10" s="1" t="s">
        <v>60</v>
      </c>
    </row>
    <row r="11" spans="1:2" x14ac:dyDescent="0.3">
      <c r="A11" s="1" t="s">
        <v>39</v>
      </c>
      <c r="B11" s="1" t="s">
        <v>78</v>
      </c>
    </row>
    <row r="12" spans="1:2" x14ac:dyDescent="0.3">
      <c r="A12" s="1" t="s">
        <v>39</v>
      </c>
      <c r="B12" s="1" t="s">
        <v>55</v>
      </c>
    </row>
    <row r="13" spans="1:2" x14ac:dyDescent="0.3">
      <c r="A13" s="1" t="s">
        <v>39</v>
      </c>
      <c r="B13" s="1" t="s">
        <v>64</v>
      </c>
    </row>
    <row r="14" spans="1:2" x14ac:dyDescent="0.3">
      <c r="A14" s="1" t="s">
        <v>39</v>
      </c>
      <c r="B14" s="1" t="s">
        <v>81</v>
      </c>
    </row>
    <row r="15" spans="1:2" x14ac:dyDescent="0.3">
      <c r="A15" s="1" t="s">
        <v>40</v>
      </c>
      <c r="B15" s="1" t="s">
        <v>53</v>
      </c>
    </row>
    <row r="16" spans="1:2" x14ac:dyDescent="0.3">
      <c r="A16" s="1" t="s">
        <v>41</v>
      </c>
      <c r="B16" s="1" t="s">
        <v>74</v>
      </c>
    </row>
    <row r="17" spans="1:2" x14ac:dyDescent="0.3">
      <c r="A17" s="1" t="s">
        <v>42</v>
      </c>
      <c r="B17" s="1" t="s">
        <v>74</v>
      </c>
    </row>
    <row r="18" spans="1:2" x14ac:dyDescent="0.3">
      <c r="A18" s="1" t="s">
        <v>43</v>
      </c>
      <c r="B18" s="1" t="s">
        <v>50</v>
      </c>
    </row>
    <row r="19" spans="1:2" x14ac:dyDescent="0.3">
      <c r="A19" s="1" t="s">
        <v>43</v>
      </c>
      <c r="B19" s="1" t="s">
        <v>74</v>
      </c>
    </row>
    <row r="20" spans="1:2" x14ac:dyDescent="0.3">
      <c r="A20" s="1" t="s">
        <v>44</v>
      </c>
      <c r="B20" s="1" t="s">
        <v>74</v>
      </c>
    </row>
    <row r="21" spans="1:2" x14ac:dyDescent="0.3">
      <c r="A21" s="1" t="s">
        <v>45</v>
      </c>
      <c r="B21" s="1" t="s">
        <v>74</v>
      </c>
    </row>
    <row r="22" spans="1:2" x14ac:dyDescent="0.3">
      <c r="A22" s="1" t="s">
        <v>45</v>
      </c>
      <c r="B22" s="1" t="s">
        <v>69</v>
      </c>
    </row>
    <row r="23" spans="1:2" x14ac:dyDescent="0.3">
      <c r="A23" s="1" t="s">
        <v>45</v>
      </c>
      <c r="B23" s="1" t="s">
        <v>53</v>
      </c>
    </row>
    <row r="24" spans="1:2" x14ac:dyDescent="0.3">
      <c r="A24" s="1" t="s">
        <v>45</v>
      </c>
      <c r="B24" s="1" t="s">
        <v>58</v>
      </c>
    </row>
    <row r="25" spans="1:2" x14ac:dyDescent="0.3">
      <c r="A25" s="1" t="s">
        <v>46</v>
      </c>
      <c r="B25" s="1" t="s">
        <v>67</v>
      </c>
    </row>
    <row r="26" spans="1:2" x14ac:dyDescent="0.3">
      <c r="A26" s="1" t="s">
        <v>46</v>
      </c>
      <c r="B26" s="1" t="s">
        <v>50</v>
      </c>
    </row>
    <row r="27" spans="1:2" x14ac:dyDescent="0.3">
      <c r="A27" s="1" t="s">
        <v>46</v>
      </c>
      <c r="B27" s="1" t="s">
        <v>51</v>
      </c>
    </row>
    <row r="28" spans="1:2" x14ac:dyDescent="0.3">
      <c r="A28" s="1" t="s">
        <v>47</v>
      </c>
      <c r="B28" s="1" t="s">
        <v>50</v>
      </c>
    </row>
    <row r="29" spans="1:2" x14ac:dyDescent="0.3">
      <c r="A29" s="1" t="s">
        <v>47</v>
      </c>
      <c r="B29" s="1" t="s">
        <v>67</v>
      </c>
    </row>
    <row r="30" spans="1:2" x14ac:dyDescent="0.3">
      <c r="A30" s="1" t="s">
        <v>47</v>
      </c>
      <c r="B30" s="1" t="s">
        <v>74</v>
      </c>
    </row>
    <row r="31" spans="1:2" x14ac:dyDescent="0.3">
      <c r="A31" s="1" t="s">
        <v>48</v>
      </c>
      <c r="B31" s="1" t="s">
        <v>74</v>
      </c>
    </row>
    <row r="32" spans="1:2" x14ac:dyDescent="0.3">
      <c r="A32" s="1" t="s">
        <v>48</v>
      </c>
      <c r="B32" s="1" t="s">
        <v>69</v>
      </c>
    </row>
    <row r="33" spans="1:2" x14ac:dyDescent="0.3">
      <c r="A33" s="1" t="s">
        <v>48</v>
      </c>
      <c r="B33" s="1" t="s">
        <v>53</v>
      </c>
    </row>
    <row r="34" spans="1:2" x14ac:dyDescent="0.3">
      <c r="A34" s="1" t="s">
        <v>49</v>
      </c>
      <c r="B34" s="1" t="s">
        <v>50</v>
      </c>
    </row>
    <row r="35" spans="1:2" x14ac:dyDescent="0.3">
      <c r="A35" s="1" t="s">
        <v>49</v>
      </c>
      <c r="B35" s="1" t="s">
        <v>69</v>
      </c>
    </row>
    <row r="36" spans="1:2" x14ac:dyDescent="0.3">
      <c r="A36" s="1" t="s">
        <v>49</v>
      </c>
      <c r="B36" s="1" t="s">
        <v>53</v>
      </c>
    </row>
    <row r="37" spans="1:2" x14ac:dyDescent="0.3">
      <c r="A37" s="1" t="s">
        <v>326</v>
      </c>
      <c r="B37" s="1" t="s">
        <v>74</v>
      </c>
    </row>
    <row r="38" spans="1:2" x14ac:dyDescent="0.3">
      <c r="A38" s="1" t="s">
        <v>326</v>
      </c>
      <c r="B38" s="1" t="s">
        <v>51</v>
      </c>
    </row>
    <row r="39" spans="1:2" x14ac:dyDescent="0.3">
      <c r="A39" s="1" t="s">
        <v>328</v>
      </c>
      <c r="B39" s="1" t="s">
        <v>50</v>
      </c>
    </row>
    <row r="40" spans="1:2" x14ac:dyDescent="0.3">
      <c r="A40" s="1" t="s">
        <v>328</v>
      </c>
      <c r="B40" s="1" t="s">
        <v>69</v>
      </c>
    </row>
    <row r="41" spans="1:2" x14ac:dyDescent="0.3">
      <c r="A41" s="1" t="s">
        <v>328</v>
      </c>
      <c r="B41" s="1" t="s">
        <v>74</v>
      </c>
    </row>
    <row r="42" spans="1:2" x14ac:dyDescent="0.3">
      <c r="A42" s="1" t="s">
        <v>330</v>
      </c>
      <c r="B42" s="1" t="s">
        <v>55</v>
      </c>
    </row>
    <row r="43" spans="1:2" x14ac:dyDescent="0.3">
      <c r="A43" s="1" t="s">
        <v>330</v>
      </c>
      <c r="B43" s="1" t="s">
        <v>50</v>
      </c>
    </row>
    <row r="44" spans="1:2" x14ac:dyDescent="0.3">
      <c r="A44" s="1" t="s">
        <v>330</v>
      </c>
      <c r="B44" s="1" t="s">
        <v>51</v>
      </c>
    </row>
    <row r="45" spans="1:2" x14ac:dyDescent="0.3">
      <c r="A45" s="1" t="s">
        <v>330</v>
      </c>
      <c r="B45" s="1" t="s">
        <v>53</v>
      </c>
    </row>
    <row r="46" spans="1:2" x14ac:dyDescent="0.3">
      <c r="A46" s="1" t="s">
        <v>332</v>
      </c>
      <c r="B46" s="1" t="s">
        <v>67</v>
      </c>
    </row>
    <row r="47" spans="1:2" x14ac:dyDescent="0.3">
      <c r="A47" s="1" t="s">
        <v>334</v>
      </c>
      <c r="B47" s="1" t="s">
        <v>58</v>
      </c>
    </row>
    <row r="48" spans="1:2" x14ac:dyDescent="0.3">
      <c r="A48" s="1" t="s">
        <v>334</v>
      </c>
      <c r="B48" s="1" t="s">
        <v>53</v>
      </c>
    </row>
    <row r="49" spans="1:2" x14ac:dyDescent="0.3">
      <c r="A49" s="1" t="s">
        <v>334</v>
      </c>
      <c r="B49" s="1" t="s">
        <v>66</v>
      </c>
    </row>
    <row r="50" spans="1:2" x14ac:dyDescent="0.3">
      <c r="A50" s="1" t="s">
        <v>336</v>
      </c>
      <c r="B50" s="1" t="s">
        <v>53</v>
      </c>
    </row>
    <row r="51" spans="1:2" x14ac:dyDescent="0.3">
      <c r="A51" s="1" t="s">
        <v>337</v>
      </c>
      <c r="B51" s="1" t="s">
        <v>53</v>
      </c>
    </row>
    <row r="52" spans="1:2" x14ac:dyDescent="0.3">
      <c r="A52" s="1" t="s">
        <v>338</v>
      </c>
      <c r="B52" s="1" t="s">
        <v>58</v>
      </c>
    </row>
    <row r="53" spans="1:2" x14ac:dyDescent="0.3">
      <c r="A53" s="1" t="s">
        <v>338</v>
      </c>
      <c r="B53" s="1" t="s">
        <v>53</v>
      </c>
    </row>
    <row r="54" spans="1:2" x14ac:dyDescent="0.3">
      <c r="A54" s="1" t="s">
        <v>338</v>
      </c>
      <c r="B54" s="1" t="s">
        <v>50</v>
      </c>
    </row>
    <row r="55" spans="1:2" x14ac:dyDescent="0.3">
      <c r="A55" s="1" t="s">
        <v>340</v>
      </c>
      <c r="B55" s="1" t="s">
        <v>69</v>
      </c>
    </row>
    <row r="56" spans="1:2" x14ac:dyDescent="0.3">
      <c r="A56" s="1" t="s">
        <v>342</v>
      </c>
      <c r="B56" s="1" t="s">
        <v>58</v>
      </c>
    </row>
    <row r="57" spans="1:2" x14ac:dyDescent="0.3">
      <c r="A57" s="1" t="s">
        <v>342</v>
      </c>
      <c r="B57" s="1" t="s">
        <v>53</v>
      </c>
    </row>
    <row r="58" spans="1:2" x14ac:dyDescent="0.3">
      <c r="A58" s="1" t="s">
        <v>342</v>
      </c>
      <c r="B58" s="1" t="s">
        <v>74</v>
      </c>
    </row>
    <row r="59" spans="1:2" x14ac:dyDescent="0.3">
      <c r="A59" s="1" t="s">
        <v>342</v>
      </c>
      <c r="B59" s="1" t="s">
        <v>50</v>
      </c>
    </row>
    <row r="60" spans="1:2" x14ac:dyDescent="0.3">
      <c r="A60" s="1" t="s">
        <v>342</v>
      </c>
      <c r="B60" s="1" t="s">
        <v>69</v>
      </c>
    </row>
    <row r="61" spans="1:2" x14ac:dyDescent="0.3">
      <c r="A61" s="1" t="s">
        <v>342</v>
      </c>
      <c r="B61" s="1" t="s">
        <v>54</v>
      </c>
    </row>
    <row r="62" spans="1:2" x14ac:dyDescent="0.3">
      <c r="A62" s="1" t="s">
        <v>342</v>
      </c>
      <c r="B62" s="1" t="s">
        <v>81</v>
      </c>
    </row>
    <row r="63" spans="1:2" x14ac:dyDescent="0.3">
      <c r="A63" s="1" t="s">
        <v>342</v>
      </c>
      <c r="B63" s="1" t="s">
        <v>51</v>
      </c>
    </row>
    <row r="64" spans="1:2" x14ac:dyDescent="0.3">
      <c r="A64" s="1" t="s">
        <v>342</v>
      </c>
      <c r="B64" s="1" t="s">
        <v>64</v>
      </c>
    </row>
    <row r="65" spans="1:2" x14ac:dyDescent="0.3">
      <c r="A65" s="1" t="s">
        <v>342</v>
      </c>
      <c r="B65" s="1" t="s">
        <v>60</v>
      </c>
    </row>
    <row r="66" spans="1:2" x14ac:dyDescent="0.3">
      <c r="A66" s="1" t="s">
        <v>342</v>
      </c>
      <c r="B66" s="1" t="s">
        <v>78</v>
      </c>
    </row>
    <row r="67" spans="1:2" x14ac:dyDescent="0.3">
      <c r="A67" s="1" t="s">
        <v>342</v>
      </c>
      <c r="B67" s="1" t="s">
        <v>79</v>
      </c>
    </row>
    <row r="68" spans="1:2" x14ac:dyDescent="0.3">
      <c r="A68" s="1" t="s">
        <v>342</v>
      </c>
      <c r="B68" s="1" t="s">
        <v>66</v>
      </c>
    </row>
    <row r="69" spans="1:2" x14ac:dyDescent="0.3">
      <c r="A69" s="1" t="s">
        <v>342</v>
      </c>
      <c r="B69" s="1" t="s">
        <v>62</v>
      </c>
    </row>
    <row r="70" spans="1:2" x14ac:dyDescent="0.3">
      <c r="A70" s="1" t="s">
        <v>342</v>
      </c>
      <c r="B70" s="1" t="s">
        <v>67</v>
      </c>
    </row>
    <row r="71" spans="1:2" x14ac:dyDescent="0.3">
      <c r="A71" s="1" t="s">
        <v>342</v>
      </c>
      <c r="B71" s="1" t="s">
        <v>70</v>
      </c>
    </row>
    <row r="72" spans="1:2" x14ac:dyDescent="0.3">
      <c r="A72" s="1" t="s">
        <v>343</v>
      </c>
      <c r="B72" s="1" t="s">
        <v>70</v>
      </c>
    </row>
    <row r="73" spans="1:2" x14ac:dyDescent="0.3">
      <c r="A73" s="1" t="s">
        <v>343</v>
      </c>
      <c r="B73" s="1" t="s">
        <v>74</v>
      </c>
    </row>
    <row r="74" spans="1:2" x14ac:dyDescent="0.3">
      <c r="A74" s="1" t="s">
        <v>343</v>
      </c>
      <c r="B74" s="1" t="s">
        <v>69</v>
      </c>
    </row>
    <row r="75" spans="1:2" x14ac:dyDescent="0.3">
      <c r="A75" s="1" t="s">
        <v>343</v>
      </c>
      <c r="B75" s="1" t="s">
        <v>53</v>
      </c>
    </row>
    <row r="76" spans="1:2" x14ac:dyDescent="0.3">
      <c r="A76" s="1" t="s">
        <v>343</v>
      </c>
      <c r="B76" s="1" t="s">
        <v>58</v>
      </c>
    </row>
    <row r="77" spans="1:2" x14ac:dyDescent="0.3">
      <c r="A77" s="1" t="s">
        <v>343</v>
      </c>
      <c r="B77" s="1" t="s">
        <v>55</v>
      </c>
    </row>
    <row r="78" spans="1:2" x14ac:dyDescent="0.3">
      <c r="A78" s="1" t="s">
        <v>343</v>
      </c>
      <c r="B78" s="1" t="s">
        <v>56</v>
      </c>
    </row>
    <row r="79" spans="1:2" x14ac:dyDescent="0.3">
      <c r="A79" s="1" t="s">
        <v>343</v>
      </c>
      <c r="B79" s="1" t="s">
        <v>79</v>
      </c>
    </row>
    <row r="80" spans="1:2" x14ac:dyDescent="0.3">
      <c r="A80" s="1" t="s">
        <v>343</v>
      </c>
      <c r="B80" s="1" t="s">
        <v>81</v>
      </c>
    </row>
    <row r="81" spans="1:2" x14ac:dyDescent="0.3">
      <c r="A81" s="1" t="s">
        <v>343</v>
      </c>
      <c r="B81" s="1" t="s">
        <v>78</v>
      </c>
    </row>
    <row r="82" spans="1:2" x14ac:dyDescent="0.3">
      <c r="A82" s="1" t="s">
        <v>345</v>
      </c>
      <c r="B82" s="1" t="s">
        <v>58</v>
      </c>
    </row>
    <row r="83" spans="1:2" x14ac:dyDescent="0.3">
      <c r="A83" s="1" t="s">
        <v>345</v>
      </c>
      <c r="B83" s="1" t="s">
        <v>50</v>
      </c>
    </row>
    <row r="84" spans="1:2" x14ac:dyDescent="0.3">
      <c r="A84" s="1" t="s">
        <v>345</v>
      </c>
      <c r="B84" s="1" t="s">
        <v>67</v>
      </c>
    </row>
    <row r="85" spans="1:2" x14ac:dyDescent="0.3">
      <c r="A85" s="1" t="s">
        <v>345</v>
      </c>
      <c r="B85" s="1" t="s">
        <v>53</v>
      </c>
    </row>
    <row r="86" spans="1:2" x14ac:dyDescent="0.3">
      <c r="A86" s="1" t="s">
        <v>345</v>
      </c>
      <c r="B86" s="1" t="s">
        <v>66</v>
      </c>
    </row>
    <row r="87" spans="1:2" x14ac:dyDescent="0.3">
      <c r="A87" s="1" t="s">
        <v>345</v>
      </c>
      <c r="B87" s="1" t="s">
        <v>70</v>
      </c>
    </row>
    <row r="88" spans="1:2" x14ac:dyDescent="0.3">
      <c r="A88" s="1" t="s">
        <v>347</v>
      </c>
      <c r="B88" s="1" t="s">
        <v>50</v>
      </c>
    </row>
    <row r="89" spans="1:2" x14ac:dyDescent="0.3">
      <c r="A89" s="1" t="s">
        <v>347</v>
      </c>
      <c r="B89" s="1" t="s">
        <v>51</v>
      </c>
    </row>
    <row r="90" spans="1:2" x14ac:dyDescent="0.3">
      <c r="A90" s="1" t="s">
        <v>347</v>
      </c>
      <c r="B90" s="1" t="s">
        <v>55</v>
      </c>
    </row>
    <row r="91" spans="1:2" x14ac:dyDescent="0.3">
      <c r="A91" s="1" t="s">
        <v>348</v>
      </c>
      <c r="B91" s="1" t="s">
        <v>56</v>
      </c>
    </row>
    <row r="92" spans="1:2" x14ac:dyDescent="0.3">
      <c r="A92" s="1" t="s">
        <v>348</v>
      </c>
      <c r="B92" s="1" t="s">
        <v>66</v>
      </c>
    </row>
    <row r="93" spans="1:2" x14ac:dyDescent="0.3">
      <c r="A93" s="1" t="s">
        <v>348</v>
      </c>
      <c r="B93" s="1" t="s">
        <v>60</v>
      </c>
    </row>
    <row r="94" spans="1:2" x14ac:dyDescent="0.3">
      <c r="A94" s="1" t="s">
        <v>348</v>
      </c>
      <c r="B94" s="1" t="s">
        <v>53</v>
      </c>
    </row>
    <row r="95" spans="1:2" x14ac:dyDescent="0.3">
      <c r="A95" s="1" t="s">
        <v>348</v>
      </c>
      <c r="B95" s="1" t="s">
        <v>62</v>
      </c>
    </row>
    <row r="96" spans="1:2" x14ac:dyDescent="0.3">
      <c r="A96" s="1" t="s">
        <v>349</v>
      </c>
      <c r="B96" s="1" t="s">
        <v>78</v>
      </c>
    </row>
    <row r="97" spans="1:2" x14ac:dyDescent="0.3">
      <c r="A97" s="1" t="s">
        <v>349</v>
      </c>
      <c r="B97" s="1" t="s">
        <v>54</v>
      </c>
    </row>
    <row r="98" spans="1:2" x14ac:dyDescent="0.3">
      <c r="A98" s="1" t="s">
        <v>349</v>
      </c>
      <c r="B98" s="1" t="s">
        <v>64</v>
      </c>
    </row>
    <row r="99" spans="1:2" x14ac:dyDescent="0.3">
      <c r="A99" s="1" t="s">
        <v>351</v>
      </c>
      <c r="B99" s="1" t="s">
        <v>50</v>
      </c>
    </row>
    <row r="100" spans="1:2" x14ac:dyDescent="0.3">
      <c r="A100" s="1" t="s">
        <v>351</v>
      </c>
      <c r="B100" s="1" t="s">
        <v>51</v>
      </c>
    </row>
    <row r="101" spans="1:2" x14ac:dyDescent="0.3">
      <c r="A101" s="1" t="s">
        <v>352</v>
      </c>
      <c r="B101" s="1" t="s">
        <v>50</v>
      </c>
    </row>
    <row r="102" spans="1:2" x14ac:dyDescent="0.3">
      <c r="A102" s="1" t="s">
        <v>352</v>
      </c>
      <c r="B102" s="1" t="s">
        <v>58</v>
      </c>
    </row>
    <row r="103" spans="1:2" x14ac:dyDescent="0.3">
      <c r="A103" s="1" t="s">
        <v>354</v>
      </c>
      <c r="B103" s="1" t="s">
        <v>56</v>
      </c>
    </row>
    <row r="104" spans="1:2" x14ac:dyDescent="0.3">
      <c r="A104" s="1" t="s">
        <v>354</v>
      </c>
      <c r="B104" s="1" t="s">
        <v>60</v>
      </c>
    </row>
    <row r="105" spans="1:2" x14ac:dyDescent="0.3">
      <c r="A105" s="1" t="s">
        <v>354</v>
      </c>
      <c r="B105" s="1" t="s">
        <v>78</v>
      </c>
    </row>
    <row r="106" spans="1:2" x14ac:dyDescent="0.3">
      <c r="A106" s="1" t="s">
        <v>354</v>
      </c>
      <c r="B106" s="1" t="s">
        <v>50</v>
      </c>
    </row>
    <row r="107" spans="1:2" x14ac:dyDescent="0.3">
      <c r="A107" s="1" t="s">
        <v>354</v>
      </c>
      <c r="B107" s="1" t="s">
        <v>51</v>
      </c>
    </row>
    <row r="108" spans="1:2" x14ac:dyDescent="0.3">
      <c r="A108" s="1" t="s">
        <v>354</v>
      </c>
      <c r="B108" s="1" t="s">
        <v>55</v>
      </c>
    </row>
    <row r="109" spans="1:2" x14ac:dyDescent="0.3">
      <c r="A109" s="1" t="s">
        <v>356</v>
      </c>
      <c r="B109" s="1" t="s">
        <v>70</v>
      </c>
    </row>
    <row r="110" spans="1:2" x14ac:dyDescent="0.3">
      <c r="A110" s="1" t="s">
        <v>356</v>
      </c>
      <c r="B110" s="1" t="s">
        <v>58</v>
      </c>
    </row>
    <row r="111" spans="1:2" x14ac:dyDescent="0.3">
      <c r="A111" s="1" t="s">
        <v>356</v>
      </c>
      <c r="B111" s="1" t="s">
        <v>50</v>
      </c>
    </row>
    <row r="112" spans="1:2" x14ac:dyDescent="0.3">
      <c r="A112" s="1" t="s">
        <v>358</v>
      </c>
      <c r="B112" s="1" t="s">
        <v>50</v>
      </c>
    </row>
    <row r="113" spans="1:2" x14ac:dyDescent="0.3">
      <c r="A113" s="1" t="s">
        <v>358</v>
      </c>
      <c r="B113" s="1" t="s">
        <v>74</v>
      </c>
    </row>
    <row r="114" spans="1:2" x14ac:dyDescent="0.3">
      <c r="A114" s="1" t="s">
        <v>358</v>
      </c>
      <c r="B114" s="1" t="s">
        <v>70</v>
      </c>
    </row>
    <row r="115" spans="1:2" x14ac:dyDescent="0.3">
      <c r="A115" s="1" t="s">
        <v>360</v>
      </c>
      <c r="B115" s="1" t="s">
        <v>51</v>
      </c>
    </row>
    <row r="116" spans="1:2" x14ac:dyDescent="0.3">
      <c r="A116" s="1" t="s">
        <v>362</v>
      </c>
      <c r="B116" s="1" t="s">
        <v>67</v>
      </c>
    </row>
    <row r="117" spans="1:2" x14ac:dyDescent="0.3">
      <c r="A117" s="1" t="s">
        <v>364</v>
      </c>
      <c r="B117" s="1" t="s">
        <v>51</v>
      </c>
    </row>
    <row r="118" spans="1:2" x14ac:dyDescent="0.3">
      <c r="A118" s="1" t="s">
        <v>364</v>
      </c>
      <c r="B118" s="1" t="s">
        <v>50</v>
      </c>
    </row>
    <row r="119" spans="1:2" x14ac:dyDescent="0.3">
      <c r="A119" s="1" t="s">
        <v>364</v>
      </c>
      <c r="B119" s="1" t="s">
        <v>66</v>
      </c>
    </row>
    <row r="120" spans="1:2" x14ac:dyDescent="0.3">
      <c r="A120" s="1" t="s">
        <v>364</v>
      </c>
      <c r="B120" s="1" t="s">
        <v>53</v>
      </c>
    </row>
    <row r="121" spans="1:2" x14ac:dyDescent="0.3">
      <c r="A121" s="1" t="s">
        <v>365</v>
      </c>
      <c r="B121" s="1" t="s">
        <v>51</v>
      </c>
    </row>
    <row r="122" spans="1:2" x14ac:dyDescent="0.3">
      <c r="A122" s="1" t="s">
        <v>367</v>
      </c>
      <c r="B122" s="1" t="s">
        <v>79</v>
      </c>
    </row>
    <row r="123" spans="1:2" x14ac:dyDescent="0.3">
      <c r="A123" s="1" t="s">
        <v>369</v>
      </c>
      <c r="B123" s="1" t="s">
        <v>79</v>
      </c>
    </row>
    <row r="124" spans="1:2" x14ac:dyDescent="0.3">
      <c r="A124" s="1" t="s">
        <v>369</v>
      </c>
      <c r="B124" s="1" t="s">
        <v>50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orgNodes</vt:lpstr>
      <vt:lpstr>orgEdges</vt:lpstr>
      <vt:lpstr>platformNodes</vt:lpstr>
      <vt:lpstr>dataNodes</vt:lpstr>
      <vt:lpstr>dataNodeTypes</vt:lpstr>
      <vt:lpstr>dataEdges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Lauren Patterson</cp:lastModifiedBy>
  <dcterms:created xsi:type="dcterms:W3CDTF">2018-08-09T20:40:56Z</dcterms:created>
  <dcterms:modified xsi:type="dcterms:W3CDTF">2019-09-06T12:02:00Z</dcterms:modified>
</cp:coreProperties>
</file>