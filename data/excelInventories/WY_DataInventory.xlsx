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ap19\Documents\Internet of Water\Hubs\HubInventory\Final_Network\wy\"/>
    </mc:Choice>
  </mc:AlternateContent>
  <bookViews>
    <workbookView xWindow="216" yWindow="120" windowWidth="21696" windowHeight="12108" tabRatio="500" firstSheet="2" activeTab="3"/>
  </bookViews>
  <sheets>
    <sheet name="metricsKey" sheetId="14" r:id="rId1"/>
    <sheet name="orgEdges" sheetId="6" r:id="rId2"/>
    <sheet name="orgNodes" sheetId="5" r:id="rId3"/>
    <sheet name="platformNodes" sheetId="7" r:id="rId4"/>
    <sheet name="dataNodeTypes" sheetId="8" r:id="rId5"/>
    <sheet name="dataEdges" sheetId="9" r:id="rId6"/>
    <sheet name="dataNodes" sheetId="12" r:id="rId7"/>
  </sheets>
  <externalReferences>
    <externalReference r:id="rId8"/>
  </externalReferences>
  <definedNames>
    <definedName name="_xlnm._FilterDatabase" localSheetId="6" hidden="1">dataNodes!$A$1:$C$19</definedName>
    <definedName name="_xlnm._FilterDatabase" localSheetId="3" hidden="1">platformNodes!$A$1:$V$10</definedName>
    <definedName name="Infrastructure">#REF!</definedName>
    <definedName name="Quality">#REF!</definedName>
    <definedName name="Quantity">#REF!</definedName>
    <definedName name="Use">#REF!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H99" i="8" l="1"/>
  <c r="H98" i="8"/>
  <c r="H93" i="8"/>
  <c r="H92" i="8"/>
  <c r="H91" i="8"/>
  <c r="H89" i="8"/>
  <c r="H90" i="8"/>
  <c r="H85" i="8"/>
  <c r="H72" i="8"/>
  <c r="H71" i="8"/>
  <c r="H64" i="8"/>
  <c r="H63" i="8"/>
  <c r="H62" i="8"/>
  <c r="H61" i="8"/>
  <c r="H60" i="8"/>
  <c r="H41" i="8"/>
  <c r="H42" i="8"/>
  <c r="H43" i="8"/>
  <c r="H44" i="8"/>
  <c r="H40" i="8"/>
  <c r="H39" i="8"/>
  <c r="H38" i="8"/>
  <c r="H36" i="8"/>
  <c r="H16" i="8"/>
  <c r="H12" i="8"/>
  <c r="H10" i="8"/>
  <c r="H7" i="8"/>
  <c r="H84" i="8" l="1"/>
  <c r="H70" i="8"/>
  <c r="H69" i="8"/>
  <c r="H86" i="8"/>
  <c r="H94" i="8"/>
  <c r="H88" i="8"/>
  <c r="H87" i="8"/>
  <c r="H97" i="8"/>
  <c r="H96" i="8"/>
  <c r="H95" i="8"/>
  <c r="H37" i="8"/>
  <c r="H35" i="8"/>
  <c r="H34" i="8"/>
  <c r="H33" i="8"/>
  <c r="H32" i="8"/>
  <c r="H31" i="8"/>
  <c r="H30" i="8"/>
  <c r="H29" i="8"/>
  <c r="H28" i="8"/>
  <c r="H27" i="8"/>
  <c r="F15" i="7" l="1"/>
  <c r="F14" i="7"/>
  <c r="F13" i="7"/>
  <c r="F12" i="7"/>
  <c r="F11" i="7"/>
  <c r="F23" i="7"/>
  <c r="F27" i="7"/>
  <c r="F31" i="7"/>
  <c r="F30" i="7"/>
  <c r="F29" i="7"/>
  <c r="F28" i="7"/>
  <c r="N19" i="8" l="1"/>
  <c r="M19" i="8"/>
  <c r="N18" i="8"/>
  <c r="M18" i="8"/>
  <c r="N17" i="8"/>
  <c r="M17" i="8"/>
  <c r="N16" i="8"/>
  <c r="M16" i="8"/>
  <c r="N15" i="8"/>
  <c r="M15" i="8"/>
  <c r="N14" i="8"/>
  <c r="M14" i="8"/>
  <c r="N13" i="8"/>
  <c r="M13" i="8"/>
  <c r="N12" i="8"/>
  <c r="M12" i="8"/>
  <c r="N11" i="8"/>
  <c r="M11" i="8"/>
  <c r="N10" i="8"/>
  <c r="M10" i="8"/>
  <c r="N9" i="8"/>
  <c r="M9" i="8"/>
  <c r="N8" i="8"/>
  <c r="M8" i="8"/>
  <c r="N7" i="8"/>
  <c r="M7" i="8"/>
  <c r="N6" i="8"/>
  <c r="M6" i="8"/>
  <c r="N5" i="8"/>
  <c r="M5" i="8"/>
  <c r="N4" i="8"/>
  <c r="M4" i="8"/>
  <c r="N3" i="8"/>
  <c r="M3" i="8"/>
  <c r="N2" i="8"/>
  <c r="M2" i="8"/>
  <c r="I88" i="8" l="1"/>
  <c r="I74" i="8"/>
  <c r="I82" i="8"/>
  <c r="I70" i="8"/>
  <c r="I63" i="8"/>
  <c r="I53" i="8"/>
  <c r="I77" i="8"/>
  <c r="I99" i="8"/>
  <c r="I91" i="8"/>
  <c r="I94" i="8"/>
  <c r="I75" i="8"/>
  <c r="I83" i="8"/>
  <c r="I71" i="8"/>
  <c r="I62" i="8"/>
  <c r="I57" i="8"/>
  <c r="I49" i="8"/>
  <c r="I98" i="8"/>
  <c r="I95" i="8"/>
  <c r="I76" i="8"/>
  <c r="I84" i="8"/>
  <c r="I72" i="8"/>
  <c r="I56" i="8"/>
  <c r="I48" i="8"/>
  <c r="I96" i="8"/>
  <c r="I47" i="8"/>
  <c r="I45" i="8"/>
  <c r="I90" i="8"/>
  <c r="I97" i="8"/>
  <c r="I78" i="8"/>
  <c r="I66" i="8"/>
  <c r="I65" i="8"/>
  <c r="I61" i="8"/>
  <c r="I54" i="8"/>
  <c r="I46" i="8"/>
  <c r="I79" i="8"/>
  <c r="I67" i="8"/>
  <c r="I58" i="8"/>
  <c r="I93" i="8"/>
  <c r="I89" i="8"/>
  <c r="I86" i="8"/>
  <c r="I85" i="8"/>
  <c r="I80" i="8"/>
  <c r="I68" i="8"/>
  <c r="I59" i="8"/>
  <c r="I51" i="8"/>
  <c r="I92" i="8"/>
  <c r="I87" i="8"/>
  <c r="I73" i="8"/>
  <c r="I81" i="8"/>
  <c r="I69" i="8"/>
  <c r="I64" i="8"/>
  <c r="I60" i="8"/>
  <c r="I52" i="8"/>
  <c r="I55" i="8"/>
  <c r="I50" i="8"/>
  <c r="I40" i="8"/>
  <c r="I30" i="8"/>
  <c r="I39" i="8"/>
  <c r="I31" i="8"/>
  <c r="I32" i="8"/>
  <c r="I44" i="8"/>
  <c r="I38" i="8"/>
  <c r="I33" i="8"/>
  <c r="I42" i="8"/>
  <c r="I35" i="8"/>
  <c r="I36" i="8"/>
  <c r="I43" i="8"/>
  <c r="I34" i="8"/>
  <c r="I37" i="8"/>
  <c r="I41" i="8"/>
  <c r="I29" i="8"/>
  <c r="I24" i="8"/>
  <c r="I28" i="8"/>
  <c r="I16" i="8"/>
  <c r="I27" i="8"/>
  <c r="I17" i="8"/>
  <c r="I19" i="8"/>
  <c r="I22" i="8"/>
  <c r="I23" i="8"/>
  <c r="I26" i="8"/>
  <c r="I18" i="8"/>
  <c r="I25" i="8"/>
  <c r="I21" i="8"/>
  <c r="I20" i="8"/>
  <c r="I7" i="8"/>
  <c r="I15" i="8"/>
  <c r="I8" i="8"/>
  <c r="I14" i="8"/>
  <c r="I9" i="8"/>
  <c r="I13" i="8"/>
  <c r="I10" i="8"/>
  <c r="I3" i="8"/>
  <c r="I11" i="8"/>
  <c r="I6" i="8"/>
  <c r="I4" i="8"/>
  <c r="I12" i="8"/>
  <c r="I2" i="8"/>
  <c r="I5" i="8"/>
  <c r="H73" i="8"/>
  <c r="H74" i="8"/>
  <c r="H75" i="8"/>
  <c r="H76" i="8"/>
  <c r="H77" i="8"/>
  <c r="H78" i="8"/>
  <c r="H79" i="8"/>
  <c r="H80" i="8"/>
  <c r="H81" i="8"/>
  <c r="H82" i="8"/>
  <c r="H83" i="8"/>
  <c r="F22" i="7" l="1"/>
  <c r="F24" i="7"/>
  <c r="F25" i="7"/>
  <c r="F26" i="7"/>
  <c r="H65" i="8" l="1"/>
  <c r="H66" i="8"/>
  <c r="H67" i="8"/>
  <c r="H68" i="8"/>
  <c r="H57" i="8"/>
  <c r="H58" i="8"/>
  <c r="H59" i="8"/>
  <c r="F21" i="7"/>
  <c r="F20" i="7"/>
  <c r="H54" i="8"/>
  <c r="H55" i="8"/>
  <c r="H56" i="8"/>
  <c r="F19" i="7"/>
  <c r="H51" i="8"/>
  <c r="H52" i="8"/>
  <c r="H53" i="8"/>
  <c r="F18" i="7"/>
  <c r="H50" i="8"/>
  <c r="F17" i="7"/>
  <c r="H45" i="8"/>
  <c r="H46" i="8"/>
  <c r="H47" i="8"/>
  <c r="H48" i="8"/>
  <c r="H49" i="8"/>
  <c r="F10" i="7"/>
  <c r="F16" i="7"/>
  <c r="H25" i="8" l="1"/>
  <c r="H26" i="8"/>
  <c r="H14" i="8"/>
  <c r="H15" i="8"/>
  <c r="H17" i="8"/>
  <c r="H18" i="8"/>
  <c r="H19" i="8"/>
  <c r="H20" i="8"/>
  <c r="H21" i="8"/>
  <c r="H22" i="8"/>
  <c r="H23" i="8"/>
  <c r="H24" i="8"/>
  <c r="H11" i="8"/>
  <c r="H13" i="8"/>
  <c r="H8" i="8"/>
  <c r="H9" i="8"/>
  <c r="H6" i="8"/>
  <c r="H2" i="8" l="1"/>
  <c r="H3" i="8"/>
  <c r="H4" i="8"/>
  <c r="H5" i="8"/>
  <c r="F2" i="7" l="1"/>
  <c r="F3" i="7"/>
  <c r="F4" i="7"/>
  <c r="F5" i="7"/>
  <c r="F6" i="7"/>
  <c r="F7" i="7"/>
  <c r="F8" i="7"/>
  <c r="F9" i="7"/>
</calcChain>
</file>

<file path=xl/sharedStrings.xml><?xml version="1.0" encoding="utf-8"?>
<sst xmlns="http://schemas.openxmlformats.org/spreadsheetml/2006/main" count="2012" uniqueCount="639">
  <si>
    <t>columnName</t>
  </si>
  <si>
    <t>categories</t>
  </si>
  <si>
    <t>definition</t>
  </si>
  <si>
    <t>proposedScore</t>
  </si>
  <si>
    <t>None</t>
  </si>
  <si>
    <t>Data are collected but not found.</t>
  </si>
  <si>
    <t>Unknown</t>
  </si>
  <si>
    <t>Data are collected and available but not to the public</t>
  </si>
  <si>
    <t>easeDiscover</t>
  </si>
  <si>
    <t>Low</t>
  </si>
  <si>
    <t>Data are not found in the same location and are not searchable.</t>
  </si>
  <si>
    <t>Medium</t>
  </si>
  <si>
    <t>Data found at the same location; however, the search index is poor or inconsistent.</t>
  </si>
  <si>
    <t>High</t>
  </si>
  <si>
    <t>Data found at the same location that can be queried via spatial or text filters with well-defined key words.</t>
  </si>
  <si>
    <t>methodDiscover</t>
  </si>
  <si>
    <t>Data could not be discovered without seeking permission, registration, or an additional step.</t>
  </si>
  <si>
    <t>Website</t>
  </si>
  <si>
    <t>Data were found by navigating through URL links.</t>
  </si>
  <si>
    <t>Catalog</t>
  </si>
  <si>
    <t>Connects data sources to a searchable, descriptive directory so the user can find and explore the data they need no matter where it's located.</t>
  </si>
  <si>
    <t>Map</t>
  </si>
  <si>
    <t>Data found based on a location (such as watershed, aquifer, or county).</t>
  </si>
  <si>
    <t>Website; Catalog</t>
  </si>
  <si>
    <t>Combination of values</t>
  </si>
  <si>
    <t>Catalog; Map</t>
  </si>
  <si>
    <t>Website; Map</t>
  </si>
  <si>
    <t>easeAccess</t>
  </si>
  <si>
    <t>Platform shows the data exist, but does not provide any information or means to access the data.</t>
  </si>
  <si>
    <t>Permission Required</t>
  </si>
  <si>
    <t>User must request permission to access data. Permission is not guaranteed.</t>
  </si>
  <si>
    <t>Software Required</t>
  </si>
  <si>
    <t>User must download or obtain special software to access data.</t>
  </si>
  <si>
    <t>Training Required</t>
  </si>
  <si>
    <t>User must undergo training prior to accessing the data. It was not clear whether access is then granted or if it is discretionary.</t>
  </si>
  <si>
    <t>Registration Required</t>
  </si>
  <si>
    <t>User must register to access data and permission is automatically granted. Registration can be a useful tool for state agencies to understand how their data are being used.</t>
  </si>
  <si>
    <t>Yes</t>
  </si>
  <si>
    <t>User has full access to the data.</t>
  </si>
  <si>
    <t>methodAccess</t>
  </si>
  <si>
    <t>Data were not publicly accessible</t>
  </si>
  <si>
    <t>The method for accessing data was not evident with gaining permission or registering, or there was no access to the data.</t>
  </si>
  <si>
    <t>Copy &amp; Paste</t>
  </si>
  <si>
    <t>Data cannot be directly downloaded, but must be copied and pasted from the website.</t>
  </si>
  <si>
    <t>Link to Source</t>
  </si>
  <si>
    <t>A link to the data producer, not the selected data, is provided. If a link directly to the selected data is provided, the download method was recorded.</t>
  </si>
  <si>
    <t>Individual Export</t>
  </si>
  <si>
    <t>Data can be downloaded but only by one site, attribute, etc. at a time.</t>
  </si>
  <si>
    <t>Batch Export</t>
  </si>
  <si>
    <t>Data can be filtered such that selected data may be downloaded simultaneously.</t>
  </si>
  <si>
    <t>Full Export</t>
  </si>
  <si>
    <t>The full dataset may be downloaded simultaneously, within download constraints of the system.</t>
  </si>
  <si>
    <t>FTP</t>
  </si>
  <si>
    <t>Data are obtained through File Transfer Protocols.</t>
  </si>
  <si>
    <t>Web Services</t>
  </si>
  <si>
    <t>Data are accessed via web services (APIs) that provide a standardized way to share data and information between devices in a network (SOAP or REST protocols).</t>
  </si>
  <si>
    <t>fileFormat</t>
  </si>
  <si>
    <t>Not machine readable</t>
  </si>
  <si>
    <t>Data are not machine readable and cannot be downloaded and directly used. File formats include images (jpeg; tiff; png…) and pdfs.</t>
  </si>
  <si>
    <t>May be machine readable</t>
  </si>
  <si>
    <t>Data are downloaded in a .zip file, requiring additional levels of effort to access.</t>
  </si>
  <si>
    <t>Machine readable with proprietary software</t>
  </si>
  <si>
    <t>Data are machine readable but require access to proprietary software to use. File formats include Microsoft Word, Microsoft Access, Microsoft Excel, Esri Shapefiles, etc. (excel, word, shapefile, access).</t>
  </si>
  <si>
    <t>Machine readable with open software</t>
  </si>
  <si>
    <t>Data are machine-readable and include csv, txt, xml, json, geojson, netCDF, etc.</t>
  </si>
  <si>
    <t>metadata</t>
  </si>
  <si>
    <t>Don't know if they have metadata… usually can't access data</t>
  </si>
  <si>
    <t>yes</t>
  </si>
  <si>
    <t>All the data have metadata</t>
  </si>
  <si>
    <t>no</t>
  </si>
  <si>
    <t>None of the data have metadata</t>
  </si>
  <si>
    <t>some</t>
  </si>
  <si>
    <t>Some data have metadata</t>
  </si>
  <si>
    <t>metadataFormat</t>
  </si>
  <si>
    <t>No</t>
  </si>
  <si>
    <t>No metadata were provided.</t>
  </si>
  <si>
    <t>Data could not be accessed. It is unknown if metadata are provided.</t>
  </si>
  <si>
    <t>Metadata is not in a machine readable format. It may be located within the text of a pdf.</t>
  </si>
  <si>
    <t>Metadata are in a machine readable format that requires proprietary software to access. File formats include excel and word.</t>
  </si>
  <si>
    <t>Metadata are in a machine-readable format (typically xml). Sometimes the metadata are part of the data file (for instance, USGS stream gauge data provides metadata within the data download).</t>
  </si>
  <si>
    <t>dataDefinitions</t>
  </si>
  <si>
    <t>No data glossaries found.</t>
  </si>
  <si>
    <t>Data were not publicly accessible and so it is unknown if a data glossary is available.</t>
  </si>
  <si>
    <t>Some</t>
  </si>
  <si>
    <t>Some data had glossaries.</t>
  </si>
  <si>
    <t>Data glossaries were available for all data.</t>
  </si>
  <si>
    <t>metadataAttributes</t>
  </si>
  <si>
    <t>Data were not publicly accessible so it is unknown if metadata were provided</t>
  </si>
  <si>
    <t>Administrative</t>
  </si>
  <si>
    <t>Administrative metadata provides information to help manage a resource, such as when and how it was created, file type and other technical information, including quality control, and who can access it.</t>
  </si>
  <si>
    <t>Descriptive</t>
  </si>
  <si>
    <t>Descriptive metadata describes a resource for purposes such as discovery and identification. It can include elements such as title, abstract, author, keywords, unique identifiers, and physical attributes (dimensions, conditions, etc).</t>
  </si>
  <si>
    <t>Structural</t>
  </si>
  <si>
    <t>Structural metadata is metadata about containers of data and indicates how compound objects are put together, for example, how pages are ordered to form chapters. It describes the types, versions, relationships and other characteristics of digital materials.</t>
  </si>
  <si>
    <t>metadataStandards</t>
  </si>
  <si>
    <t>No metadata standards were provided.</t>
  </si>
  <si>
    <t>Data were not publicly accessible and so it is unknown if metadata standards were provided.</t>
  </si>
  <si>
    <t>Some data provided metadata standards.</t>
  </si>
  <si>
    <t>Metadata standards were provided within the metadata.</t>
  </si>
  <si>
    <t>timeliness</t>
  </si>
  <si>
    <t>Frequency of updating the data was not specified or self-evident.</t>
  </si>
  <si>
    <t>Not Applicable</t>
  </si>
  <si>
    <t>The type of data is relatively static; such as aquifer or watershed boundaries, or refers to one-time data collection efforts. Varies refers to different datasets being updated (not collected) at different frequencies.</t>
  </si>
  <si>
    <t>Varies</t>
  </si>
  <si>
    <t>Yearly or Higher</t>
  </si>
  <si>
    <t>Data were updated less than once a month but at least once a year.</t>
  </si>
  <si>
    <t>Weekly or Higher</t>
  </si>
  <si>
    <t>Data were updated between once a week.</t>
  </si>
  <si>
    <t>Monthly or Higher</t>
  </si>
  <si>
    <t xml:space="preserve">Data were updated between once a month. </t>
  </si>
  <si>
    <t>Daily or Higher</t>
  </si>
  <si>
    <t>Data were updated at least once a day.</t>
  </si>
  <si>
    <t>lengthAvailable</t>
  </si>
  <si>
    <t>Data were not accessible.</t>
  </si>
  <si>
    <t>The type of data is not a time series or the length of record available varied between datasets.</t>
  </si>
  <si>
    <t>Current only</t>
  </si>
  <si>
    <t>Only current data are accessible. This typically refers websites that provide data on current conditions.</t>
  </si>
  <si>
    <t>Limited Record</t>
  </si>
  <si>
    <t>A limited period of record are accessible.</t>
  </si>
  <si>
    <t>Period of Record</t>
  </si>
  <si>
    <t>The full time series for the data are accessible.</t>
  </si>
  <si>
    <t>List of File Formats</t>
  </si>
  <si>
    <t>List of Metadata formats</t>
  </si>
  <si>
    <t xml:space="preserve">unknown </t>
  </si>
  <si>
    <t>pdf</t>
  </si>
  <si>
    <t>broken link</t>
  </si>
  <si>
    <t>png</t>
  </si>
  <si>
    <t>in data</t>
  </si>
  <si>
    <t>image</t>
  </si>
  <si>
    <t>jpg</t>
  </si>
  <si>
    <t>word</t>
  </si>
  <si>
    <t>zip</t>
  </si>
  <si>
    <t>excel</t>
  </si>
  <si>
    <t>tiff</t>
  </si>
  <si>
    <t>xml</t>
  </si>
  <si>
    <t>access</t>
  </si>
  <si>
    <t>html</t>
  </si>
  <si>
    <t>json</t>
  </si>
  <si>
    <t>raster</t>
  </si>
  <si>
    <t>txt</t>
  </si>
  <si>
    <t>shapefile</t>
  </si>
  <si>
    <t>csv</t>
  </si>
  <si>
    <t>geodatabase</t>
  </si>
  <si>
    <t>kmz</t>
  </si>
  <si>
    <t>software specific</t>
  </si>
  <si>
    <t>ascii</t>
  </si>
  <si>
    <t>netcdf</t>
  </si>
  <si>
    <t>hdf5</t>
  </si>
  <si>
    <t>kml</t>
  </si>
  <si>
    <t>geojson</t>
  </si>
  <si>
    <t>wml2</t>
  </si>
  <si>
    <t>rdf</t>
  </si>
  <si>
    <t>tsv</t>
  </si>
  <si>
    <t>geotiff</t>
  </si>
  <si>
    <t>rss</t>
  </si>
  <si>
    <t>Federal Hubs</t>
  </si>
  <si>
    <t>Platform ID</t>
  </si>
  <si>
    <t>DHS-IP: HSIN-CI Dams Portal</t>
  </si>
  <si>
    <t>p01</t>
  </si>
  <si>
    <t>DHS-FEMA: Flood Map Service Center</t>
  </si>
  <si>
    <t>p02</t>
  </si>
  <si>
    <t>DHS-IP: IP Gateway</t>
  </si>
  <si>
    <t>p03</t>
  </si>
  <si>
    <t>DOD-NGIA: No Public Portal</t>
  </si>
  <si>
    <t>p04</t>
  </si>
  <si>
    <t>DOD-USACE: Corps CWMS</t>
  </si>
  <si>
    <t>p05</t>
  </si>
  <si>
    <t>DOE: Atmospheric Radiation Measurement</t>
  </si>
  <si>
    <t>p06</t>
  </si>
  <si>
    <t>DOE-EIA: Renewable and Alternative Fuels</t>
  </si>
  <si>
    <t>p07</t>
  </si>
  <si>
    <t>DOE-NREL: NREL Data Catalog</t>
  </si>
  <si>
    <t>p08</t>
  </si>
  <si>
    <t>DOE-ORNL: HydroGIS Viewer</t>
  </si>
  <si>
    <t>p09</t>
  </si>
  <si>
    <t>DOI-ACWI: National Groundwater Monitoring Network</t>
  </si>
  <si>
    <t>p10</t>
  </si>
  <si>
    <t>DOI-BoR: Hydromet</t>
  </si>
  <si>
    <t>p11</t>
  </si>
  <si>
    <t>DOI-BoR: Agrimet</t>
  </si>
  <si>
    <t>p12</t>
  </si>
  <si>
    <t>DOI-BoR: Reclamation Water Information System</t>
  </si>
  <si>
    <t>p13</t>
  </si>
  <si>
    <t>DOI-FWS: National Wetlands Inventory</t>
  </si>
  <si>
    <t>p14</t>
  </si>
  <si>
    <t>DOI-GS: GroundwaterWatch</t>
  </si>
  <si>
    <t>p15</t>
  </si>
  <si>
    <t>DOI-GS: National Water Census Data Portal</t>
  </si>
  <si>
    <t>p16</t>
  </si>
  <si>
    <t>DOI-GS: National Water Information System</t>
  </si>
  <si>
    <t>p17</t>
  </si>
  <si>
    <t>DOI-GS: StreamStats</t>
  </si>
  <si>
    <t>p18</t>
  </si>
  <si>
    <t>DOI-GS: U.S. Water Monitor</t>
  </si>
  <si>
    <t>p19</t>
  </si>
  <si>
    <t>DOI-GS: WaterAlert</t>
  </si>
  <si>
    <t>p20</t>
  </si>
  <si>
    <t>DOI-GS: WaterQualityWatch</t>
  </si>
  <si>
    <t>p21</t>
  </si>
  <si>
    <t>DOI-GS: WaterWatch</t>
  </si>
  <si>
    <t>p22</t>
  </si>
  <si>
    <t>DOI-GS: NationalMap</t>
  </si>
  <si>
    <t>p23</t>
  </si>
  <si>
    <t>EPA: ATTAINS</t>
  </si>
  <si>
    <t>p24</t>
  </si>
  <si>
    <t>EPA: ECHO</t>
  </si>
  <si>
    <t>p25</t>
  </si>
  <si>
    <t>EPA: EnviroAtlas</t>
  </si>
  <si>
    <t>p26</t>
  </si>
  <si>
    <t>EPA: National Contaminant Occurrence Database</t>
  </si>
  <si>
    <t>p27</t>
  </si>
  <si>
    <t>Joint: Water Quality Portal</t>
  </si>
  <si>
    <t>p28</t>
  </si>
  <si>
    <t>FGDC: GeoPlatform.Gov</t>
  </si>
  <si>
    <t>p29</t>
  </si>
  <si>
    <t>GSA: Data.Gov</t>
  </si>
  <si>
    <t>p30</t>
  </si>
  <si>
    <t>HHS: HealthData.Gov</t>
  </si>
  <si>
    <t>p31</t>
  </si>
  <si>
    <t>HHS-CDC: Data.CDC.Gov</t>
  </si>
  <si>
    <t>p32</t>
  </si>
  <si>
    <t>HUD: EGIS OpenData</t>
  </si>
  <si>
    <t>p33</t>
  </si>
  <si>
    <t>NASA-ESD: Alaska Satellite Facility DAAC</t>
  </si>
  <si>
    <t>p34</t>
  </si>
  <si>
    <t>NASA-ESD: Earthdata Search</t>
  </si>
  <si>
    <t>p35</t>
  </si>
  <si>
    <t>NASA-ESD: Goddard Earth Sciences Data and Information Services Center</t>
  </si>
  <si>
    <t>p36</t>
  </si>
  <si>
    <t>NASA-ESD: Global Hydrology Resource Center DAAC</t>
  </si>
  <si>
    <t>p37</t>
  </si>
  <si>
    <t>NASA-ESD: Land Processes DAAC</t>
  </si>
  <si>
    <t>p38</t>
  </si>
  <si>
    <t>NASA-ESD: National Snow and Ice Data Center DAAC</t>
  </si>
  <si>
    <t>p39</t>
  </si>
  <si>
    <t>NASA-ESD: Oak Ridge National Laboratory DAAC</t>
  </si>
  <si>
    <t>p40</t>
  </si>
  <si>
    <t>NASA-ESD: Giovanni</t>
  </si>
  <si>
    <t>p41</t>
  </si>
  <si>
    <t>NASA-ESD: Global Imagery Browse Services</t>
  </si>
  <si>
    <t>p42</t>
  </si>
  <si>
    <t>NASA-ESD: Socioeconomic Data and Applications Data Center</t>
  </si>
  <si>
    <t>p43</t>
  </si>
  <si>
    <t>Joint: Agricultural Weather Facility</t>
  </si>
  <si>
    <t>p44</t>
  </si>
  <si>
    <t>TVA: River Forecast Center</t>
  </si>
  <si>
    <t>p45</t>
  </si>
  <si>
    <t>USDA-ARS: Agricultural Research Database System</t>
  </si>
  <si>
    <t>p46</t>
  </si>
  <si>
    <t>USDA-NASS: QuickStats</t>
  </si>
  <si>
    <t>p47</t>
  </si>
  <si>
    <t>USDA-NRCS: National Water and Climate Center</t>
  </si>
  <si>
    <t>p48</t>
  </si>
  <si>
    <t>DOC-NOAA: Climate Data Online</t>
  </si>
  <si>
    <t>p49</t>
  </si>
  <si>
    <t>DOC-NOAA: OneStop</t>
  </si>
  <si>
    <t>p50</t>
  </si>
  <si>
    <t>DOC-NWS: Advanced Hydrologic Prediction Service</t>
  </si>
  <si>
    <t>p51</t>
  </si>
  <si>
    <t>DOC-NWS: Climate Prediction Center</t>
  </si>
  <si>
    <t>p52</t>
  </si>
  <si>
    <t>DOC-NWS: National Operational Hydrologic Remote Sensing Center</t>
  </si>
  <si>
    <t>p53</t>
  </si>
  <si>
    <t>DOC-NWS: Precipitation Frequency Data Server</t>
  </si>
  <si>
    <t>p54</t>
  </si>
  <si>
    <t>DOC-NOAA: National Water Model</t>
  </si>
  <si>
    <t>p55</t>
  </si>
  <si>
    <t>EPA: SDWIS Federal Reports Search</t>
  </si>
  <si>
    <t>p56</t>
  </si>
  <si>
    <t>linksDirect</t>
  </si>
  <si>
    <t>methodsAccess = Links to Source and links directly to gauge, well, data of interest</t>
  </si>
  <si>
    <t>methodsAccess = Links to Source and does not links directly to gauge, well, data of interest. Instead links to general home page.</t>
  </si>
  <si>
    <t>NA</t>
  </si>
  <si>
    <t>methodsAccess is not links to Source</t>
  </si>
  <si>
    <t>entityID</t>
  </si>
  <si>
    <t>entity</t>
  </si>
  <si>
    <t>tier1and2entity</t>
  </si>
  <si>
    <t>tier1and2entityID</t>
  </si>
  <si>
    <t>entityIDAbove</t>
  </si>
  <si>
    <t>mission</t>
  </si>
  <si>
    <t>website</t>
  </si>
  <si>
    <t>operational</t>
  </si>
  <si>
    <t>decision</t>
  </si>
  <si>
    <t>regulatory</t>
  </si>
  <si>
    <t>research</t>
  </si>
  <si>
    <t>level</t>
  </si>
  <si>
    <t>n01</t>
  </si>
  <si>
    <t>Wyoming</t>
  </si>
  <si>
    <t>http://www.wyo.gov/</t>
  </si>
  <si>
    <t>n02</t>
  </si>
  <si>
    <t>Department of Agriculture</t>
  </si>
  <si>
    <t>https://wyagric.state.wy.us/</t>
  </si>
  <si>
    <t>n03</t>
  </si>
  <si>
    <t>Natural Resources and Policy</t>
  </si>
  <si>
    <t>Lead and support the agriculture industry in the wise management of natural resources to further the interests of that industry and to enhance Wyoming's natural resources, and increase the visibility of the agricultural industry and WDA programs and employees.</t>
  </si>
  <si>
    <t>https://wyagric.state.wy.us/divisions/nrp</t>
  </si>
  <si>
    <t>n04</t>
  </si>
  <si>
    <t>Climate Issues Committee</t>
  </si>
  <si>
    <t>Address timely climate issues by reviewing current issues and discussing possible future climate related impacts.</t>
  </si>
  <si>
    <t>https://wyagric.state.wy.us/divisions/nrp/climate-issues</t>
  </si>
  <si>
    <t xml:space="preserve">n05 </t>
  </si>
  <si>
    <t>Department of Environmental Quality</t>
  </si>
  <si>
    <t>http://deq.wyoming.gov/</t>
  </si>
  <si>
    <t>n06</t>
  </si>
  <si>
    <t>Division of Water Quality</t>
  </si>
  <si>
    <t>n05</t>
  </si>
  <si>
    <t>Keep Wyoming’s water clean by monitoring and protecting surface- and groundwater in the state</t>
  </si>
  <si>
    <t>http://deq.wyoming.gov/wqd/</t>
  </si>
  <si>
    <t>n07</t>
  </si>
  <si>
    <t>Groundwater</t>
  </si>
  <si>
    <t>Protect and preserve Wyoming’s groundwater by permitting facilities to prevent contamination, and investigating and cleaning up known releases.</t>
  </si>
  <si>
    <t>http://deq.wyoming.gov/wqd/groundwater/</t>
  </si>
  <si>
    <t>n08</t>
  </si>
  <si>
    <t>Watershed Protection</t>
  </si>
  <si>
    <t>Responsible for a variety of planning and water quality project implementation activities</t>
  </si>
  <si>
    <t>http://deq.wyoming.gov/wqd/watershed-protection-2/</t>
  </si>
  <si>
    <t>n09</t>
  </si>
  <si>
    <t>Water and Wastewater</t>
  </si>
  <si>
    <t>Ensure safe and adequate supplies of drinking water and the proper disposal of wastewater</t>
  </si>
  <si>
    <t>http://deq.wyoming.gov/wqd/water-wastewater/</t>
  </si>
  <si>
    <t>n10</t>
  </si>
  <si>
    <t>Wyoming Pollutant Discharge Elimination System (WYPDES) Program</t>
  </si>
  <si>
    <t xml:space="preserve">regulate discharge of any pollutants from a point source into surface water </t>
  </si>
  <si>
    <t>http://deq.wyoming.gov/wqd/wypdes/</t>
  </si>
  <si>
    <t>n11</t>
  </si>
  <si>
    <t>n12</t>
  </si>
  <si>
    <t>State Engineer's Office</t>
  </si>
  <si>
    <t>Charged with the regulation and administration of the water resources in Wyoming</t>
  </si>
  <si>
    <t>https://sites.google.com/a/wyo.gov/seo/home/about</t>
  </si>
  <si>
    <t>n13</t>
  </si>
  <si>
    <t>Groundwater Division</t>
  </si>
  <si>
    <t>http://seo.wyo.gov/ground-water</t>
  </si>
  <si>
    <t>n14</t>
  </si>
  <si>
    <t>Surface water Division</t>
  </si>
  <si>
    <t>Review permit applications which beneficially use surface waters of the state of Wyoming</t>
  </si>
  <si>
    <t>http://seo.wyo.gov/surface-water</t>
  </si>
  <si>
    <t>n15</t>
  </si>
  <si>
    <t xml:space="preserve">Interstate Streams Division </t>
  </si>
  <si>
    <t>Provides technical and policy support for water allocation and administration issues associated with these governing compacts and decrees</t>
  </si>
  <si>
    <t>http://seo.wyo.gov/interstate-streams</t>
  </si>
  <si>
    <t>n16</t>
  </si>
  <si>
    <t>Snow Survey and Water Supply Forecasting Program</t>
  </si>
  <si>
    <t xml:space="preserve">State Engineer's Office </t>
  </si>
  <si>
    <t>compilation of snow surveys and streamflow forecasts in Wyoming</t>
  </si>
  <si>
    <t>http://snow.wyo.gov/snow-surveys</t>
  </si>
  <si>
    <t>n17</t>
  </si>
  <si>
    <t>Wyoming Water Development Office</t>
  </si>
  <si>
    <t>Ensure the delivery of water to Wyoming citizens in an economical and environmentally responsible manner</t>
  </si>
  <si>
    <t>http://wwdc.state.wy.us/index.html</t>
  </si>
  <si>
    <t>n18</t>
  </si>
  <si>
    <t>Planning Program</t>
  </si>
  <si>
    <t>Promote the optimal development of the state's human, industrial, mineral, agricultural, water and recreational resources.</t>
  </si>
  <si>
    <t>http://wwdc.state.wy.us/dam_reservoir/dam_reservoir.html</t>
  </si>
  <si>
    <t>n19</t>
  </si>
  <si>
    <t>Construction Program</t>
  </si>
  <si>
    <t>Administers those projects which have advanced through the planning phases, (Level I and Level II), and are authorized for construction.</t>
  </si>
  <si>
    <t>http://wwdc.state.wy.us/construction/construction.html</t>
  </si>
  <si>
    <t>n20</t>
  </si>
  <si>
    <t xml:space="preserve">Wyoming Oil and Gas Conservation Commission </t>
  </si>
  <si>
    <t>http://wogcc.wyo.gov/home</t>
  </si>
  <si>
    <t xml:space="preserve">No </t>
  </si>
  <si>
    <t>n21</t>
  </si>
  <si>
    <t xml:space="preserve">Wyoming State Geological Survey </t>
  </si>
  <si>
    <t>Promote the beneficial and responsible development and use of Wyoming’s geologic, mineral and energy resources while seeking to understand, characterize and inform the public about geologic hazards.</t>
  </si>
  <si>
    <t>https://www.wsgs.wyo.gov/</t>
  </si>
  <si>
    <t>n22</t>
  </si>
  <si>
    <t>University of Wyoming</t>
  </si>
  <si>
    <t>promote learning</t>
  </si>
  <si>
    <t>http://www.uwyo.edu/</t>
  </si>
  <si>
    <t>n23</t>
  </si>
  <si>
    <t xml:space="preserve">Water Resources Data System &amp; Wyoming State Climate Office </t>
  </si>
  <si>
    <t>provide a variety of services ranging from the development of enhanced drought-monitoring products to the online dissemination of water resources publications. </t>
  </si>
  <si>
    <t>http://www.wrds.uwyo.edu/</t>
  </si>
  <si>
    <t>n24</t>
  </si>
  <si>
    <t>State Climate Office</t>
  </si>
  <si>
    <t>provides a variety of services, ranging from the development of enhanced drought-monitoring products to the online dissemination of water and climate data. WRDS and the SCO also support a variety of stakeholder groups by assisting in the development of the State Water Plan and helping to coordinate long-term climate and hydrologic monitoring efforts throughout the region.</t>
  </si>
  <si>
    <t>http://www.wrds.uwyo.edu/sco/climate_office.html</t>
  </si>
  <si>
    <t xml:space="preserve">Yes </t>
  </si>
  <si>
    <t>from</t>
  </si>
  <si>
    <t>to</t>
  </si>
  <si>
    <t>platformID</t>
  </si>
  <si>
    <t>platform</t>
  </si>
  <si>
    <t>webLabel</t>
  </si>
  <si>
    <t>heatmapLabel</t>
  </si>
  <si>
    <t>metaAttributes</t>
  </si>
  <si>
    <t>Gillette-Madison Well Field Project</t>
  </si>
  <si>
    <t>http://deq.wyoming.gov/wqd/gillette-madison-well-field-project/</t>
  </si>
  <si>
    <t>pdf; excel</t>
  </si>
  <si>
    <t>Pavillion Investigation</t>
  </si>
  <si>
    <t>http://deq.wyoming.gov/wqd/pavillion-investigation/</t>
  </si>
  <si>
    <t>GEM Database</t>
  </si>
  <si>
    <t>http://deq.wyoming.gov/wqd/underground-injection-control/resources/gem-database/</t>
  </si>
  <si>
    <t>Monitoring Data</t>
  </si>
  <si>
    <t>http://deq.wyoming.gov/wqd/groundwater/resources/monitoring-data/</t>
  </si>
  <si>
    <t>Administrative; Descriptive</t>
  </si>
  <si>
    <t>Nonpoint Source Projects</t>
  </si>
  <si>
    <t>http://deq.wyoming.gov/wqd/non-point-source/resources/projects/</t>
  </si>
  <si>
    <t>Administrative; Descriptive; Structural</t>
  </si>
  <si>
    <t>Waterbody Assessment Reports</t>
  </si>
  <si>
    <t>http://deq.wyoming.gov/wqd/non-point-source/resources/reports/</t>
  </si>
  <si>
    <t>TMDL Completed Projects</t>
  </si>
  <si>
    <t>http://deq.wyoming.gov/wqd/tmdl/resources/completed-projects/</t>
  </si>
  <si>
    <t>Water Quality Assessment Reports</t>
  </si>
  <si>
    <t>http://deq.wyoming.gov/wqd/water-quality-assessment/resources/reports/</t>
  </si>
  <si>
    <t>pdf; shapefile</t>
  </si>
  <si>
    <t>Authorized Permit Archive</t>
  </si>
  <si>
    <t>http://deq.wyoming.gov/wqd/water-wastewater/resources/authorized-archive/</t>
  </si>
  <si>
    <t>NRCS Snowdata and Reporting</t>
  </si>
  <si>
    <t>http://snow.wyo.gov/snow-data/nrcs-national-water-and-climate-center</t>
  </si>
  <si>
    <t xml:space="preserve">SEO Snowpack Report by Drainage </t>
  </si>
  <si>
    <t>http://snow.wyo.gov/snow-data/seo-snowpack-reports-by-drainage</t>
  </si>
  <si>
    <t xml:space="preserve">NOAA National Snow Analyses </t>
  </si>
  <si>
    <t>http://snow.wyo.gov/snow-data/noaa-national-snow-analyses</t>
  </si>
  <si>
    <t>Realtime Stream Flow</t>
  </si>
  <si>
    <t>SEOFLOW</t>
  </si>
  <si>
    <t>http://seoflow.wyo.gov/</t>
  </si>
  <si>
    <t>http://www.wrds.uwyo.edu/wrds/nrcs/nrcs.html</t>
  </si>
  <si>
    <t>Order of the State Engineer - Laramie County Control Area</t>
  </si>
  <si>
    <t>http://seo.wyo.gov/ground-water/state-engineer-s-orders</t>
  </si>
  <si>
    <t>Descriptive; Structural</t>
  </si>
  <si>
    <t>Groundwater Hydrographs</t>
  </si>
  <si>
    <t>http://seo.wyo.gov/documents-data/groundwater-hydrographs</t>
  </si>
  <si>
    <t>Interference Investigatoins</t>
  </si>
  <si>
    <t>http://seo.wyo.gov/ground-water/interference-investigations</t>
  </si>
  <si>
    <t>Dam and Reservoir Planning</t>
  </si>
  <si>
    <t>html; pdf</t>
  </si>
  <si>
    <t>Instream Flow Filings</t>
  </si>
  <si>
    <t>http://wwdc.state.wy.us/instream_flows/instream_flows.html</t>
  </si>
  <si>
    <t>Wyoming Water and Climate Web Atlas</t>
  </si>
  <si>
    <t>http://www.wrds.uwyo.edu/Map/index.html?Type=ISF#</t>
  </si>
  <si>
    <t>Probable Maximum Precipitation</t>
  </si>
  <si>
    <t>http://wwdc.state.wy.us/PMP/PMP.html</t>
  </si>
  <si>
    <t>pdf; shapefile; png</t>
  </si>
  <si>
    <t>Wyoming State Water Plans</t>
  </si>
  <si>
    <t>WWDO</t>
  </si>
  <si>
    <t>http://waterplan.state.wy.us/</t>
  </si>
  <si>
    <t>Catalog; Website</t>
  </si>
  <si>
    <t>Descriptive; Administrative</t>
  </si>
  <si>
    <t>Wyoming Water and Climate Hub</t>
  </si>
  <si>
    <t>http://water.geospatialhub.org/</t>
  </si>
  <si>
    <t>Individual Export; FTP</t>
  </si>
  <si>
    <t>excel; kml; shapefile</t>
  </si>
  <si>
    <t>Irrigation and Public Water System Surveys</t>
  </si>
  <si>
    <t>http://wwdc.state.wy.us/surveys/surveys.html</t>
  </si>
  <si>
    <t>pdf; html</t>
  </si>
  <si>
    <t>Legislative Reports</t>
  </si>
  <si>
    <t>http://wwdc.state.wy.us/legreport/legreports.html</t>
  </si>
  <si>
    <t xml:space="preserve">Water Resources Data System Library </t>
  </si>
  <si>
    <t>http://library.wrds.uwyo.edu/</t>
  </si>
  <si>
    <t>WOGCC Data</t>
  </si>
  <si>
    <t>WOGCC</t>
  </si>
  <si>
    <t>http://pipeline.wyo.gov/legacywogcce.cfm</t>
  </si>
  <si>
    <t>WSGS</t>
  </si>
  <si>
    <t>https://wsgs.maps.arcgis.com/apps/webappviewer/index.html?id=09ebeedba94048a0b1ec4dcfc71eb9b5</t>
  </si>
  <si>
    <t>Wyoming State Geological Survey Publications Sales And Free Downloads</t>
  </si>
  <si>
    <t>http://sales.wsgs.wyo.gov/water/</t>
  </si>
  <si>
    <t>Irregular</t>
  </si>
  <si>
    <t>Wyoming Geospatial Hub</t>
  </si>
  <si>
    <t>GeoHub</t>
  </si>
  <si>
    <t>https://www.geospatialhub.org/</t>
  </si>
  <si>
    <t>dataID</t>
  </si>
  <si>
    <t>dataGroup</t>
  </si>
  <si>
    <t>dataCategory</t>
  </si>
  <si>
    <t>d01</t>
  </si>
  <si>
    <t>Built</t>
  </si>
  <si>
    <t>Infrastructure</t>
  </si>
  <si>
    <t>d02</t>
  </si>
  <si>
    <t>Natural</t>
  </si>
  <si>
    <t>d03</t>
  </si>
  <si>
    <t>Quality</t>
  </si>
  <si>
    <t>d04</t>
  </si>
  <si>
    <t>Regulatory</t>
  </si>
  <si>
    <t>d05</t>
  </si>
  <si>
    <t>Evapotranspiration</t>
  </si>
  <si>
    <t>Quantity</t>
  </si>
  <si>
    <t>d06</t>
  </si>
  <si>
    <t>Extreme Events</t>
  </si>
  <si>
    <t>d07</t>
  </si>
  <si>
    <t>Glacial and Snow</t>
  </si>
  <si>
    <t>d08</t>
  </si>
  <si>
    <t>d09</t>
  </si>
  <si>
    <t>Meteorology</t>
  </si>
  <si>
    <t>d10</t>
  </si>
  <si>
    <t>Precipitation</t>
  </si>
  <si>
    <t>d11</t>
  </si>
  <si>
    <t>Reservoir</t>
  </si>
  <si>
    <t>d12</t>
  </si>
  <si>
    <t>Soil</t>
  </si>
  <si>
    <t>d13</t>
  </si>
  <si>
    <t>Surface Water</t>
  </si>
  <si>
    <t>d14</t>
  </si>
  <si>
    <t>Hydropower</t>
  </si>
  <si>
    <t>Use</t>
  </si>
  <si>
    <t>d15</t>
  </si>
  <si>
    <t>Irrigation</t>
  </si>
  <si>
    <t>d16</t>
  </si>
  <si>
    <t>d17</t>
  </si>
  <si>
    <t>Utilities</t>
  </si>
  <si>
    <t>d18</t>
  </si>
  <si>
    <t>Management Plans</t>
  </si>
  <si>
    <t>data</t>
  </si>
  <si>
    <t>notes</t>
  </si>
  <si>
    <t>dataGroup - linked to dataNodes tab</t>
  </si>
  <si>
    <t>dataID - linked to dataNodes tab</t>
  </si>
  <si>
    <t>DEQ Pollution Discharge Elimination Systems Permits</t>
  </si>
  <si>
    <t>Individual Private Landowner Well Information</t>
  </si>
  <si>
    <t>Discharge Estimates</t>
  </si>
  <si>
    <t>Metal concentration in wells</t>
  </si>
  <si>
    <t>Well water quality investigation</t>
  </si>
  <si>
    <t>Reporting monitoring data to the Underground Injection Control</t>
  </si>
  <si>
    <t>Groundwater and surface water data for each county</t>
  </si>
  <si>
    <t>Impaired waterbody restoration projects</t>
  </si>
  <si>
    <t>Water bodies administration and facilitation</t>
  </si>
  <si>
    <t>Water bodies chemical, physical and biological monitoring and nutrient budget</t>
  </si>
  <si>
    <t>TMDL</t>
  </si>
  <si>
    <t>Precipitation by water bodies</t>
  </si>
  <si>
    <t>Average temperatures by water bodies</t>
  </si>
  <si>
    <t>Soil type water bodies</t>
  </si>
  <si>
    <t xml:space="preserve">Integrated 305(b) and 303(d) Reports for Lakes, streams and rivers </t>
  </si>
  <si>
    <t>Causes of Imparied waters and pollutant sources</t>
  </si>
  <si>
    <t>Designated use</t>
  </si>
  <si>
    <t>Location and category of surface waters</t>
  </si>
  <si>
    <t>Water utility permits</t>
  </si>
  <si>
    <t>Water utility capactity</t>
  </si>
  <si>
    <t xml:space="preserve">Wyoming State Engineer's Office </t>
  </si>
  <si>
    <t>snowpack reports</t>
  </si>
  <si>
    <t>https://www.nohrsc.noaa.gov/</t>
  </si>
  <si>
    <t xml:space="preserve">snow anlysis </t>
  </si>
  <si>
    <t>reservoir levels, etc</t>
  </si>
  <si>
    <t xml:space="preserve">ph levels </t>
  </si>
  <si>
    <t>precipitation data</t>
  </si>
  <si>
    <t>wind data</t>
  </si>
  <si>
    <t>water velocity, discharge velocity</t>
  </si>
  <si>
    <t>snow water equivalent</t>
  </si>
  <si>
    <t xml:space="preserve">snow, snow water equivalent </t>
  </si>
  <si>
    <t>Annual and spatial variation of precipitation in Laramie County</t>
  </si>
  <si>
    <t>water level decline, Irrigated land, well permit yield in Laramie County</t>
  </si>
  <si>
    <t>well permits in Laramie County</t>
  </si>
  <si>
    <t>Wastewater treatment locations in Laramie County</t>
  </si>
  <si>
    <t>Well locations, Streamflow inputs for wastewater treatment plant discharge</t>
  </si>
  <si>
    <t>Groundwater hydrograph by county</t>
  </si>
  <si>
    <t>investigation related to groundwater</t>
  </si>
  <si>
    <t>investigation related to surface water</t>
  </si>
  <si>
    <t>investigation related to irrigation wells</t>
  </si>
  <si>
    <t>dam height, length, elevation</t>
  </si>
  <si>
    <t>http://wwdc.state.wy.us/dam_reservoir/CurrentWWDCProjects.html</t>
  </si>
  <si>
    <t>reservoir storage, surface area, max depth</t>
  </si>
  <si>
    <t>Dam use</t>
  </si>
  <si>
    <t>Surface water inflows</t>
  </si>
  <si>
    <t>Instream flows</t>
  </si>
  <si>
    <t>Drought, temperature</t>
  </si>
  <si>
    <t>precipitation forecast by drainage basins</t>
  </si>
  <si>
    <t>http://waterplan.state.wy.us/plan/statewide/statewide.html</t>
  </si>
  <si>
    <t>total annual flow, average annual streamflows</t>
  </si>
  <si>
    <t xml:space="preserve">irrigated accreage by basins, average annual irrigation water data, municipal and domestic use, </t>
  </si>
  <si>
    <t>industrial water demands</t>
  </si>
  <si>
    <t xml:space="preserve">Water Development Commission </t>
  </si>
  <si>
    <t xml:space="preserve">water plans </t>
  </si>
  <si>
    <t xml:space="preserve">flow data </t>
  </si>
  <si>
    <t>hydrologic unit boundaries, wetlands, aquifers</t>
  </si>
  <si>
    <t>gauge stations</t>
  </si>
  <si>
    <t xml:space="preserve">groundwater sensitivity, depth, </t>
  </si>
  <si>
    <t>stream flow</t>
  </si>
  <si>
    <t>30 yr precipitation</t>
  </si>
  <si>
    <t>glaciers, SNOTEL data</t>
  </si>
  <si>
    <t>303 Impaired waters</t>
  </si>
  <si>
    <t>climate stations, solar irradiance, wind, temperature</t>
  </si>
  <si>
    <t>Flood Hazard Zones</t>
  </si>
  <si>
    <t>Public water system surveys</t>
  </si>
  <si>
    <t>Irrigation surveys</t>
  </si>
  <si>
    <t>lesgilative reports</t>
  </si>
  <si>
    <t xml:space="preserve">development, management plans </t>
  </si>
  <si>
    <t xml:space="preserve">water analysis from oil/gas production </t>
  </si>
  <si>
    <t>groundwater boundary, baseflow/recharge ratio </t>
  </si>
  <si>
    <t>water plans</t>
  </si>
  <si>
    <t>wetland data, watershed boundary </t>
  </si>
  <si>
    <t xml:space="preserve">water sensitivty data </t>
  </si>
  <si>
    <t xml:space="preserve">water discharge </t>
  </si>
  <si>
    <t>calculate in R</t>
  </si>
  <si>
    <t>Assists the citizens of Wyoming to live safe and healthy lives, promote and preserve our agricultural community, be responsible stewards of our natural resources, and achieve integrity in the marketplace.</t>
  </si>
  <si>
    <t>Contribute to the quality of life in Wyoming through a combination of monitoring, permitting, inspection, enforcement, restoration and remediation activities that support responsible stewardship of our state’s natural resources.</t>
  </si>
  <si>
    <t>Groundwater Program</t>
  </si>
  <si>
    <t>Watershed Protection Program</t>
  </si>
  <si>
    <t>Water and Wastewater Program</t>
  </si>
  <si>
    <t>Processing and maintaining groundwater permits, as well as a statewide observation well network.</t>
  </si>
  <si>
    <t>Dam Safety Program</t>
  </si>
  <si>
    <t>Ensuring the safety and structural integrity of water storage facilities.</t>
  </si>
  <si>
    <t>http://seo.wyo.gov/surface-water/safety-of-dams</t>
  </si>
  <si>
    <t>regulating oil and gas activities in a manner that ensures responsible development and management of Wyoming's oil and gas resources and provides appropriate environmental stewardship for Wyoming citizens.</t>
  </si>
  <si>
    <t>Water Resources</t>
  </si>
  <si>
    <t>Conduct research, compile data, create maps and reports, address inquiries and provide analysis of groundwater and surface water issues to better assist citizens, industry leaders, state and federal resource managers, county planners, and decision makers.</t>
  </si>
  <si>
    <t>https://www.wsgs.wyo.gov/water/water.aspx</t>
  </si>
  <si>
    <t>n25</t>
  </si>
  <si>
    <t>calculated in R</t>
  </si>
  <si>
    <t>LinktoSource</t>
  </si>
  <si>
    <t>Current Only</t>
  </si>
  <si>
    <t>Direct</t>
  </si>
  <si>
    <t>Individual Export; Full Export</t>
  </si>
  <si>
    <t>html; xml</t>
  </si>
  <si>
    <t>shapefile; zip; pdf</t>
  </si>
  <si>
    <t>Depth to groundwater coverage</t>
  </si>
  <si>
    <t>WDEQ</t>
  </si>
  <si>
    <t>SNOW</t>
  </si>
  <si>
    <t>Indirect</t>
  </si>
  <si>
    <t>Map; Catalog</t>
  </si>
  <si>
    <t>Batch Export; Full Export</t>
  </si>
  <si>
    <t>voltage</t>
  </si>
  <si>
    <t>Copy and Paste</t>
  </si>
  <si>
    <t>WRDS</t>
  </si>
  <si>
    <t>http://www.wrds.uwyo.edu/products_and_data.html</t>
  </si>
  <si>
    <t>Products and Data</t>
  </si>
  <si>
    <t>Copy and Paste; Individual Export</t>
  </si>
  <si>
    <t>html; csv; jpg</t>
  </si>
  <si>
    <t>Website; Map; Catalog</t>
  </si>
  <si>
    <t>Temperature</t>
  </si>
  <si>
    <t xml:space="preserve">Surface Water </t>
  </si>
  <si>
    <t>water supply index and outlook</t>
  </si>
  <si>
    <t>Drought</t>
  </si>
  <si>
    <t>Drought; Floods</t>
  </si>
  <si>
    <t>SEO</t>
  </si>
  <si>
    <t>Administrative; Structural</t>
  </si>
  <si>
    <t>Individual Export; Link to Source</t>
  </si>
  <si>
    <t>Snotel</t>
  </si>
  <si>
    <t>wells</t>
  </si>
  <si>
    <t>Quality - impaired streams</t>
  </si>
  <si>
    <t>Copy and Paste; Individual Export; Link to Source</t>
  </si>
  <si>
    <t>use</t>
  </si>
  <si>
    <t>Individual Export; Copy and Paste</t>
  </si>
  <si>
    <t>Groundwater Atlas of Wyoming</t>
  </si>
  <si>
    <t>Map was not working</t>
  </si>
  <si>
    <t>permits</t>
  </si>
  <si>
    <t>baseflow as recharge</t>
  </si>
  <si>
    <t>salinity</t>
  </si>
  <si>
    <t>Full Export; Web Services</t>
  </si>
  <si>
    <t>shapefile; excel; kml; geojson</t>
  </si>
  <si>
    <t>Descriptive; Administrative; Structural</t>
  </si>
  <si>
    <t>administrative boundaries</t>
  </si>
  <si>
    <t>Notes</t>
  </si>
  <si>
    <t>Interference Investigations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</si>
</sst>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2"/>
      <color theme="1"/>
      <name val="Calibri"/>
      <family val="2"/>
      <scheme val="minor"/>
    </font>
    <font>
      <sz val="11"/>
      <color theme="1"/>
      <name val="Calibri"/>
      <family val="2"/>
      <scheme val="minor"/>
    </font>
    <font>
      <b/>
      <sz val="12"/>
      <color theme="1"/>
      <name val="Calibri"/>
      <family val="2"/>
      <scheme val="minor"/>
    </font>
    <font>
      <u/>
      <sz val="12"/>
      <color theme="10"/>
      <name val="Calibri"/>
      <family val="2"/>
      <scheme val="minor"/>
    </font>
    <font>
      <b/>
      <sz val="12"/>
      <color theme="1"/>
      <name val="Times New Roman"/>
      <family val="1"/>
    </font>
    <font>
      <sz val="11"/>
      <color theme="1"/>
      <name val="Calibri"/>
      <family val="2"/>
      <scheme val="minor"/>
    </font>
    <font>
      <b/>
      <sz val="11"/>
      <color theme="1"/>
      <name val="Calibri"/>
      <family val="2"/>
      <scheme val="minor"/>
    </font>
    <font>
      <sz val="11"/>
      <name val="Calibri"/>
      <family val="2"/>
      <scheme val="minor"/>
    </font>
    <font>
      <i/>
      <sz val="11"/>
      <color rgb="FF000000"/>
      <name val="Cambria"/>
      <family val="1"/>
    </font>
    <font>
      <sz val="10"/>
      <color rgb="FF492F24"/>
      <name val="Verdana"/>
      <family val="2"/>
    </font>
    <font>
      <sz val="11"/>
      <color rgb="FF000000"/>
      <name val="Tahoma"/>
      <family val="2"/>
    </font>
    <font>
      <sz val="11"/>
      <color rgb="FF222222"/>
      <name val="Open Sans"/>
      <charset val="1"/>
    </font>
    <font>
      <sz val="12"/>
      <color rgb="FF000000"/>
      <name val="Arial"/>
      <family val="2"/>
      <charset val="1"/>
    </font>
    <font>
      <sz val="12"/>
      <color rgb="FF000000"/>
      <name val="Calibri"/>
      <family val="2"/>
    </font>
    <font>
      <sz val="12"/>
      <color rgb="FF222222"/>
      <name val="Calibri"/>
      <family val="2"/>
    </font>
    <font>
      <b/>
      <sz val="14"/>
      <color rgb="FF363A77"/>
      <name val="Arial"/>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FF"/>
        <bgColor indexed="64"/>
      </patternFill>
    </fill>
  </fills>
  <borders count="3">
    <border>
      <left/>
      <right/>
      <top/>
      <bottom/>
      <diagonal/>
    </border>
    <border>
      <left/>
      <right/>
      <top/>
      <bottom style="thin">
        <color auto="1"/>
      </bottom>
      <diagonal/>
    </border>
    <border>
      <left/>
      <right/>
      <top style="thin">
        <color auto="1"/>
      </top>
      <bottom style="thin">
        <color indexed="64"/>
      </bottom>
      <diagonal/>
    </border>
  </borders>
  <cellStyleXfs count="3">
    <xf numFmtId="0" fontId="0" fillId="0" borderId="0"/>
    <xf numFmtId="0" fontId="3" fillId="0" borderId="0" applyNumberFormat="0" applyFill="0" applyBorder="0" applyAlignment="0" applyProtection="0"/>
    <xf numFmtId="0" fontId="5" fillId="0" borderId="0"/>
  </cellStyleXfs>
  <cellXfs count="54">
    <xf numFmtId="0" fontId="0" fillId="0" borderId="0" xfId="0"/>
    <xf numFmtId="0" fontId="0" fillId="2" borderId="0" xfId="0" applyFill="1"/>
    <xf numFmtId="0" fontId="2" fillId="2" borderId="1" xfId="0" applyFont="1" applyFill="1" applyBorder="1" applyAlignment="1">
      <alignment horizontal="center"/>
    </xf>
    <xf numFmtId="0" fontId="2" fillId="2" borderId="0" xfId="0" applyFont="1" applyFill="1"/>
    <xf numFmtId="0" fontId="0" fillId="3" borderId="0" xfId="0" applyFill="1" applyAlignment="1">
      <alignment horizontal="center"/>
    </xf>
    <xf numFmtId="0" fontId="2" fillId="2" borderId="1" xfId="0" applyFont="1" applyFill="1" applyBorder="1"/>
    <xf numFmtId="0" fontId="3" fillId="2" borderId="0" xfId="1" applyFill="1"/>
    <xf numFmtId="0" fontId="0" fillId="3" borderId="0" xfId="0" applyFill="1"/>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4" fillId="2" borderId="0" xfId="0" applyFont="1" applyFill="1"/>
    <xf numFmtId="0" fontId="0" fillId="2" borderId="0" xfId="0" applyFill="1" applyAlignment="1">
      <alignment horizontal="center"/>
    </xf>
    <xf numFmtId="0" fontId="5" fillId="2" borderId="0" xfId="2" applyFill="1"/>
    <xf numFmtId="0" fontId="5" fillId="2" borderId="0" xfId="2" applyFill="1" applyAlignment="1">
      <alignment horizontal="center" vertical="center"/>
    </xf>
    <xf numFmtId="0" fontId="5" fillId="2" borderId="0" xfId="2" applyFill="1" applyAlignment="1">
      <alignment vertical="center" wrapText="1"/>
    </xf>
    <xf numFmtId="0" fontId="5" fillId="4" borderId="1" xfId="2" applyFill="1" applyBorder="1" applyAlignment="1">
      <alignment horizontal="center" vertical="center"/>
    </xf>
    <xf numFmtId="0" fontId="5" fillId="4" borderId="1" xfId="2" applyFill="1" applyBorder="1" applyAlignment="1">
      <alignment vertical="center" wrapText="1"/>
    </xf>
    <xf numFmtId="0" fontId="5" fillId="4" borderId="1" xfId="2" applyFill="1" applyBorder="1" applyAlignment="1">
      <alignment vertical="center"/>
    </xf>
    <xf numFmtId="0" fontId="5" fillId="4" borderId="0" xfId="2" applyFill="1" applyAlignment="1">
      <alignment horizontal="center" vertical="center"/>
    </xf>
    <xf numFmtId="0" fontId="5" fillId="4" borderId="0" xfId="2" applyFill="1" applyAlignment="1">
      <alignment vertical="center" wrapText="1"/>
    </xf>
    <xf numFmtId="0" fontId="5" fillId="4" borderId="0" xfId="2" applyFill="1" applyAlignment="1">
      <alignment vertical="center"/>
    </xf>
    <xf numFmtId="0" fontId="5" fillId="2" borderId="1" xfId="2" applyFill="1" applyBorder="1" applyAlignment="1">
      <alignment horizontal="center" vertical="center"/>
    </xf>
    <xf numFmtId="0" fontId="5" fillId="2" borderId="1" xfId="2" applyFill="1" applyBorder="1" applyAlignment="1">
      <alignment vertical="center" wrapText="1"/>
    </xf>
    <xf numFmtId="0" fontId="6" fillId="2" borderId="1" xfId="2" applyFont="1" applyFill="1" applyBorder="1" applyAlignment="1">
      <alignment horizontal="center" vertical="center"/>
    </xf>
    <xf numFmtId="0" fontId="6" fillId="2" borderId="1" xfId="2" applyFont="1" applyFill="1" applyBorder="1" applyAlignment="1">
      <alignment horizontal="center" vertical="center" wrapText="1"/>
    </xf>
    <xf numFmtId="0" fontId="5" fillId="4" borderId="0" xfId="2" applyFill="1" applyBorder="1" applyAlignment="1">
      <alignment vertical="center" wrapText="1"/>
    </xf>
    <xf numFmtId="0" fontId="7" fillId="6" borderId="0" xfId="2" applyFont="1" applyFill="1" applyAlignment="1">
      <alignment vertical="center" wrapText="1"/>
    </xf>
    <xf numFmtId="0" fontId="5" fillId="4" borderId="0" xfId="2" applyFill="1" applyBorder="1" applyAlignment="1">
      <alignment horizontal="center" vertical="center"/>
    </xf>
    <xf numFmtId="0" fontId="6" fillId="2" borderId="2" xfId="2" applyFont="1" applyFill="1" applyBorder="1" applyAlignment="1">
      <alignment vertical="center" wrapText="1"/>
    </xf>
    <xf numFmtId="0" fontId="6" fillId="2" borderId="0" xfId="2" applyFont="1" applyFill="1" applyAlignment="1">
      <alignment vertical="center" wrapText="1"/>
    </xf>
    <xf numFmtId="0" fontId="5" fillId="2" borderId="0" xfId="2" applyFill="1" applyAlignment="1">
      <alignment vertical="center"/>
    </xf>
    <xf numFmtId="0" fontId="5" fillId="2" borderId="0" xfId="2" applyFill="1" applyBorder="1" applyAlignment="1">
      <alignment horizontal="center" vertical="center"/>
    </xf>
    <xf numFmtId="0" fontId="5" fillId="5" borderId="0" xfId="2" applyFill="1"/>
    <xf numFmtId="0" fontId="1" fillId="5" borderId="0" xfId="2" applyFont="1" applyFill="1" applyAlignment="1">
      <alignment vertical="center" wrapText="1"/>
    </xf>
    <xf numFmtId="0" fontId="3" fillId="0" borderId="0" xfId="1"/>
    <xf numFmtId="0" fontId="8" fillId="0" borderId="0" xfId="0" applyFont="1"/>
    <xf numFmtId="0" fontId="9" fillId="0" borderId="0" xfId="0" applyFont="1"/>
    <xf numFmtId="0" fontId="10" fillId="0" borderId="0" xfId="0" applyFont="1"/>
    <xf numFmtId="0" fontId="12" fillId="0" borderId="0" xfId="0" applyFont="1"/>
    <xf numFmtId="0" fontId="13" fillId="0" borderId="0" xfId="0" applyFont="1"/>
    <xf numFmtId="0" fontId="0" fillId="7" borderId="0" xfId="0" applyFill="1"/>
    <xf numFmtId="0" fontId="11" fillId="7" borderId="0" xfId="0" applyFont="1" applyFill="1"/>
    <xf numFmtId="0" fontId="3" fillId="7" borderId="0" xfId="1" applyFill="1"/>
    <xf numFmtId="0" fontId="14" fillId="7" borderId="0" xfId="0" applyFont="1" applyFill="1"/>
    <xf numFmtId="0" fontId="13" fillId="7" borderId="0" xfId="0" applyFont="1" applyFill="1"/>
    <xf numFmtId="0" fontId="12" fillId="7" borderId="0" xfId="0" applyFont="1" applyFill="1"/>
    <xf numFmtId="0" fontId="1" fillId="4" borderId="0" xfId="2" applyFont="1" applyFill="1" applyAlignment="1">
      <alignment vertical="center" wrapText="1"/>
    </xf>
    <xf numFmtId="0" fontId="1" fillId="2" borderId="0" xfId="2" applyFont="1" applyFill="1" applyAlignment="1">
      <alignment vertical="center" wrapText="1"/>
    </xf>
    <xf numFmtId="0" fontId="1" fillId="2" borderId="0" xfId="2" applyFont="1" applyFill="1" applyBorder="1" applyAlignment="1">
      <alignment vertical="center" wrapText="1"/>
    </xf>
    <xf numFmtId="0" fontId="1" fillId="4" borderId="0" xfId="2" applyFont="1" applyFill="1" applyBorder="1" applyAlignment="1">
      <alignment vertical="center" wrapText="1"/>
    </xf>
    <xf numFmtId="0" fontId="1" fillId="2" borderId="0" xfId="2" applyFont="1" applyFill="1" applyAlignment="1">
      <alignment vertical="center"/>
    </xf>
    <xf numFmtId="0" fontId="13" fillId="2" borderId="0" xfId="0" applyFont="1" applyFill="1"/>
    <xf numFmtId="0" fontId="15" fillId="2" borderId="0" xfId="0" applyFont="1" applyFill="1"/>
    <xf numFmtId="0" fontId="12" fillId="2" borderId="0" xfId="0" applyFont="1" applyFill="1"/>
  </cellXfs>
  <cellStyles count="3">
    <cellStyle name="Hyperlink" xfId="1" builtinId="8"/>
    <cellStyle name="Normal" xfId="0" builtinId="0"/>
    <cellStyle name="Normal 2" xfId="2"/>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IoW%20job\Colorado\Colorado_DataInvento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ricsKey"/>
      <sheetName val="orgNodes"/>
      <sheetName val="orgEdges"/>
      <sheetName val="platformNodes"/>
      <sheetName val="dataNodes"/>
      <sheetName val="dataNodeTypes"/>
      <sheetName val="dataEdges"/>
    </sheetNames>
    <sheetDataSet>
      <sheetData sheetId="0" refreshError="1"/>
      <sheetData sheetId="1" refreshError="1"/>
      <sheetData sheetId="2" refreshError="1"/>
      <sheetData sheetId="3" refreshError="1"/>
      <sheetData sheetId="4" refreshError="1">
        <row r="2">
          <cell r="A2" t="str">
            <v>d01</v>
          </cell>
          <cell r="B2" t="str">
            <v>Built</v>
          </cell>
          <cell r="C2" t="str">
            <v>Infrastructure</v>
          </cell>
        </row>
        <row r="3">
          <cell r="A3" t="str">
            <v>d02</v>
          </cell>
          <cell r="B3" t="str">
            <v>Natural</v>
          </cell>
          <cell r="C3" t="str">
            <v>Infrastructure</v>
          </cell>
        </row>
        <row r="4">
          <cell r="A4" t="str">
            <v>d03</v>
          </cell>
          <cell r="B4" t="str">
            <v>Quality</v>
          </cell>
          <cell r="C4" t="str">
            <v>Quality</v>
          </cell>
        </row>
        <row r="5">
          <cell r="A5" t="str">
            <v>d04</v>
          </cell>
          <cell r="B5" t="str">
            <v>Regulatory</v>
          </cell>
          <cell r="C5" t="str">
            <v>Quality</v>
          </cell>
        </row>
        <row r="6">
          <cell r="A6" t="str">
            <v>d05</v>
          </cell>
          <cell r="B6" t="str">
            <v>Evapotranspiration</v>
          </cell>
          <cell r="C6" t="str">
            <v>Quantity</v>
          </cell>
        </row>
        <row r="7">
          <cell r="A7" t="str">
            <v>d06</v>
          </cell>
          <cell r="B7" t="str">
            <v>Extreme Events</v>
          </cell>
          <cell r="C7" t="str">
            <v>Quantity</v>
          </cell>
        </row>
        <row r="8">
          <cell r="A8" t="str">
            <v>d07</v>
          </cell>
          <cell r="B8" t="str">
            <v>Glacial and Snow</v>
          </cell>
          <cell r="C8" t="str">
            <v>Quantity</v>
          </cell>
        </row>
        <row r="9">
          <cell r="A9" t="str">
            <v>d08</v>
          </cell>
          <cell r="B9" t="str">
            <v>Groundwater</v>
          </cell>
          <cell r="C9" t="str">
            <v>Quantity</v>
          </cell>
        </row>
        <row r="10">
          <cell r="A10" t="str">
            <v>d09</v>
          </cell>
          <cell r="B10" t="str">
            <v>Meteorology</v>
          </cell>
          <cell r="C10" t="str">
            <v>Quantity</v>
          </cell>
        </row>
        <row r="11">
          <cell r="A11" t="str">
            <v>d10</v>
          </cell>
          <cell r="B11" t="str">
            <v>Precipitation</v>
          </cell>
          <cell r="C11" t="str">
            <v>Quantity</v>
          </cell>
        </row>
        <row r="12">
          <cell r="A12" t="str">
            <v>d11</v>
          </cell>
          <cell r="B12" t="str">
            <v>Reservoir</v>
          </cell>
          <cell r="C12" t="str">
            <v>Quantity</v>
          </cell>
        </row>
        <row r="13">
          <cell r="A13" t="str">
            <v>d12</v>
          </cell>
          <cell r="B13" t="str">
            <v>Soil</v>
          </cell>
          <cell r="C13" t="str">
            <v>Quantity</v>
          </cell>
        </row>
        <row r="14">
          <cell r="A14" t="str">
            <v>d13</v>
          </cell>
          <cell r="B14" t="str">
            <v>Surface Water</v>
          </cell>
          <cell r="C14" t="str">
            <v>Quantity</v>
          </cell>
        </row>
        <row r="15">
          <cell r="A15" t="str">
            <v>d14</v>
          </cell>
          <cell r="B15" t="str">
            <v>Hydropower</v>
          </cell>
          <cell r="C15" t="str">
            <v>Use</v>
          </cell>
        </row>
        <row r="16">
          <cell r="A16" t="str">
            <v>d15</v>
          </cell>
          <cell r="B16" t="str">
            <v>Irrigation</v>
          </cell>
          <cell r="C16" t="str">
            <v>Use</v>
          </cell>
        </row>
        <row r="17">
          <cell r="A17" t="str">
            <v>d16</v>
          </cell>
          <cell r="B17" t="str">
            <v>Use</v>
          </cell>
          <cell r="C17" t="str">
            <v>Use</v>
          </cell>
        </row>
        <row r="18">
          <cell r="A18" t="str">
            <v>d17</v>
          </cell>
          <cell r="B18" t="str">
            <v>Utilities</v>
          </cell>
          <cell r="C18" t="str">
            <v>Use</v>
          </cell>
        </row>
        <row r="19">
          <cell r="A19" t="str">
            <v>d18</v>
          </cell>
          <cell r="B19" t="str">
            <v>Management Plans</v>
          </cell>
          <cell r="C19" t="str">
            <v>Use</v>
          </cell>
        </row>
      </sheetData>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uwyo.edu/" TargetMode="External"/><Relationship Id="rId7" Type="http://schemas.openxmlformats.org/officeDocument/2006/relationships/hyperlink" Target="http://www.wrds.uwyo.edu/sco/climate_office.html" TargetMode="External"/><Relationship Id="rId2" Type="http://schemas.openxmlformats.org/officeDocument/2006/relationships/hyperlink" Target="https://www.wsgs.wyo.gov/" TargetMode="External"/><Relationship Id="rId1" Type="http://schemas.openxmlformats.org/officeDocument/2006/relationships/hyperlink" Target="http://wogcc.wyo.gov/home" TargetMode="External"/><Relationship Id="rId6" Type="http://schemas.openxmlformats.org/officeDocument/2006/relationships/hyperlink" Target="http://snow.wyo.gov/snow-surveys" TargetMode="External"/><Relationship Id="rId5" Type="http://schemas.openxmlformats.org/officeDocument/2006/relationships/hyperlink" Target="http://deq.wyoming.gov/wqd/wypdes/" TargetMode="External"/><Relationship Id="rId4" Type="http://schemas.openxmlformats.org/officeDocument/2006/relationships/hyperlink" Target="http://www.wrds.uwyo.edu/"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now.wyo.gov/snow-data/noaa-national-snow-analyses" TargetMode="External"/><Relationship Id="rId3" Type="http://schemas.openxmlformats.org/officeDocument/2006/relationships/hyperlink" Target="http://sales.wsgs.wyo.gov/water/" TargetMode="External"/><Relationship Id="rId7" Type="http://schemas.openxmlformats.org/officeDocument/2006/relationships/hyperlink" Target="http://snow.wyo.gov/snow-data/seo-snowpack-reports-by-drainage" TargetMode="External"/><Relationship Id="rId2" Type="http://schemas.openxmlformats.org/officeDocument/2006/relationships/hyperlink" Target="https://wsgs.maps.arcgis.com/apps/webappviewer/index.html?id=09ebeedba94048a0b1ec4dcfc71eb9b5" TargetMode="External"/><Relationship Id="rId1" Type="http://schemas.openxmlformats.org/officeDocument/2006/relationships/hyperlink" Target="http://pipeline.wyo.gov/legacywogcce.cfm" TargetMode="External"/><Relationship Id="rId6" Type="http://schemas.openxmlformats.org/officeDocument/2006/relationships/hyperlink" Target="http://waterplan.state.wy.us/" TargetMode="External"/><Relationship Id="rId5" Type="http://schemas.openxmlformats.org/officeDocument/2006/relationships/hyperlink" Target="http://library.wrds.uwyo.edu/" TargetMode="External"/><Relationship Id="rId10" Type="http://schemas.openxmlformats.org/officeDocument/2006/relationships/hyperlink" Target="http://snow.wyo.gov/snow-data/nrcs-national-water-and-climate-center" TargetMode="External"/><Relationship Id="rId4" Type="http://schemas.openxmlformats.org/officeDocument/2006/relationships/hyperlink" Target="https://www.geospatialhub.org/" TargetMode="External"/><Relationship Id="rId9" Type="http://schemas.openxmlformats.org/officeDocument/2006/relationships/hyperlink" Target="http://seoflow.wyo.gov/"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eoflow.wyo.gov/" TargetMode="External"/><Relationship Id="rId13" Type="http://schemas.openxmlformats.org/officeDocument/2006/relationships/hyperlink" Target="https://www.geospatialhub.org/" TargetMode="External"/><Relationship Id="rId18" Type="http://schemas.openxmlformats.org/officeDocument/2006/relationships/hyperlink" Target="http://waterplan.state.wy.us/" TargetMode="External"/><Relationship Id="rId26" Type="http://schemas.openxmlformats.org/officeDocument/2006/relationships/hyperlink" Target="http://www.wrds.uwyo.edu/wrds/nrcs/nrcs.html" TargetMode="External"/><Relationship Id="rId3" Type="http://schemas.openxmlformats.org/officeDocument/2006/relationships/hyperlink" Target="https://www.nohrsc.noaa.gov/" TargetMode="External"/><Relationship Id="rId21" Type="http://schemas.openxmlformats.org/officeDocument/2006/relationships/hyperlink" Target="http://www.wrds.uwyo.edu/wrds/nrcs/nrcs.html" TargetMode="External"/><Relationship Id="rId34" Type="http://schemas.openxmlformats.org/officeDocument/2006/relationships/hyperlink" Target="https://www.geospatialhub.org/" TargetMode="External"/><Relationship Id="rId7" Type="http://schemas.openxmlformats.org/officeDocument/2006/relationships/hyperlink" Target="http://seoflow.wyo.gov/" TargetMode="External"/><Relationship Id="rId12" Type="http://schemas.openxmlformats.org/officeDocument/2006/relationships/hyperlink" Target="https://www.geospatialhub.org/" TargetMode="External"/><Relationship Id="rId17" Type="http://schemas.openxmlformats.org/officeDocument/2006/relationships/hyperlink" Target="http://library.wrds.uwyo.edu/" TargetMode="External"/><Relationship Id="rId25" Type="http://schemas.openxmlformats.org/officeDocument/2006/relationships/hyperlink" Target="http://www.wrds.uwyo.edu/wrds/nrcs/nrcs.html" TargetMode="External"/><Relationship Id="rId33" Type="http://schemas.openxmlformats.org/officeDocument/2006/relationships/hyperlink" Target="https://www.geospatialhub.org/" TargetMode="External"/><Relationship Id="rId2" Type="http://schemas.openxmlformats.org/officeDocument/2006/relationships/hyperlink" Target="http://snow.wyo.gov/snow-data/seo-snowpack-reports-by-drainage" TargetMode="External"/><Relationship Id="rId16" Type="http://schemas.openxmlformats.org/officeDocument/2006/relationships/hyperlink" Target="http://sales.wsgs.wyo.gov/water/" TargetMode="External"/><Relationship Id="rId20" Type="http://schemas.openxmlformats.org/officeDocument/2006/relationships/hyperlink" Target="http://seoflow.wyo.gov/" TargetMode="External"/><Relationship Id="rId29" Type="http://schemas.openxmlformats.org/officeDocument/2006/relationships/hyperlink" Target="https://wsgs.maps.arcgis.com/apps/webappviewer/index.html?id=09ebeedba94048a0b1ec4dcfc71eb9b5" TargetMode="External"/><Relationship Id="rId1" Type="http://schemas.openxmlformats.org/officeDocument/2006/relationships/hyperlink" Target="http://www.wrds.uwyo.edu/wrds/nrcs/nrcs.html" TargetMode="External"/><Relationship Id="rId6" Type="http://schemas.openxmlformats.org/officeDocument/2006/relationships/hyperlink" Target="http://seoflow.wyo.gov/" TargetMode="External"/><Relationship Id="rId11" Type="http://schemas.openxmlformats.org/officeDocument/2006/relationships/hyperlink" Target="https://www.geospatialhub.org/" TargetMode="External"/><Relationship Id="rId24" Type="http://schemas.openxmlformats.org/officeDocument/2006/relationships/hyperlink" Target="http://www.wrds.uwyo.edu/wrds/nrcs/nrcs.html" TargetMode="External"/><Relationship Id="rId32" Type="http://schemas.openxmlformats.org/officeDocument/2006/relationships/hyperlink" Target="https://wsgs.maps.arcgis.com/apps/webappviewer/index.html?id=09ebeedba94048a0b1ec4dcfc71eb9b5" TargetMode="External"/><Relationship Id="rId5" Type="http://schemas.openxmlformats.org/officeDocument/2006/relationships/hyperlink" Target="http://seoflow.wyo.gov/" TargetMode="External"/><Relationship Id="rId15" Type="http://schemas.openxmlformats.org/officeDocument/2006/relationships/hyperlink" Target="https://wsgs.maps.arcgis.com/apps/webappviewer/index.html?id=09ebeedba94048a0b1ec4dcfc71eb9b5" TargetMode="External"/><Relationship Id="rId23" Type="http://schemas.openxmlformats.org/officeDocument/2006/relationships/hyperlink" Target="http://www.wrds.uwyo.edu/wrds/nrcs/nrcs.html" TargetMode="External"/><Relationship Id="rId28" Type="http://schemas.openxmlformats.org/officeDocument/2006/relationships/hyperlink" Target="https://wsgs.maps.arcgis.com/apps/webappviewer/index.html?id=09ebeedba94048a0b1ec4dcfc71eb9b5" TargetMode="External"/><Relationship Id="rId10" Type="http://schemas.openxmlformats.org/officeDocument/2006/relationships/hyperlink" Target="http://seoflow.wyo.gov/" TargetMode="External"/><Relationship Id="rId19" Type="http://schemas.openxmlformats.org/officeDocument/2006/relationships/hyperlink" Target="http://waterplan.state.wy.us/" TargetMode="External"/><Relationship Id="rId31" Type="http://schemas.openxmlformats.org/officeDocument/2006/relationships/hyperlink" Target="https://wsgs.maps.arcgis.com/apps/webappviewer/index.html?id=09ebeedba94048a0b1ec4dcfc71eb9b5" TargetMode="External"/><Relationship Id="rId4" Type="http://schemas.openxmlformats.org/officeDocument/2006/relationships/hyperlink" Target="http://www.wrds.uwyo.edu/wrds/nrcs/nrcs.html" TargetMode="External"/><Relationship Id="rId9" Type="http://schemas.openxmlformats.org/officeDocument/2006/relationships/hyperlink" Target="http://seoflow.wyo.gov/" TargetMode="External"/><Relationship Id="rId14" Type="http://schemas.openxmlformats.org/officeDocument/2006/relationships/hyperlink" Target="http://pipeline.wyo.gov/legacywogcce.cfm" TargetMode="External"/><Relationship Id="rId22" Type="http://schemas.openxmlformats.org/officeDocument/2006/relationships/hyperlink" Target="http://www.wrds.uwyo.edu/wrds/nrcs/nrcs.html" TargetMode="External"/><Relationship Id="rId27" Type="http://schemas.openxmlformats.org/officeDocument/2006/relationships/hyperlink" Target="http://www.wrds.uwyo.edu/wrds/nrcs/nrcs.html" TargetMode="External"/><Relationship Id="rId30" Type="http://schemas.openxmlformats.org/officeDocument/2006/relationships/hyperlink" Target="https://wsgs.maps.arcgis.com/apps/webappviewer/index.html?id=09ebeedba94048a0b1ec4dcfc71eb9b5"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3"/>
  <sheetViews>
    <sheetView topLeftCell="A140" zoomScale="117" workbookViewId="0">
      <selection activeCell="B99" sqref="B99"/>
    </sheetView>
  </sheetViews>
  <sheetFormatPr defaultColWidth="8.8984375" defaultRowHeight="14.4"/>
  <cols>
    <col min="1" max="1" width="22" style="14" customWidth="1"/>
    <col min="2" max="2" width="22.3984375" style="14" customWidth="1"/>
    <col min="3" max="3" width="92.09765625" style="14" customWidth="1"/>
    <col min="4" max="4" width="18.59765625" style="13" customWidth="1"/>
    <col min="5" max="16384" width="8.8984375" style="12"/>
  </cols>
  <sheetData>
    <row r="1" spans="1:4">
      <c r="A1" s="24" t="s">
        <v>0</v>
      </c>
      <c r="B1" s="24" t="s">
        <v>1</v>
      </c>
      <c r="C1" s="24" t="s">
        <v>2</v>
      </c>
      <c r="D1" s="23" t="s">
        <v>3</v>
      </c>
    </row>
    <row r="2" spans="1:4">
      <c r="A2" s="20"/>
      <c r="B2" s="46" t="s">
        <v>4</v>
      </c>
      <c r="C2" s="19" t="s">
        <v>5</v>
      </c>
      <c r="D2" s="18"/>
    </row>
    <row r="3" spans="1:4">
      <c r="A3" s="20"/>
      <c r="B3" s="46" t="s">
        <v>6</v>
      </c>
      <c r="C3" s="46" t="s">
        <v>7</v>
      </c>
      <c r="D3" s="18"/>
    </row>
    <row r="4" spans="1:4">
      <c r="A4" s="20" t="s">
        <v>8</v>
      </c>
      <c r="B4" s="19" t="s">
        <v>9</v>
      </c>
      <c r="C4" s="19" t="s">
        <v>10</v>
      </c>
      <c r="D4" s="18">
        <v>1</v>
      </c>
    </row>
    <row r="5" spans="1:4">
      <c r="A5" s="20" t="s">
        <v>8</v>
      </c>
      <c r="B5" s="19" t="s">
        <v>11</v>
      </c>
      <c r="C5" s="19" t="s">
        <v>12</v>
      </c>
      <c r="D5" s="18">
        <v>2</v>
      </c>
    </row>
    <row r="6" spans="1:4">
      <c r="A6" s="17" t="s">
        <v>8</v>
      </c>
      <c r="B6" s="16" t="s">
        <v>13</v>
      </c>
      <c r="C6" s="16" t="s">
        <v>14</v>
      </c>
      <c r="D6" s="15">
        <v>3</v>
      </c>
    </row>
    <row r="7" spans="1:4">
      <c r="A7" s="14" t="s">
        <v>15</v>
      </c>
      <c r="B7" s="14" t="s">
        <v>6</v>
      </c>
      <c r="C7" s="14" t="s">
        <v>16</v>
      </c>
      <c r="D7" s="13">
        <v>0</v>
      </c>
    </row>
    <row r="8" spans="1:4">
      <c r="A8" s="14" t="s">
        <v>15</v>
      </c>
      <c r="B8" s="47" t="s">
        <v>17</v>
      </c>
      <c r="C8" s="14" t="s">
        <v>18</v>
      </c>
      <c r="D8" s="13">
        <v>1</v>
      </c>
    </row>
    <row r="9" spans="1:4" ht="28.8">
      <c r="A9" s="14" t="s">
        <v>15</v>
      </c>
      <c r="B9" s="14" t="s">
        <v>19</v>
      </c>
      <c r="C9" s="14" t="s">
        <v>20</v>
      </c>
      <c r="D9" s="13">
        <v>2</v>
      </c>
    </row>
    <row r="10" spans="1:4">
      <c r="A10" s="22" t="s">
        <v>15</v>
      </c>
      <c r="B10" s="22" t="s">
        <v>21</v>
      </c>
      <c r="C10" s="22" t="s">
        <v>22</v>
      </c>
      <c r="D10" s="21">
        <v>2</v>
      </c>
    </row>
    <row r="11" spans="1:4">
      <c r="A11" s="48" t="s">
        <v>15</v>
      </c>
      <c r="B11" s="48" t="s">
        <v>23</v>
      </c>
      <c r="C11" s="48" t="s">
        <v>24</v>
      </c>
      <c r="D11" s="31">
        <v>1.5</v>
      </c>
    </row>
    <row r="12" spans="1:4">
      <c r="A12" s="48" t="s">
        <v>15</v>
      </c>
      <c r="B12" s="48" t="s">
        <v>25</v>
      </c>
      <c r="C12" s="48" t="s">
        <v>24</v>
      </c>
      <c r="D12" s="31">
        <v>2</v>
      </c>
    </row>
    <row r="13" spans="1:4">
      <c r="A13" s="48" t="s">
        <v>15</v>
      </c>
      <c r="B13" s="48" t="s">
        <v>26</v>
      </c>
      <c r="C13" s="48" t="s">
        <v>24</v>
      </c>
      <c r="D13" s="31">
        <v>1.5</v>
      </c>
    </row>
    <row r="14" spans="1:4">
      <c r="A14" s="19" t="s">
        <v>27</v>
      </c>
      <c r="B14" s="46" t="s">
        <v>6</v>
      </c>
      <c r="C14" s="19" t="s">
        <v>28</v>
      </c>
      <c r="D14" s="18">
        <v>0</v>
      </c>
    </row>
    <row r="15" spans="1:4">
      <c r="A15" s="19" t="s">
        <v>27</v>
      </c>
      <c r="B15" s="19" t="s">
        <v>29</v>
      </c>
      <c r="C15" s="19" t="s">
        <v>30</v>
      </c>
      <c r="D15" s="18">
        <v>1</v>
      </c>
    </row>
    <row r="16" spans="1:4">
      <c r="A16" s="19" t="s">
        <v>27</v>
      </c>
      <c r="B16" s="19" t="s">
        <v>31</v>
      </c>
      <c r="C16" s="19" t="s">
        <v>32</v>
      </c>
      <c r="D16" s="18">
        <v>1</v>
      </c>
    </row>
    <row r="17" spans="1:4" ht="28.8">
      <c r="A17" s="19" t="s">
        <v>27</v>
      </c>
      <c r="B17" s="19" t="s">
        <v>33</v>
      </c>
      <c r="C17" s="19" t="s">
        <v>34</v>
      </c>
      <c r="D17" s="18">
        <v>1</v>
      </c>
    </row>
    <row r="18" spans="1:4" ht="28.8">
      <c r="A18" s="19" t="s">
        <v>27</v>
      </c>
      <c r="B18" s="20" t="s">
        <v>35</v>
      </c>
      <c r="C18" s="19" t="s">
        <v>36</v>
      </c>
      <c r="D18" s="18">
        <v>2</v>
      </c>
    </row>
    <row r="19" spans="1:4">
      <c r="A19" s="16" t="s">
        <v>27</v>
      </c>
      <c r="B19" s="16" t="s">
        <v>37</v>
      </c>
      <c r="C19" s="16" t="s">
        <v>38</v>
      </c>
      <c r="D19" s="15">
        <v>2</v>
      </c>
    </row>
    <row r="20" spans="1:4">
      <c r="A20" s="14" t="s">
        <v>39</v>
      </c>
      <c r="B20" s="14" t="s">
        <v>4</v>
      </c>
      <c r="C20" s="14" t="s">
        <v>40</v>
      </c>
      <c r="D20" s="13">
        <v>0</v>
      </c>
    </row>
    <row r="21" spans="1:4">
      <c r="A21" s="14" t="s">
        <v>39</v>
      </c>
      <c r="B21" s="14" t="s">
        <v>6</v>
      </c>
      <c r="C21" s="14" t="s">
        <v>41</v>
      </c>
      <c r="D21" s="13">
        <v>0</v>
      </c>
    </row>
    <row r="22" spans="1:4">
      <c r="A22" s="14" t="s">
        <v>39</v>
      </c>
      <c r="B22" s="47" t="s">
        <v>42</v>
      </c>
      <c r="C22" s="14" t="s">
        <v>43</v>
      </c>
      <c r="D22" s="13">
        <v>1</v>
      </c>
    </row>
    <row r="23" spans="1:4" ht="28.8">
      <c r="A23" s="14" t="s">
        <v>39</v>
      </c>
      <c r="B23" s="14" t="s">
        <v>44</v>
      </c>
      <c r="C23" s="14" t="s">
        <v>45</v>
      </c>
      <c r="D23" s="13">
        <v>1</v>
      </c>
    </row>
    <row r="24" spans="1:4">
      <c r="A24" s="14" t="s">
        <v>39</v>
      </c>
      <c r="B24" s="14" t="s">
        <v>46</v>
      </c>
      <c r="C24" s="14" t="s">
        <v>47</v>
      </c>
      <c r="D24" s="13">
        <v>2</v>
      </c>
    </row>
    <row r="25" spans="1:4">
      <c r="A25" s="14" t="s">
        <v>39</v>
      </c>
      <c r="B25" s="47" t="s">
        <v>48</v>
      </c>
      <c r="C25" s="47" t="s">
        <v>49</v>
      </c>
      <c r="D25" s="13">
        <v>3</v>
      </c>
    </row>
    <row r="26" spans="1:4">
      <c r="A26" s="14" t="s">
        <v>39</v>
      </c>
      <c r="B26" s="47" t="s">
        <v>50</v>
      </c>
      <c r="C26" s="47" t="s">
        <v>51</v>
      </c>
      <c r="D26" s="13">
        <v>3</v>
      </c>
    </row>
    <row r="27" spans="1:4">
      <c r="A27" s="14" t="s">
        <v>39</v>
      </c>
      <c r="B27" s="14" t="s">
        <v>52</v>
      </c>
      <c r="C27" s="14" t="s">
        <v>53</v>
      </c>
      <c r="D27" s="13">
        <v>4</v>
      </c>
    </row>
    <row r="28" spans="1:4" ht="28.8">
      <c r="A28" s="22" t="s">
        <v>39</v>
      </c>
      <c r="B28" s="22" t="s">
        <v>54</v>
      </c>
      <c r="C28" s="22" t="s">
        <v>55</v>
      </c>
      <c r="D28" s="21">
        <v>5</v>
      </c>
    </row>
    <row r="29" spans="1:4" ht="28.8">
      <c r="A29" s="19" t="s">
        <v>56</v>
      </c>
      <c r="B29" s="19" t="s">
        <v>57</v>
      </c>
      <c r="C29" s="19" t="s">
        <v>58</v>
      </c>
      <c r="D29" s="18">
        <v>0</v>
      </c>
    </row>
    <row r="30" spans="1:4">
      <c r="A30" s="19" t="s">
        <v>56</v>
      </c>
      <c r="B30" s="19" t="s">
        <v>59</v>
      </c>
      <c r="C30" s="19" t="s">
        <v>60</v>
      </c>
      <c r="D30" s="18">
        <v>1</v>
      </c>
    </row>
    <row r="31" spans="1:4" ht="28.8">
      <c r="A31" s="19" t="s">
        <v>56</v>
      </c>
      <c r="B31" s="19" t="s">
        <v>61</v>
      </c>
      <c r="C31" s="19" t="s">
        <v>62</v>
      </c>
      <c r="D31" s="18">
        <v>3</v>
      </c>
    </row>
    <row r="32" spans="1:4" ht="28.8">
      <c r="A32" s="16" t="s">
        <v>56</v>
      </c>
      <c r="B32" s="16" t="s">
        <v>63</v>
      </c>
      <c r="C32" s="16" t="s">
        <v>64</v>
      </c>
      <c r="D32" s="15">
        <v>5</v>
      </c>
    </row>
    <row r="33" spans="1:4">
      <c r="A33" s="49" t="s">
        <v>65</v>
      </c>
      <c r="B33" s="49" t="s">
        <v>6</v>
      </c>
      <c r="C33" s="49" t="s">
        <v>66</v>
      </c>
      <c r="D33" s="27"/>
    </row>
    <row r="34" spans="1:4">
      <c r="A34" s="49" t="s">
        <v>65</v>
      </c>
      <c r="B34" s="49" t="s">
        <v>67</v>
      </c>
      <c r="C34" s="49" t="s">
        <v>68</v>
      </c>
      <c r="D34" s="27"/>
    </row>
    <row r="35" spans="1:4">
      <c r="A35" s="49" t="s">
        <v>65</v>
      </c>
      <c r="B35" s="49" t="s">
        <v>69</v>
      </c>
      <c r="C35" s="49" t="s">
        <v>70</v>
      </c>
      <c r="D35" s="27"/>
    </row>
    <row r="36" spans="1:4">
      <c r="A36" s="49" t="s">
        <v>65</v>
      </c>
      <c r="B36" s="49" t="s">
        <v>71</v>
      </c>
      <c r="C36" s="49" t="s">
        <v>72</v>
      </c>
      <c r="D36" s="27"/>
    </row>
    <row r="37" spans="1:4">
      <c r="A37" s="14" t="s">
        <v>73</v>
      </c>
      <c r="B37" s="14" t="s">
        <v>74</v>
      </c>
      <c r="C37" s="14" t="s">
        <v>75</v>
      </c>
      <c r="D37" s="13">
        <v>0</v>
      </c>
    </row>
    <row r="38" spans="1:4">
      <c r="A38" s="14" t="s">
        <v>73</v>
      </c>
      <c r="B38" s="14" t="s">
        <v>6</v>
      </c>
      <c r="C38" s="14" t="s">
        <v>76</v>
      </c>
      <c r="D38" s="13">
        <v>1</v>
      </c>
    </row>
    <row r="39" spans="1:4">
      <c r="A39" s="14" t="s">
        <v>73</v>
      </c>
      <c r="B39" s="14" t="s">
        <v>57</v>
      </c>
      <c r="C39" s="14" t="s">
        <v>77</v>
      </c>
      <c r="D39" s="13">
        <v>1</v>
      </c>
    </row>
    <row r="40" spans="1:4" ht="28.8">
      <c r="A40" s="14" t="s">
        <v>73</v>
      </c>
      <c r="B40" s="14" t="s">
        <v>61</v>
      </c>
      <c r="C40" s="14" t="s">
        <v>78</v>
      </c>
      <c r="D40" s="13">
        <v>2</v>
      </c>
    </row>
    <row r="41" spans="1:4" ht="28.8">
      <c r="A41" s="22" t="s">
        <v>73</v>
      </c>
      <c r="B41" s="22" t="s">
        <v>63</v>
      </c>
      <c r="C41" s="22" t="s">
        <v>79</v>
      </c>
      <c r="D41" s="21">
        <v>3</v>
      </c>
    </row>
    <row r="42" spans="1:4">
      <c r="A42" s="19" t="s">
        <v>80</v>
      </c>
      <c r="B42" s="19" t="s">
        <v>74</v>
      </c>
      <c r="C42" s="19" t="s">
        <v>81</v>
      </c>
      <c r="D42" s="18">
        <v>0</v>
      </c>
    </row>
    <row r="43" spans="1:4">
      <c r="A43" s="19" t="s">
        <v>80</v>
      </c>
      <c r="B43" s="19" t="s">
        <v>6</v>
      </c>
      <c r="C43" s="19" t="s">
        <v>82</v>
      </c>
      <c r="D43" s="18">
        <v>0</v>
      </c>
    </row>
    <row r="44" spans="1:4">
      <c r="A44" s="19" t="s">
        <v>80</v>
      </c>
      <c r="B44" s="19" t="s">
        <v>83</v>
      </c>
      <c r="C44" s="19" t="s">
        <v>84</v>
      </c>
      <c r="D44" s="18">
        <v>1</v>
      </c>
    </row>
    <row r="45" spans="1:4">
      <c r="A45" s="16" t="s">
        <v>80</v>
      </c>
      <c r="B45" s="16" t="s">
        <v>37</v>
      </c>
      <c r="C45" s="16" t="s">
        <v>85</v>
      </c>
      <c r="D45" s="15">
        <v>2</v>
      </c>
    </row>
    <row r="46" spans="1:4">
      <c r="A46" s="14" t="s">
        <v>86</v>
      </c>
      <c r="B46" s="14" t="s">
        <v>74</v>
      </c>
      <c r="C46" s="14" t="s">
        <v>75</v>
      </c>
      <c r="D46" s="13">
        <v>0</v>
      </c>
    </row>
    <row r="47" spans="1:4">
      <c r="A47" s="14" t="s">
        <v>86</v>
      </c>
      <c r="B47" s="14" t="s">
        <v>6</v>
      </c>
      <c r="C47" s="14" t="s">
        <v>87</v>
      </c>
      <c r="D47" s="13">
        <v>0</v>
      </c>
    </row>
    <row r="48" spans="1:4" ht="28.8">
      <c r="A48" s="14" t="s">
        <v>86</v>
      </c>
      <c r="B48" s="14" t="s">
        <v>88</v>
      </c>
      <c r="C48" s="14" t="s">
        <v>89</v>
      </c>
      <c r="D48" s="13">
        <v>1</v>
      </c>
    </row>
    <row r="49" spans="1:4" ht="28.8">
      <c r="A49" s="14" t="s">
        <v>86</v>
      </c>
      <c r="B49" s="14" t="s">
        <v>90</v>
      </c>
      <c r="C49" s="14" t="s">
        <v>91</v>
      </c>
      <c r="D49" s="13">
        <v>1</v>
      </c>
    </row>
    <row r="50" spans="1:4" ht="43.2">
      <c r="A50" s="22" t="s">
        <v>86</v>
      </c>
      <c r="B50" s="22" t="s">
        <v>92</v>
      </c>
      <c r="C50" s="22" t="s">
        <v>93</v>
      </c>
      <c r="D50" s="21">
        <v>1</v>
      </c>
    </row>
    <row r="51" spans="1:4">
      <c r="A51" s="19" t="s">
        <v>94</v>
      </c>
      <c r="B51" s="19" t="s">
        <v>74</v>
      </c>
      <c r="C51" s="19" t="s">
        <v>95</v>
      </c>
      <c r="D51" s="18">
        <v>0</v>
      </c>
    </row>
    <row r="52" spans="1:4">
      <c r="A52" s="19" t="s">
        <v>94</v>
      </c>
      <c r="B52" s="19" t="s">
        <v>6</v>
      </c>
      <c r="C52" s="19" t="s">
        <v>96</v>
      </c>
      <c r="D52" s="18">
        <v>0</v>
      </c>
    </row>
    <row r="53" spans="1:4">
      <c r="A53" s="19" t="s">
        <v>94</v>
      </c>
      <c r="B53" s="19" t="s">
        <v>83</v>
      </c>
      <c r="C53" s="19" t="s">
        <v>97</v>
      </c>
      <c r="D53" s="18">
        <v>1</v>
      </c>
    </row>
    <row r="54" spans="1:4">
      <c r="A54" s="16" t="s">
        <v>94</v>
      </c>
      <c r="B54" s="16" t="s">
        <v>37</v>
      </c>
      <c r="C54" s="16" t="s">
        <v>98</v>
      </c>
      <c r="D54" s="15">
        <v>2</v>
      </c>
    </row>
    <row r="55" spans="1:4">
      <c r="A55" s="14" t="s">
        <v>99</v>
      </c>
      <c r="B55" s="14" t="s">
        <v>6</v>
      </c>
      <c r="C55" s="14" t="s">
        <v>100</v>
      </c>
      <c r="D55" s="13">
        <v>0</v>
      </c>
    </row>
    <row r="56" spans="1:4" ht="28.8">
      <c r="A56" s="14" t="s">
        <v>99</v>
      </c>
      <c r="B56" s="47" t="s">
        <v>101</v>
      </c>
      <c r="C56" s="14" t="s">
        <v>102</v>
      </c>
      <c r="D56" s="13">
        <v>1</v>
      </c>
    </row>
    <row r="57" spans="1:4" ht="28.8">
      <c r="A57" s="14" t="s">
        <v>99</v>
      </c>
      <c r="B57" s="47" t="s">
        <v>103</v>
      </c>
      <c r="C57" s="14" t="s">
        <v>102</v>
      </c>
      <c r="D57" s="13">
        <v>1</v>
      </c>
    </row>
    <row r="58" spans="1:4">
      <c r="A58" s="14" t="s">
        <v>99</v>
      </c>
      <c r="B58" s="14" t="s">
        <v>104</v>
      </c>
      <c r="C58" s="14" t="s">
        <v>105</v>
      </c>
      <c r="D58" s="13">
        <v>2</v>
      </c>
    </row>
    <row r="59" spans="1:4">
      <c r="A59" s="14" t="s">
        <v>99</v>
      </c>
      <c r="B59" s="47" t="s">
        <v>106</v>
      </c>
      <c r="C59" s="47" t="s">
        <v>107</v>
      </c>
      <c r="D59" s="13">
        <v>3</v>
      </c>
    </row>
    <row r="60" spans="1:4">
      <c r="A60" s="14" t="s">
        <v>99</v>
      </c>
      <c r="B60" s="47" t="s">
        <v>108</v>
      </c>
      <c r="C60" s="47" t="s">
        <v>109</v>
      </c>
      <c r="D60" s="13">
        <v>3</v>
      </c>
    </row>
    <row r="61" spans="1:4">
      <c r="A61" s="22" t="s">
        <v>99</v>
      </c>
      <c r="B61" s="22" t="s">
        <v>110</v>
      </c>
      <c r="C61" s="22" t="s">
        <v>111</v>
      </c>
      <c r="D61" s="21">
        <v>4</v>
      </c>
    </row>
    <row r="62" spans="1:4">
      <c r="A62" s="19" t="s">
        <v>112</v>
      </c>
      <c r="B62" s="19" t="s">
        <v>6</v>
      </c>
      <c r="C62" s="19" t="s">
        <v>113</v>
      </c>
      <c r="D62" s="18">
        <v>0</v>
      </c>
    </row>
    <row r="63" spans="1:4">
      <c r="A63" s="19" t="s">
        <v>112</v>
      </c>
      <c r="B63" s="19" t="s">
        <v>103</v>
      </c>
      <c r="C63" s="46" t="s">
        <v>114</v>
      </c>
      <c r="D63" s="18">
        <v>1</v>
      </c>
    </row>
    <row r="64" spans="1:4">
      <c r="A64" s="19" t="s">
        <v>112</v>
      </c>
      <c r="B64" s="19" t="s">
        <v>115</v>
      </c>
      <c r="C64" s="19" t="s">
        <v>116</v>
      </c>
      <c r="D64" s="18">
        <v>2</v>
      </c>
    </row>
    <row r="65" spans="1:4">
      <c r="A65" s="25" t="s">
        <v>112</v>
      </c>
      <c r="B65" s="19" t="s">
        <v>117</v>
      </c>
      <c r="C65" s="19" t="s">
        <v>118</v>
      </c>
      <c r="D65" s="18">
        <v>3</v>
      </c>
    </row>
    <row r="66" spans="1:4">
      <c r="A66" s="16" t="s">
        <v>112</v>
      </c>
      <c r="B66" s="16" t="s">
        <v>119</v>
      </c>
      <c r="C66" s="16" t="s">
        <v>120</v>
      </c>
      <c r="D66" s="15">
        <v>4</v>
      </c>
    </row>
    <row r="68" spans="1:4">
      <c r="A68" s="28" t="s">
        <v>121</v>
      </c>
      <c r="B68" s="29" t="s">
        <v>122</v>
      </c>
    </row>
    <row r="69" spans="1:4">
      <c r="A69" s="26" t="s">
        <v>123</v>
      </c>
      <c r="B69" s="26" t="s">
        <v>123</v>
      </c>
    </row>
    <row r="70" spans="1:4">
      <c r="A70" s="33" t="s">
        <v>69</v>
      </c>
      <c r="B70" s="33" t="s">
        <v>69</v>
      </c>
      <c r="C70" s="47"/>
    </row>
    <row r="71" spans="1:4">
      <c r="A71" s="33" t="s">
        <v>124</v>
      </c>
      <c r="B71" s="33" t="s">
        <v>125</v>
      </c>
      <c r="C71" s="47"/>
    </row>
    <row r="72" spans="1:4">
      <c r="A72" s="33" t="s">
        <v>126</v>
      </c>
      <c r="B72" s="33" t="s">
        <v>127</v>
      </c>
      <c r="C72" s="47"/>
    </row>
    <row r="73" spans="1:4">
      <c r="A73" s="33" t="s">
        <v>128</v>
      </c>
      <c r="B73" s="33" t="s">
        <v>124</v>
      </c>
      <c r="C73" s="47"/>
    </row>
    <row r="74" spans="1:4">
      <c r="A74" s="33" t="s">
        <v>129</v>
      </c>
      <c r="B74" s="33" t="s">
        <v>130</v>
      </c>
      <c r="C74" s="47"/>
    </row>
    <row r="75" spans="1:4">
      <c r="A75" s="33" t="s">
        <v>131</v>
      </c>
      <c r="B75" s="33" t="s">
        <v>132</v>
      </c>
      <c r="C75" s="47"/>
    </row>
    <row r="76" spans="1:4">
      <c r="A76" s="33" t="s">
        <v>133</v>
      </c>
      <c r="B76" s="33" t="s">
        <v>134</v>
      </c>
      <c r="C76" s="47"/>
    </row>
    <row r="77" spans="1:4">
      <c r="A77" s="33" t="s">
        <v>135</v>
      </c>
      <c r="B77" s="33" t="s">
        <v>136</v>
      </c>
      <c r="C77" s="47"/>
    </row>
    <row r="78" spans="1:4">
      <c r="A78" s="33" t="s">
        <v>132</v>
      </c>
      <c r="B78" s="33" t="s">
        <v>137</v>
      </c>
      <c r="C78" s="47"/>
    </row>
    <row r="79" spans="1:4">
      <c r="A79" s="33" t="s">
        <v>138</v>
      </c>
      <c r="B79" s="33" t="s">
        <v>139</v>
      </c>
      <c r="C79" s="47"/>
    </row>
    <row r="80" spans="1:4">
      <c r="A80" s="33" t="s">
        <v>140</v>
      </c>
      <c r="B80" s="33" t="s">
        <v>141</v>
      </c>
      <c r="C80" s="47"/>
    </row>
    <row r="81" spans="1:3">
      <c r="A81" s="33" t="s">
        <v>130</v>
      </c>
      <c r="B81" s="32"/>
      <c r="C81" s="47"/>
    </row>
    <row r="82" spans="1:3">
      <c r="A82" s="33" t="s">
        <v>142</v>
      </c>
      <c r="B82" s="33"/>
      <c r="C82" s="47"/>
    </row>
    <row r="83" spans="1:3">
      <c r="A83" s="33" t="s">
        <v>143</v>
      </c>
      <c r="B83" s="33"/>
      <c r="C83" s="47"/>
    </row>
    <row r="84" spans="1:3">
      <c r="A84" s="33" t="s">
        <v>144</v>
      </c>
      <c r="B84" s="33"/>
      <c r="C84" s="47"/>
    </row>
    <row r="85" spans="1:3">
      <c r="A85" s="33" t="s">
        <v>141</v>
      </c>
      <c r="B85" s="33"/>
      <c r="C85" s="47"/>
    </row>
    <row r="86" spans="1:3">
      <c r="A86" s="33" t="s">
        <v>137</v>
      </c>
      <c r="B86" s="33"/>
      <c r="C86" s="47"/>
    </row>
    <row r="87" spans="1:3">
      <c r="A87" s="33" t="s">
        <v>139</v>
      </c>
      <c r="B87" s="33"/>
      <c r="C87" s="47"/>
    </row>
    <row r="88" spans="1:3">
      <c r="A88" s="33" t="s">
        <v>134</v>
      </c>
      <c r="B88" s="33"/>
      <c r="C88" s="47"/>
    </row>
    <row r="89" spans="1:3">
      <c r="A89" s="33" t="s">
        <v>145</v>
      </c>
      <c r="B89" s="33"/>
      <c r="C89" s="47"/>
    </row>
    <row r="90" spans="1:3">
      <c r="A90" s="33" t="s">
        <v>146</v>
      </c>
      <c r="B90" s="33"/>
      <c r="C90" s="47"/>
    </row>
    <row r="91" spans="1:3">
      <c r="A91" s="33" t="s">
        <v>136</v>
      </c>
      <c r="B91" s="33"/>
      <c r="C91" s="47"/>
    </row>
    <row r="92" spans="1:3">
      <c r="A92" s="33" t="s">
        <v>147</v>
      </c>
      <c r="B92" s="33"/>
      <c r="C92" s="47"/>
    </row>
    <row r="93" spans="1:3">
      <c r="A93" s="33" t="s">
        <v>148</v>
      </c>
      <c r="B93" s="33"/>
      <c r="C93" s="47"/>
    </row>
    <row r="94" spans="1:3">
      <c r="A94" s="33" t="s">
        <v>149</v>
      </c>
      <c r="B94" s="33"/>
      <c r="C94" s="47"/>
    </row>
    <row r="95" spans="1:3">
      <c r="A95" s="33" t="s">
        <v>150</v>
      </c>
      <c r="B95" s="33"/>
      <c r="C95" s="47"/>
    </row>
    <row r="96" spans="1:3">
      <c r="A96" s="33" t="s">
        <v>151</v>
      </c>
      <c r="B96" s="33"/>
      <c r="C96" s="47"/>
    </row>
    <row r="97" spans="1:3">
      <c r="A97" s="33" t="s">
        <v>152</v>
      </c>
      <c r="B97" s="33"/>
      <c r="C97" s="47"/>
    </row>
    <row r="98" spans="1:3">
      <c r="A98" s="33" t="s">
        <v>153</v>
      </c>
      <c r="B98" s="33"/>
      <c r="C98" s="47"/>
    </row>
    <row r="99" spans="1:3">
      <c r="A99" s="33" t="s">
        <v>154</v>
      </c>
      <c r="B99" s="33"/>
      <c r="C99" s="47"/>
    </row>
    <row r="100" spans="1:3">
      <c r="A100" s="12"/>
      <c r="B100" s="12"/>
      <c r="C100" s="12"/>
    </row>
    <row r="101" spans="1:3">
      <c r="A101" s="29" t="s">
        <v>155</v>
      </c>
      <c r="B101" s="29" t="s">
        <v>156</v>
      </c>
      <c r="C101" s="12"/>
    </row>
    <row r="102" spans="1:3">
      <c r="A102" s="50" t="s">
        <v>101</v>
      </c>
      <c r="B102" s="47" t="s">
        <v>101</v>
      </c>
      <c r="C102" s="12"/>
    </row>
    <row r="103" spans="1:3" ht="15.6">
      <c r="A103" s="30" t="s">
        <v>157</v>
      </c>
      <c r="B103" s="1" t="s">
        <v>158</v>
      </c>
      <c r="C103" s="12"/>
    </row>
    <row r="104" spans="1:3" ht="15.6">
      <c r="A104" s="30" t="s">
        <v>159</v>
      </c>
      <c r="B104" s="1" t="s">
        <v>160</v>
      </c>
      <c r="C104" s="12"/>
    </row>
    <row r="105" spans="1:3" ht="15.6">
      <c r="A105" s="30" t="s">
        <v>161</v>
      </c>
      <c r="B105" s="1" t="s">
        <v>162</v>
      </c>
      <c r="C105" s="12"/>
    </row>
    <row r="106" spans="1:3" ht="15.6">
      <c r="A106" s="30" t="s">
        <v>163</v>
      </c>
      <c r="B106" s="1" t="s">
        <v>164</v>
      </c>
    </row>
    <row r="107" spans="1:3" ht="15.6">
      <c r="A107" s="30" t="s">
        <v>165</v>
      </c>
      <c r="B107" s="1" t="s">
        <v>166</v>
      </c>
    </row>
    <row r="108" spans="1:3" ht="15.6">
      <c r="A108" s="30" t="s">
        <v>167</v>
      </c>
      <c r="B108" s="1" t="s">
        <v>168</v>
      </c>
    </row>
    <row r="109" spans="1:3" ht="15.6">
      <c r="A109" s="30" t="s">
        <v>169</v>
      </c>
      <c r="B109" s="1" t="s">
        <v>170</v>
      </c>
    </row>
    <row r="110" spans="1:3" ht="15.6">
      <c r="A110" s="30" t="s">
        <v>171</v>
      </c>
      <c r="B110" s="1" t="s">
        <v>172</v>
      </c>
    </row>
    <row r="111" spans="1:3" ht="15.6">
      <c r="A111" s="30" t="s">
        <v>173</v>
      </c>
      <c r="B111" s="1" t="s">
        <v>174</v>
      </c>
    </row>
    <row r="112" spans="1:3" ht="15.6">
      <c r="A112" s="30" t="s">
        <v>175</v>
      </c>
      <c r="B112" s="1" t="s">
        <v>176</v>
      </c>
    </row>
    <row r="113" spans="1:2" ht="15.6">
      <c r="A113" s="30" t="s">
        <v>177</v>
      </c>
      <c r="B113" s="1" t="s">
        <v>178</v>
      </c>
    </row>
    <row r="114" spans="1:2" ht="15.6">
      <c r="A114" s="30" t="s">
        <v>179</v>
      </c>
      <c r="B114" s="1" t="s">
        <v>180</v>
      </c>
    </row>
    <row r="115" spans="1:2" ht="15.6">
      <c r="A115" s="30" t="s">
        <v>181</v>
      </c>
      <c r="B115" s="1" t="s">
        <v>182</v>
      </c>
    </row>
    <row r="116" spans="1:2" ht="15.6">
      <c r="A116" s="30" t="s">
        <v>183</v>
      </c>
      <c r="B116" s="1" t="s">
        <v>184</v>
      </c>
    </row>
    <row r="117" spans="1:2" ht="15.6">
      <c r="A117" s="30" t="s">
        <v>185</v>
      </c>
      <c r="B117" s="1" t="s">
        <v>186</v>
      </c>
    </row>
    <row r="118" spans="1:2" ht="15.6">
      <c r="A118" s="30" t="s">
        <v>187</v>
      </c>
      <c r="B118" s="1" t="s">
        <v>188</v>
      </c>
    </row>
    <row r="119" spans="1:2" ht="15.6">
      <c r="A119" s="30" t="s">
        <v>189</v>
      </c>
      <c r="B119" s="1" t="s">
        <v>190</v>
      </c>
    </row>
    <row r="120" spans="1:2" ht="15.6">
      <c r="A120" s="30" t="s">
        <v>191</v>
      </c>
      <c r="B120" s="1" t="s">
        <v>192</v>
      </c>
    </row>
    <row r="121" spans="1:2" ht="15.6">
      <c r="A121" s="30" t="s">
        <v>193</v>
      </c>
      <c r="B121" s="1" t="s">
        <v>194</v>
      </c>
    </row>
    <row r="122" spans="1:2" ht="15.6">
      <c r="A122" s="30" t="s">
        <v>195</v>
      </c>
      <c r="B122" s="1" t="s">
        <v>196</v>
      </c>
    </row>
    <row r="123" spans="1:2" ht="15.6">
      <c r="A123" s="30" t="s">
        <v>197</v>
      </c>
      <c r="B123" s="1" t="s">
        <v>198</v>
      </c>
    </row>
    <row r="124" spans="1:2" ht="15.6">
      <c r="A124" s="30" t="s">
        <v>199</v>
      </c>
      <c r="B124" s="1" t="s">
        <v>200</v>
      </c>
    </row>
    <row r="125" spans="1:2" ht="15.6">
      <c r="A125" s="30" t="s">
        <v>201</v>
      </c>
      <c r="B125" s="1" t="s">
        <v>202</v>
      </c>
    </row>
    <row r="126" spans="1:2" ht="15.6">
      <c r="A126" s="30" t="s">
        <v>203</v>
      </c>
      <c r="B126" s="1" t="s">
        <v>204</v>
      </c>
    </row>
    <row r="127" spans="1:2" ht="15.6">
      <c r="A127" s="30" t="s">
        <v>205</v>
      </c>
      <c r="B127" s="1" t="s">
        <v>206</v>
      </c>
    </row>
    <row r="128" spans="1:2" ht="15.6">
      <c r="A128" s="30" t="s">
        <v>207</v>
      </c>
      <c r="B128" s="1" t="s">
        <v>208</v>
      </c>
    </row>
    <row r="129" spans="1:2" ht="15.6">
      <c r="A129" s="30" t="s">
        <v>209</v>
      </c>
      <c r="B129" s="1" t="s">
        <v>210</v>
      </c>
    </row>
    <row r="130" spans="1:2" ht="15.6">
      <c r="A130" s="30" t="s">
        <v>211</v>
      </c>
      <c r="B130" s="1" t="s">
        <v>212</v>
      </c>
    </row>
    <row r="131" spans="1:2" ht="15.6">
      <c r="A131" s="30" t="s">
        <v>213</v>
      </c>
      <c r="B131" s="1" t="s">
        <v>214</v>
      </c>
    </row>
    <row r="132" spans="1:2" ht="15.6">
      <c r="A132" s="30" t="s">
        <v>215</v>
      </c>
      <c r="B132" s="1" t="s">
        <v>216</v>
      </c>
    </row>
    <row r="133" spans="1:2" ht="15.6">
      <c r="A133" s="30" t="s">
        <v>217</v>
      </c>
      <c r="B133" s="1" t="s">
        <v>218</v>
      </c>
    </row>
    <row r="134" spans="1:2" ht="15.6">
      <c r="A134" s="30" t="s">
        <v>219</v>
      </c>
      <c r="B134" s="1" t="s">
        <v>220</v>
      </c>
    </row>
    <row r="135" spans="1:2" ht="15.6">
      <c r="A135" s="30" t="s">
        <v>221</v>
      </c>
      <c r="B135" s="1" t="s">
        <v>222</v>
      </c>
    </row>
    <row r="136" spans="1:2" ht="15.6">
      <c r="A136" s="30" t="s">
        <v>223</v>
      </c>
      <c r="B136" s="1" t="s">
        <v>224</v>
      </c>
    </row>
    <row r="137" spans="1:2" ht="15.6">
      <c r="A137" s="30" t="s">
        <v>225</v>
      </c>
      <c r="B137" s="1" t="s">
        <v>226</v>
      </c>
    </row>
    <row r="138" spans="1:2" ht="15.6">
      <c r="A138" s="30" t="s">
        <v>227</v>
      </c>
      <c r="B138" s="1" t="s">
        <v>228</v>
      </c>
    </row>
    <row r="139" spans="1:2" ht="15.6">
      <c r="A139" s="30" t="s">
        <v>229</v>
      </c>
      <c r="B139" s="1" t="s">
        <v>230</v>
      </c>
    </row>
    <row r="140" spans="1:2" ht="15.6">
      <c r="A140" s="30" t="s">
        <v>231</v>
      </c>
      <c r="B140" s="1" t="s">
        <v>232</v>
      </c>
    </row>
    <row r="141" spans="1:2" ht="15.6">
      <c r="A141" s="30" t="s">
        <v>233</v>
      </c>
      <c r="B141" s="1" t="s">
        <v>234</v>
      </c>
    </row>
    <row r="142" spans="1:2" ht="15.6">
      <c r="A142" s="30" t="s">
        <v>235</v>
      </c>
      <c r="B142" s="1" t="s">
        <v>236</v>
      </c>
    </row>
    <row r="143" spans="1:2" ht="15.6">
      <c r="A143" s="30" t="s">
        <v>237</v>
      </c>
      <c r="B143" s="1" t="s">
        <v>238</v>
      </c>
    </row>
    <row r="144" spans="1:2" ht="15.6">
      <c r="A144" s="30" t="s">
        <v>239</v>
      </c>
      <c r="B144" s="1" t="s">
        <v>240</v>
      </c>
    </row>
    <row r="145" spans="1:2" ht="15.6">
      <c r="A145" s="30" t="s">
        <v>241</v>
      </c>
      <c r="B145" s="1" t="s">
        <v>242</v>
      </c>
    </row>
    <row r="146" spans="1:2" ht="15.6">
      <c r="A146" s="30" t="s">
        <v>243</v>
      </c>
      <c r="B146" s="1" t="s">
        <v>244</v>
      </c>
    </row>
    <row r="147" spans="1:2" ht="15.6">
      <c r="A147" s="30" t="s">
        <v>245</v>
      </c>
      <c r="B147" s="1" t="s">
        <v>246</v>
      </c>
    </row>
    <row r="148" spans="1:2" ht="15.6">
      <c r="A148" s="30" t="s">
        <v>247</v>
      </c>
      <c r="B148" s="1" t="s">
        <v>248</v>
      </c>
    </row>
    <row r="149" spans="1:2" ht="15.6">
      <c r="A149" s="30" t="s">
        <v>249</v>
      </c>
      <c r="B149" s="1" t="s">
        <v>250</v>
      </c>
    </row>
    <row r="150" spans="1:2" ht="15.6">
      <c r="A150" s="30" t="s">
        <v>251</v>
      </c>
      <c r="B150" s="1" t="s">
        <v>252</v>
      </c>
    </row>
    <row r="151" spans="1:2" ht="15.6">
      <c r="A151" s="30" t="s">
        <v>253</v>
      </c>
      <c r="B151" s="1" t="s">
        <v>254</v>
      </c>
    </row>
    <row r="152" spans="1:2" ht="15.6">
      <c r="A152" s="30" t="s">
        <v>255</v>
      </c>
      <c r="B152" s="1" t="s">
        <v>256</v>
      </c>
    </row>
    <row r="153" spans="1:2" ht="15.6">
      <c r="A153" s="30" t="s">
        <v>257</v>
      </c>
      <c r="B153" s="1" t="s">
        <v>258</v>
      </c>
    </row>
    <row r="154" spans="1:2" ht="15.6">
      <c r="A154" s="30" t="s">
        <v>259</v>
      </c>
      <c r="B154" s="1" t="s">
        <v>260</v>
      </c>
    </row>
    <row r="155" spans="1:2" ht="15.6">
      <c r="A155" s="30" t="s">
        <v>261</v>
      </c>
      <c r="B155" s="1" t="s">
        <v>262</v>
      </c>
    </row>
    <row r="156" spans="1:2" ht="15.6">
      <c r="A156" s="30" t="s">
        <v>263</v>
      </c>
      <c r="B156" s="1" t="s">
        <v>264</v>
      </c>
    </row>
    <row r="157" spans="1:2" ht="15.6">
      <c r="A157" s="30" t="s">
        <v>265</v>
      </c>
      <c r="B157" s="1" t="s">
        <v>266</v>
      </c>
    </row>
    <row r="158" spans="1:2" ht="15.6">
      <c r="A158" s="30" t="s">
        <v>267</v>
      </c>
      <c r="B158" s="1" t="s">
        <v>268</v>
      </c>
    </row>
    <row r="160" spans="1:2">
      <c r="A160" s="29" t="s">
        <v>269</v>
      </c>
      <c r="B160" s="29"/>
    </row>
    <row r="161" spans="1:2">
      <c r="A161" s="47" t="s">
        <v>67</v>
      </c>
      <c r="B161" s="50" t="s">
        <v>270</v>
      </c>
    </row>
    <row r="162" spans="1:2">
      <c r="A162" s="47" t="s">
        <v>69</v>
      </c>
      <c r="B162" s="50" t="s">
        <v>271</v>
      </c>
    </row>
    <row r="163" spans="1:2">
      <c r="A163" s="47" t="s">
        <v>272</v>
      </c>
      <c r="B163" s="50" t="s">
        <v>273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A3" sqref="A3"/>
    </sheetView>
  </sheetViews>
  <sheetFormatPr defaultColWidth="8.8984375" defaultRowHeight="15.6"/>
  <cols>
    <col min="1" max="16384" width="8.8984375" style="1"/>
  </cols>
  <sheetData>
    <row r="1" spans="1:2">
      <c r="A1" s="5" t="s">
        <v>378</v>
      </c>
      <c r="B1" s="5" t="s">
        <v>379</v>
      </c>
    </row>
    <row r="2" spans="1:2">
      <c r="A2" s="1" t="s">
        <v>578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zoomScale="80" zoomScaleNormal="80" workbookViewId="0">
      <selection activeCell="A27" sqref="A27"/>
    </sheetView>
  </sheetViews>
  <sheetFormatPr defaultColWidth="8.8984375" defaultRowHeight="15.6"/>
  <cols>
    <col min="1" max="1" width="8.8984375" style="1"/>
    <col min="2" max="2" width="39.3984375" style="1" customWidth="1"/>
    <col min="3" max="3" width="31.59765625" style="1" customWidth="1"/>
    <col min="4" max="4" width="11.296875" style="1" customWidth="1"/>
    <col min="5" max="5" width="7.296875" style="1" customWidth="1"/>
    <col min="6" max="6" width="24.59765625" style="1" customWidth="1"/>
    <col min="7" max="7" width="52.59765625" style="1" customWidth="1"/>
    <col min="8" max="16384" width="8.8984375" style="1"/>
  </cols>
  <sheetData>
    <row r="1" spans="1:12">
      <c r="A1" s="2" t="s">
        <v>274</v>
      </c>
      <c r="B1" s="2" t="s">
        <v>275</v>
      </c>
      <c r="C1" s="2" t="s">
        <v>276</v>
      </c>
      <c r="D1" s="2" t="s">
        <v>277</v>
      </c>
      <c r="E1" s="2" t="s">
        <v>278</v>
      </c>
      <c r="F1" s="2" t="s">
        <v>279</v>
      </c>
      <c r="G1" s="2" t="s">
        <v>280</v>
      </c>
      <c r="H1" s="2" t="s">
        <v>281</v>
      </c>
      <c r="I1" s="2" t="s">
        <v>282</v>
      </c>
      <c r="J1" s="2" t="s">
        <v>283</v>
      </c>
      <c r="K1" s="2" t="s">
        <v>284</v>
      </c>
      <c r="L1" s="2" t="s">
        <v>285</v>
      </c>
    </row>
    <row r="2" spans="1:12">
      <c r="A2" s="1" t="s">
        <v>286</v>
      </c>
      <c r="B2" s="1" t="s">
        <v>287</v>
      </c>
      <c r="C2" s="1" t="s">
        <v>287</v>
      </c>
      <c r="D2" s="1">
        <v>1</v>
      </c>
      <c r="E2" s="1" t="s">
        <v>272</v>
      </c>
      <c r="G2" s="1" t="s">
        <v>288</v>
      </c>
      <c r="H2" s="1" t="s">
        <v>37</v>
      </c>
      <c r="I2" s="1" t="s">
        <v>37</v>
      </c>
      <c r="J2" s="1" t="s">
        <v>37</v>
      </c>
      <c r="K2" s="1" t="s">
        <v>37</v>
      </c>
      <c r="L2" s="1">
        <v>1</v>
      </c>
    </row>
    <row r="3" spans="1:12">
      <c r="A3" s="1" t="s">
        <v>289</v>
      </c>
      <c r="B3" s="1" t="s">
        <v>290</v>
      </c>
      <c r="C3" s="1" t="s">
        <v>290</v>
      </c>
      <c r="D3" s="1">
        <v>2</v>
      </c>
      <c r="E3" s="1" t="s">
        <v>286</v>
      </c>
      <c r="F3" t="s">
        <v>579</v>
      </c>
      <c r="G3" s="1" t="s">
        <v>291</v>
      </c>
      <c r="H3" s="1" t="s">
        <v>74</v>
      </c>
      <c r="I3" s="1" t="s">
        <v>37</v>
      </c>
      <c r="J3" s="1" t="s">
        <v>74</v>
      </c>
      <c r="K3" s="1" t="s">
        <v>37</v>
      </c>
      <c r="L3" s="1">
        <v>2</v>
      </c>
    </row>
    <row r="4" spans="1:12">
      <c r="A4" s="1" t="s">
        <v>292</v>
      </c>
      <c r="B4" s="1" t="s">
        <v>293</v>
      </c>
      <c r="C4" s="1" t="s">
        <v>290</v>
      </c>
      <c r="D4" s="1">
        <v>2</v>
      </c>
      <c r="E4" s="1" t="s">
        <v>289</v>
      </c>
      <c r="F4" s="1" t="s">
        <v>294</v>
      </c>
      <c r="G4" s="1" t="s">
        <v>295</v>
      </c>
      <c r="H4" s="1" t="s">
        <v>74</v>
      </c>
      <c r="I4" s="1" t="s">
        <v>37</v>
      </c>
      <c r="J4" s="1" t="s">
        <v>74</v>
      </c>
      <c r="K4" s="1" t="s">
        <v>74</v>
      </c>
      <c r="L4" s="1">
        <v>3</v>
      </c>
    </row>
    <row r="5" spans="1:12">
      <c r="A5" s="1" t="s">
        <v>296</v>
      </c>
      <c r="B5" s="1" t="s">
        <v>297</v>
      </c>
      <c r="C5" s="1" t="s">
        <v>290</v>
      </c>
      <c r="D5" s="1">
        <v>2</v>
      </c>
      <c r="E5" s="1" t="s">
        <v>289</v>
      </c>
      <c r="F5" t="s">
        <v>298</v>
      </c>
      <c r="G5" s="1" t="s">
        <v>299</v>
      </c>
      <c r="H5" s="1" t="s">
        <v>74</v>
      </c>
      <c r="I5" s="1" t="s">
        <v>37</v>
      </c>
      <c r="J5" s="1" t="s">
        <v>74</v>
      </c>
      <c r="K5" s="1" t="s">
        <v>37</v>
      </c>
      <c r="L5" s="1">
        <v>3</v>
      </c>
    </row>
    <row r="6" spans="1:12">
      <c r="A6" s="1" t="s">
        <v>300</v>
      </c>
      <c r="B6" s="1" t="s">
        <v>301</v>
      </c>
      <c r="C6" s="1" t="s">
        <v>301</v>
      </c>
      <c r="D6" s="1">
        <v>3</v>
      </c>
      <c r="E6" s="1" t="s">
        <v>286</v>
      </c>
      <c r="F6" s="1" t="s">
        <v>580</v>
      </c>
      <c r="G6" s="1" t="s">
        <v>302</v>
      </c>
      <c r="H6" s="1" t="s">
        <v>37</v>
      </c>
      <c r="I6" s="1" t="s">
        <v>37</v>
      </c>
      <c r="J6" s="1" t="s">
        <v>37</v>
      </c>
      <c r="K6" s="1" t="s">
        <v>37</v>
      </c>
      <c r="L6" s="1">
        <v>2</v>
      </c>
    </row>
    <row r="7" spans="1:12">
      <c r="A7" s="1" t="s">
        <v>303</v>
      </c>
      <c r="B7" s="1" t="s">
        <v>304</v>
      </c>
      <c r="C7" s="1" t="s">
        <v>301</v>
      </c>
      <c r="D7" s="1">
        <v>3</v>
      </c>
      <c r="E7" s="1" t="s">
        <v>305</v>
      </c>
      <c r="F7" t="s">
        <v>306</v>
      </c>
      <c r="G7" s="1" t="s">
        <v>307</v>
      </c>
      <c r="H7" s="1" t="s">
        <v>37</v>
      </c>
      <c r="I7" s="1" t="s">
        <v>37</v>
      </c>
      <c r="J7" s="1" t="s">
        <v>37</v>
      </c>
      <c r="K7" s="1" t="s">
        <v>74</v>
      </c>
      <c r="L7" s="1">
        <v>3</v>
      </c>
    </row>
    <row r="8" spans="1:12" s="40" customFormat="1">
      <c r="A8" s="40" t="s">
        <v>308</v>
      </c>
      <c r="B8" s="40" t="s">
        <v>581</v>
      </c>
      <c r="C8" s="1" t="s">
        <v>301</v>
      </c>
      <c r="D8" s="1">
        <v>3</v>
      </c>
      <c r="E8" s="40" t="s">
        <v>303</v>
      </c>
      <c r="F8" s="40" t="s">
        <v>310</v>
      </c>
      <c r="G8" s="40" t="s">
        <v>311</v>
      </c>
      <c r="H8" s="40" t="s">
        <v>37</v>
      </c>
      <c r="I8" s="40" t="s">
        <v>74</v>
      </c>
      <c r="J8" s="40" t="s">
        <v>37</v>
      </c>
      <c r="K8" s="40" t="s">
        <v>74</v>
      </c>
      <c r="L8" s="40">
        <v>4</v>
      </c>
    </row>
    <row r="9" spans="1:12" s="40" customFormat="1">
      <c r="A9" s="40" t="s">
        <v>312</v>
      </c>
      <c r="B9" s="40" t="s">
        <v>582</v>
      </c>
      <c r="C9" s="1" t="s">
        <v>301</v>
      </c>
      <c r="D9" s="1">
        <v>3</v>
      </c>
      <c r="E9" s="40" t="s">
        <v>303</v>
      </c>
      <c r="F9" s="40" t="s">
        <v>314</v>
      </c>
      <c r="G9" s="40" t="s">
        <v>315</v>
      </c>
      <c r="H9" s="40" t="s">
        <v>74</v>
      </c>
      <c r="I9" s="40" t="s">
        <v>37</v>
      </c>
      <c r="J9" s="40" t="s">
        <v>74</v>
      </c>
      <c r="K9" s="40" t="s">
        <v>37</v>
      </c>
      <c r="L9" s="40">
        <v>4</v>
      </c>
    </row>
    <row r="10" spans="1:12" s="40" customFormat="1">
      <c r="A10" s="40" t="s">
        <v>316</v>
      </c>
      <c r="B10" s="40" t="s">
        <v>583</v>
      </c>
      <c r="C10" s="1" t="s">
        <v>301</v>
      </c>
      <c r="D10" s="1">
        <v>3</v>
      </c>
      <c r="E10" s="40" t="s">
        <v>303</v>
      </c>
      <c r="F10" s="40" t="s">
        <v>318</v>
      </c>
      <c r="G10" s="40" t="s">
        <v>319</v>
      </c>
      <c r="H10" s="40" t="s">
        <v>37</v>
      </c>
      <c r="I10" s="40" t="s">
        <v>74</v>
      </c>
      <c r="J10" s="40" t="s">
        <v>37</v>
      </c>
      <c r="K10" s="40" t="s">
        <v>74</v>
      </c>
      <c r="L10" s="40">
        <v>4</v>
      </c>
    </row>
    <row r="11" spans="1:12" s="40" customFormat="1">
      <c r="A11" s="40" t="s">
        <v>320</v>
      </c>
      <c r="B11" s="43" t="s">
        <v>321</v>
      </c>
      <c r="C11" s="1" t="s">
        <v>301</v>
      </c>
      <c r="D11" s="1">
        <v>3</v>
      </c>
      <c r="E11" s="40" t="s">
        <v>303</v>
      </c>
      <c r="F11" s="41" t="s">
        <v>322</v>
      </c>
      <c r="G11" s="42" t="s">
        <v>323</v>
      </c>
      <c r="H11" s="40" t="s">
        <v>74</v>
      </c>
      <c r="I11" s="40" t="s">
        <v>74</v>
      </c>
      <c r="J11" s="40" t="s">
        <v>37</v>
      </c>
      <c r="K11" s="40" t="s">
        <v>74</v>
      </c>
      <c r="L11" s="40">
        <v>4</v>
      </c>
    </row>
    <row r="12" spans="1:12">
      <c r="A12" s="1" t="s">
        <v>324</v>
      </c>
      <c r="B12" s="1" t="s">
        <v>326</v>
      </c>
      <c r="C12" s="1" t="s">
        <v>326</v>
      </c>
      <c r="D12" s="1">
        <v>4</v>
      </c>
      <c r="E12" s="1" t="s">
        <v>286</v>
      </c>
      <c r="F12" t="s">
        <v>327</v>
      </c>
      <c r="G12" s="1" t="s">
        <v>328</v>
      </c>
      <c r="H12" s="1" t="s">
        <v>37</v>
      </c>
      <c r="I12" s="1" t="s">
        <v>37</v>
      </c>
      <c r="J12" s="1" t="s">
        <v>37</v>
      </c>
      <c r="K12" s="1" t="s">
        <v>74</v>
      </c>
      <c r="L12" s="1">
        <v>2</v>
      </c>
    </row>
    <row r="13" spans="1:12">
      <c r="A13" s="1" t="s">
        <v>325</v>
      </c>
      <c r="B13" s="1" t="s">
        <v>330</v>
      </c>
      <c r="C13" s="1" t="s">
        <v>326</v>
      </c>
      <c r="D13" s="1">
        <v>4</v>
      </c>
      <c r="E13" s="1" t="s">
        <v>324</v>
      </c>
      <c r="F13" s="1" t="s">
        <v>584</v>
      </c>
      <c r="G13" s="1" t="s">
        <v>331</v>
      </c>
      <c r="H13" s="1" t="s">
        <v>37</v>
      </c>
      <c r="I13" s="1" t="s">
        <v>37</v>
      </c>
      <c r="J13" s="1" t="s">
        <v>37</v>
      </c>
      <c r="K13" s="1" t="s">
        <v>74</v>
      </c>
      <c r="L13" s="1">
        <v>3</v>
      </c>
    </row>
    <row r="14" spans="1:12">
      <c r="A14" s="1" t="s">
        <v>329</v>
      </c>
      <c r="B14" s="1" t="s">
        <v>333</v>
      </c>
      <c r="C14" s="1" t="s">
        <v>326</v>
      </c>
      <c r="D14" s="1">
        <v>4</v>
      </c>
      <c r="E14" s="1" t="s">
        <v>324</v>
      </c>
      <c r="F14" t="s">
        <v>334</v>
      </c>
      <c r="G14" s="1" t="s">
        <v>335</v>
      </c>
      <c r="H14" s="1" t="s">
        <v>74</v>
      </c>
      <c r="I14" s="1" t="s">
        <v>37</v>
      </c>
      <c r="J14" s="1" t="s">
        <v>37</v>
      </c>
      <c r="K14" s="1" t="s">
        <v>74</v>
      </c>
      <c r="L14" s="1">
        <v>3</v>
      </c>
    </row>
    <row r="15" spans="1:12">
      <c r="A15" s="1" t="s">
        <v>332</v>
      </c>
      <c r="B15" s="1" t="s">
        <v>585</v>
      </c>
      <c r="C15" s="1" t="s">
        <v>326</v>
      </c>
      <c r="D15" s="1">
        <v>4</v>
      </c>
      <c r="E15" s="1" t="s">
        <v>324</v>
      </c>
      <c r="F15" s="1" t="s">
        <v>586</v>
      </c>
      <c r="G15" s="1" t="s">
        <v>587</v>
      </c>
      <c r="H15" s="1" t="s">
        <v>74</v>
      </c>
      <c r="I15" s="1" t="s">
        <v>74</v>
      </c>
      <c r="J15" s="1" t="s">
        <v>37</v>
      </c>
      <c r="K15" s="1" t="s">
        <v>74</v>
      </c>
      <c r="L15" s="1">
        <v>4</v>
      </c>
    </row>
    <row r="16" spans="1:12">
      <c r="A16" s="1" t="s">
        <v>336</v>
      </c>
      <c r="B16" s="1" t="s">
        <v>337</v>
      </c>
      <c r="C16" s="1" t="s">
        <v>326</v>
      </c>
      <c r="D16" s="1">
        <v>4</v>
      </c>
      <c r="E16" s="1" t="s">
        <v>324</v>
      </c>
      <c r="F16" s="1" t="s">
        <v>338</v>
      </c>
      <c r="G16" s="1" t="s">
        <v>339</v>
      </c>
      <c r="H16" s="1" t="s">
        <v>74</v>
      </c>
      <c r="I16" s="1" t="s">
        <v>37</v>
      </c>
      <c r="J16" s="1" t="s">
        <v>37</v>
      </c>
      <c r="K16" s="1" t="s">
        <v>74</v>
      </c>
      <c r="L16" s="1">
        <v>3</v>
      </c>
    </row>
    <row r="17" spans="1:14">
      <c r="A17" s="1" t="s">
        <v>340</v>
      </c>
      <c r="B17" s="39" t="s">
        <v>341</v>
      </c>
      <c r="C17" s="1" t="s">
        <v>342</v>
      </c>
      <c r="D17" s="1">
        <v>5</v>
      </c>
      <c r="E17" s="1" t="s">
        <v>324</v>
      </c>
      <c r="F17" s="38" t="s">
        <v>343</v>
      </c>
      <c r="G17" s="34" t="s">
        <v>344</v>
      </c>
      <c r="H17" s="1" t="s">
        <v>74</v>
      </c>
      <c r="I17" s="1" t="s">
        <v>37</v>
      </c>
      <c r="J17" s="1" t="s">
        <v>74</v>
      </c>
      <c r="K17" s="1" t="s">
        <v>74</v>
      </c>
      <c r="L17" s="1">
        <v>3</v>
      </c>
    </row>
    <row r="18" spans="1:14">
      <c r="A18" s="1" t="s">
        <v>345</v>
      </c>
      <c r="B18" s="1" t="s">
        <v>346</v>
      </c>
      <c r="C18" s="1" t="s">
        <v>346</v>
      </c>
      <c r="D18" s="1">
        <v>5</v>
      </c>
      <c r="E18" s="1" t="s">
        <v>286</v>
      </c>
      <c r="F18" t="s">
        <v>347</v>
      </c>
      <c r="G18" s="1" t="s">
        <v>348</v>
      </c>
      <c r="H18" s="1" t="s">
        <v>37</v>
      </c>
      <c r="I18" s="1" t="s">
        <v>37</v>
      </c>
      <c r="J18" s="1" t="s">
        <v>74</v>
      </c>
      <c r="K18" s="1" t="s">
        <v>37</v>
      </c>
      <c r="L18" s="1">
        <v>2</v>
      </c>
    </row>
    <row r="19" spans="1:14">
      <c r="A19" s="1" t="s">
        <v>349</v>
      </c>
      <c r="B19" s="1" t="s">
        <v>350</v>
      </c>
      <c r="C19" s="1" t="s">
        <v>346</v>
      </c>
      <c r="D19" s="1">
        <v>5</v>
      </c>
      <c r="E19" s="1" t="s">
        <v>345</v>
      </c>
      <c r="F19" t="s">
        <v>351</v>
      </c>
      <c r="G19" s="1" t="s">
        <v>352</v>
      </c>
      <c r="H19" s="1" t="s">
        <v>74</v>
      </c>
      <c r="I19" s="1" t="s">
        <v>37</v>
      </c>
      <c r="J19" s="1" t="s">
        <v>74</v>
      </c>
      <c r="K19" s="1" t="s">
        <v>37</v>
      </c>
      <c r="L19" s="1">
        <v>3</v>
      </c>
    </row>
    <row r="20" spans="1:14">
      <c r="A20" s="1" t="s">
        <v>353</v>
      </c>
      <c r="B20" s="1" t="s">
        <v>354</v>
      </c>
      <c r="C20" s="1" t="s">
        <v>346</v>
      </c>
      <c r="D20" s="1">
        <v>5</v>
      </c>
      <c r="E20" s="1" t="s">
        <v>345</v>
      </c>
      <c r="F20" s="1" t="s">
        <v>355</v>
      </c>
      <c r="G20" s="1" t="s">
        <v>356</v>
      </c>
      <c r="H20" s="1" t="s">
        <v>37</v>
      </c>
      <c r="I20" s="1" t="s">
        <v>74</v>
      </c>
      <c r="J20" s="1" t="s">
        <v>74</v>
      </c>
      <c r="K20" s="1" t="s">
        <v>74</v>
      </c>
      <c r="L20" s="1">
        <v>3</v>
      </c>
    </row>
    <row r="21" spans="1:14">
      <c r="A21" s="1" t="s">
        <v>357</v>
      </c>
      <c r="B21" s="1" t="s">
        <v>358</v>
      </c>
      <c r="C21" s="1" t="s">
        <v>358</v>
      </c>
      <c r="D21" s="1">
        <v>6</v>
      </c>
      <c r="E21" s="1" t="s">
        <v>286</v>
      </c>
      <c r="F21" s="1" t="s">
        <v>588</v>
      </c>
      <c r="G21" s="34" t="s">
        <v>359</v>
      </c>
      <c r="H21" s="1" t="s">
        <v>360</v>
      </c>
      <c r="I21" s="1" t="s">
        <v>37</v>
      </c>
      <c r="J21" s="1" t="s">
        <v>37</v>
      </c>
      <c r="K21" s="1" t="s">
        <v>74</v>
      </c>
      <c r="L21" s="1">
        <v>2</v>
      </c>
    </row>
    <row r="22" spans="1:14">
      <c r="A22" s="1" t="s">
        <v>361</v>
      </c>
      <c r="B22" s="1" t="s">
        <v>362</v>
      </c>
      <c r="C22" s="1" t="s">
        <v>362</v>
      </c>
      <c r="D22" s="1">
        <v>7</v>
      </c>
      <c r="E22" s="1" t="s">
        <v>286</v>
      </c>
      <c r="F22" s="35" t="s">
        <v>363</v>
      </c>
      <c r="G22" s="34" t="s">
        <v>364</v>
      </c>
      <c r="H22" s="1" t="s">
        <v>360</v>
      </c>
      <c r="I22" s="1" t="s">
        <v>74</v>
      </c>
      <c r="J22" s="1" t="s">
        <v>74</v>
      </c>
      <c r="K22" s="1" t="s">
        <v>37</v>
      </c>
      <c r="L22" s="1">
        <v>2</v>
      </c>
    </row>
    <row r="23" spans="1:14">
      <c r="A23" s="1" t="s">
        <v>365</v>
      </c>
      <c r="B23" s="1" t="s">
        <v>589</v>
      </c>
      <c r="C23" s="1" t="s">
        <v>362</v>
      </c>
      <c r="D23" s="1">
        <v>7</v>
      </c>
      <c r="E23" s="1" t="s">
        <v>361</v>
      </c>
      <c r="F23" s="35" t="s">
        <v>590</v>
      </c>
      <c r="G23" s="34" t="s">
        <v>591</v>
      </c>
      <c r="H23" s="1" t="s">
        <v>74</v>
      </c>
      <c r="I23" s="1" t="s">
        <v>74</v>
      </c>
      <c r="J23" s="1" t="s">
        <v>74</v>
      </c>
      <c r="K23" s="1" t="s">
        <v>37</v>
      </c>
      <c r="L23" s="1">
        <v>3</v>
      </c>
    </row>
    <row r="24" spans="1:14">
      <c r="A24" s="1" t="s">
        <v>369</v>
      </c>
      <c r="B24" s="1" t="s">
        <v>366</v>
      </c>
      <c r="C24" s="1" t="s">
        <v>366</v>
      </c>
      <c r="D24" s="1">
        <v>8</v>
      </c>
      <c r="E24" s="1" t="s">
        <v>286</v>
      </c>
      <c r="F24" s="36" t="s">
        <v>367</v>
      </c>
      <c r="G24" s="34" t="s">
        <v>368</v>
      </c>
      <c r="H24" s="1" t="s">
        <v>74</v>
      </c>
      <c r="I24" s="1" t="s">
        <v>37</v>
      </c>
      <c r="J24" s="1" t="s">
        <v>74</v>
      </c>
      <c r="K24" s="1" t="s">
        <v>37</v>
      </c>
      <c r="L24" s="1">
        <v>2</v>
      </c>
    </row>
    <row r="25" spans="1:14">
      <c r="A25" s="1" t="s">
        <v>373</v>
      </c>
      <c r="B25" s="1" t="s">
        <v>370</v>
      </c>
      <c r="C25" s="1" t="s">
        <v>366</v>
      </c>
      <c r="D25" s="1">
        <v>8</v>
      </c>
      <c r="E25" s="1" t="s">
        <v>369</v>
      </c>
      <c r="F25" s="37" t="s">
        <v>371</v>
      </c>
      <c r="G25" s="34" t="s">
        <v>372</v>
      </c>
      <c r="H25" s="1" t="s">
        <v>74</v>
      </c>
      <c r="I25" s="1" t="s">
        <v>37</v>
      </c>
      <c r="J25" s="1" t="s">
        <v>74</v>
      </c>
      <c r="K25" s="1" t="s">
        <v>37</v>
      </c>
      <c r="L25" s="1">
        <v>3</v>
      </c>
    </row>
    <row r="26" spans="1:14">
      <c r="A26" s="1" t="s">
        <v>592</v>
      </c>
      <c r="B26" s="1" t="s">
        <v>374</v>
      </c>
      <c r="C26" s="1" t="s">
        <v>366</v>
      </c>
      <c r="D26" s="1">
        <v>8</v>
      </c>
      <c r="E26" s="1" t="s">
        <v>373</v>
      </c>
      <c r="F26" s="1" t="s">
        <v>375</v>
      </c>
      <c r="G26" s="6" t="s">
        <v>376</v>
      </c>
      <c r="H26" s="1" t="s">
        <v>74</v>
      </c>
      <c r="I26" s="1" t="s">
        <v>37</v>
      </c>
      <c r="J26" s="1" t="s">
        <v>74</v>
      </c>
      <c r="K26" s="1" t="s">
        <v>377</v>
      </c>
      <c r="L26" s="1">
        <v>4</v>
      </c>
    </row>
    <row r="27" spans="1:14" s="40" customFormat="1">
      <c r="F27" s="41"/>
      <c r="G27" s="42"/>
    </row>
    <row r="28" spans="1:14" s="40" customFormat="1">
      <c r="F28" s="41"/>
      <c r="G28" s="42"/>
    </row>
    <row r="29" spans="1:14" s="40" customFormat="1">
      <c r="F29" s="41"/>
      <c r="G29" s="42"/>
    </row>
    <row r="30" spans="1:14" s="40" customFormat="1">
      <c r="B30" s="41"/>
      <c r="F30" s="41"/>
      <c r="G30" s="42"/>
    </row>
    <row r="31" spans="1:14" s="40" customFormat="1">
      <c r="F31" s="41"/>
      <c r="G31" s="42"/>
    </row>
    <row r="32" spans="1:14" s="40" customFormat="1">
      <c r="B32" s="41"/>
      <c r="F32" s="41"/>
      <c r="G32" s="42"/>
      <c r="N32" s="42"/>
    </row>
    <row r="33" spans="2:7" s="40" customFormat="1">
      <c r="B33" s="41"/>
      <c r="F33" s="41"/>
      <c r="G33" s="42"/>
    </row>
    <row r="34" spans="2:7" s="40" customFormat="1"/>
    <row r="35" spans="2:7" s="40" customFormat="1">
      <c r="G35" s="42"/>
    </row>
    <row r="36" spans="2:7" s="40" customFormat="1"/>
    <row r="37" spans="2:7" s="40" customFormat="1">
      <c r="B37" s="44"/>
      <c r="F37" s="45"/>
      <c r="G37" s="42"/>
    </row>
  </sheetData>
  <hyperlinks>
    <hyperlink ref="G21" r:id="rId1"/>
    <hyperlink ref="G22" r:id="rId2"/>
    <hyperlink ref="G24" r:id="rId3"/>
    <hyperlink ref="G25" r:id="rId4"/>
    <hyperlink ref="G11" r:id="rId5"/>
    <hyperlink ref="G17" r:id="rId6"/>
    <hyperlink ref="G26" r:id="rId7"/>
  </hyperlinks>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1"/>
  <sheetViews>
    <sheetView tabSelected="1" zoomScale="80" zoomScaleNormal="80" workbookViewId="0">
      <pane xSplit="5" ySplit="1" topLeftCell="F2" activePane="bottomRight" state="frozen"/>
      <selection pane="topRight" activeCell="E1" sqref="E1"/>
      <selection pane="bottomLeft" activeCell="A2" sqref="A2"/>
      <selection pane="bottomRight" activeCell="F2" sqref="F2"/>
    </sheetView>
  </sheetViews>
  <sheetFormatPr defaultColWidth="8.8984375" defaultRowHeight="15.6"/>
  <cols>
    <col min="1" max="1" width="9.8984375" style="1" bestFit="1" customWidth="1"/>
    <col min="2" max="2" width="29.09765625" style="1" customWidth="1"/>
    <col min="3" max="4" width="17.3984375" style="1" customWidth="1"/>
    <col min="5" max="5" width="14.19921875" style="1" customWidth="1"/>
    <col min="6" max="6" width="30.59765625" style="1" customWidth="1"/>
    <col min="7" max="7" width="19.796875" style="1" customWidth="1"/>
    <col min="8" max="8" width="16.09765625" style="1" bestFit="1" customWidth="1"/>
    <col min="9" max="9" width="46.3984375" style="1" customWidth="1"/>
    <col min="10" max="19" width="8.8984375" style="1"/>
    <col min="20" max="20" width="15.19921875" style="1" customWidth="1"/>
    <col min="21" max="16384" width="8.8984375" style="1"/>
  </cols>
  <sheetData>
    <row r="1" spans="1:23">
      <c r="A1" s="3" t="s">
        <v>380</v>
      </c>
      <c r="B1" s="3" t="s">
        <v>381</v>
      </c>
      <c r="C1" s="3" t="s">
        <v>275</v>
      </c>
      <c r="D1" s="3" t="s">
        <v>274</v>
      </c>
      <c r="E1" s="3" t="s">
        <v>382</v>
      </c>
      <c r="F1" s="3" t="s">
        <v>383</v>
      </c>
      <c r="G1" s="3" t="s">
        <v>276</v>
      </c>
      <c r="H1" s="3" t="s">
        <v>277</v>
      </c>
      <c r="I1" s="3" t="s">
        <v>280</v>
      </c>
      <c r="J1" s="3" t="s">
        <v>8</v>
      </c>
      <c r="K1" s="3" t="s">
        <v>15</v>
      </c>
      <c r="L1" s="3" t="s">
        <v>27</v>
      </c>
      <c r="M1" s="3" t="s">
        <v>39</v>
      </c>
      <c r="N1" s="3" t="s">
        <v>594</v>
      </c>
      <c r="O1" s="3" t="s">
        <v>56</v>
      </c>
      <c r="P1" s="3" t="s">
        <v>65</v>
      </c>
      <c r="Q1" s="3" t="s">
        <v>73</v>
      </c>
      <c r="R1" s="3" t="s">
        <v>80</v>
      </c>
      <c r="S1" s="3" t="s">
        <v>384</v>
      </c>
      <c r="T1" s="3" t="s">
        <v>94</v>
      </c>
      <c r="U1" s="3" t="s">
        <v>99</v>
      </c>
      <c r="V1" s="3" t="s">
        <v>112</v>
      </c>
      <c r="W1" s="1" t="s">
        <v>637</v>
      </c>
    </row>
    <row r="2" spans="1:23">
      <c r="A2" s="1" t="s">
        <v>160</v>
      </c>
      <c r="B2" s="1" t="s">
        <v>385</v>
      </c>
      <c r="C2" s="1" t="s">
        <v>309</v>
      </c>
      <c r="D2" s="1" t="s">
        <v>308</v>
      </c>
      <c r="E2" s="1" t="s">
        <v>601</v>
      </c>
      <c r="F2" s="1" t="str">
        <f>CONCATENATE(E2,": ",B2)</f>
        <v>WDEQ: Gillette-Madison Well Field Project</v>
      </c>
      <c r="G2" s="1" t="s">
        <v>301</v>
      </c>
      <c r="H2" s="11">
        <v>3</v>
      </c>
      <c r="I2" s="6" t="s">
        <v>386</v>
      </c>
      <c r="J2" s="1" t="s">
        <v>11</v>
      </c>
      <c r="K2" s="1" t="s">
        <v>17</v>
      </c>
      <c r="L2" s="1" t="s">
        <v>37</v>
      </c>
      <c r="M2" s="1" t="s">
        <v>46</v>
      </c>
      <c r="N2" s="1" t="s">
        <v>101</v>
      </c>
      <c r="O2" s="1" t="s">
        <v>387</v>
      </c>
      <c r="P2" s="1" t="s">
        <v>67</v>
      </c>
      <c r="Q2" s="1" t="s">
        <v>124</v>
      </c>
      <c r="R2" s="1" t="s">
        <v>83</v>
      </c>
      <c r="S2" s="1" t="s">
        <v>437</v>
      </c>
      <c r="T2" s="1" t="s">
        <v>74</v>
      </c>
      <c r="U2" s="1" t="s">
        <v>6</v>
      </c>
      <c r="V2" s="1" t="s">
        <v>595</v>
      </c>
    </row>
    <row r="3" spans="1:23">
      <c r="A3" s="1" t="s">
        <v>164</v>
      </c>
      <c r="B3" s="1" t="s">
        <v>388</v>
      </c>
      <c r="C3" s="1" t="s">
        <v>309</v>
      </c>
      <c r="D3" s="1" t="s">
        <v>308</v>
      </c>
      <c r="E3" s="1" t="s">
        <v>601</v>
      </c>
      <c r="F3" s="1" t="str">
        <f>CONCATENATE(E3,": ",B3)</f>
        <v>WDEQ: Pavillion Investigation</v>
      </c>
      <c r="G3" s="1" t="s">
        <v>301</v>
      </c>
      <c r="H3" s="11">
        <v>3</v>
      </c>
      <c r="I3" s="6" t="s">
        <v>389</v>
      </c>
      <c r="J3" s="1" t="s">
        <v>11</v>
      </c>
      <c r="K3" s="1" t="s">
        <v>23</v>
      </c>
      <c r="L3" s="1" t="s">
        <v>37</v>
      </c>
      <c r="M3" s="1" t="s">
        <v>46</v>
      </c>
      <c r="N3" s="1" t="s">
        <v>101</v>
      </c>
      <c r="O3" s="1" t="s">
        <v>124</v>
      </c>
      <c r="P3" s="1" t="s">
        <v>67</v>
      </c>
      <c r="Q3" s="1" t="s">
        <v>127</v>
      </c>
      <c r="R3" s="1" t="s">
        <v>37</v>
      </c>
      <c r="S3" s="1" t="s">
        <v>437</v>
      </c>
      <c r="T3" s="1" t="s">
        <v>74</v>
      </c>
      <c r="U3" s="1" t="s">
        <v>456</v>
      </c>
      <c r="V3" s="1" t="s">
        <v>595</v>
      </c>
    </row>
    <row r="4" spans="1:23">
      <c r="A4" s="1" t="s">
        <v>168</v>
      </c>
      <c r="B4" s="1" t="s">
        <v>390</v>
      </c>
      <c r="C4" s="1" t="s">
        <v>309</v>
      </c>
      <c r="D4" s="1" t="s">
        <v>308</v>
      </c>
      <c r="E4" s="1" t="s">
        <v>601</v>
      </c>
      <c r="F4" s="1" t="str">
        <f>CONCATENATE(E4,": ",B4)</f>
        <v>WDEQ: GEM Database</v>
      </c>
      <c r="G4" s="1" t="s">
        <v>301</v>
      </c>
      <c r="H4" s="11">
        <v>3</v>
      </c>
      <c r="I4" s="6" t="s">
        <v>391</v>
      </c>
      <c r="J4" s="1" t="s">
        <v>9</v>
      </c>
      <c r="K4" s="1" t="s">
        <v>6</v>
      </c>
      <c r="L4" s="1" t="s">
        <v>29</v>
      </c>
      <c r="M4" s="1" t="s">
        <v>6</v>
      </c>
      <c r="N4" s="1" t="s">
        <v>101</v>
      </c>
      <c r="O4" s="1" t="s">
        <v>123</v>
      </c>
      <c r="P4" s="1" t="s">
        <v>6</v>
      </c>
      <c r="Q4" s="1" t="s">
        <v>123</v>
      </c>
      <c r="R4" s="1" t="s">
        <v>6</v>
      </c>
      <c r="S4" s="1" t="s">
        <v>6</v>
      </c>
      <c r="T4" s="1" t="s">
        <v>6</v>
      </c>
      <c r="U4" s="1" t="s">
        <v>6</v>
      </c>
      <c r="V4" s="1" t="s">
        <v>6</v>
      </c>
    </row>
    <row r="5" spans="1:23">
      <c r="A5" s="1" t="s">
        <v>170</v>
      </c>
      <c r="B5" s="1" t="s">
        <v>392</v>
      </c>
      <c r="C5" s="1" t="s">
        <v>309</v>
      </c>
      <c r="D5" s="1" t="s">
        <v>308</v>
      </c>
      <c r="E5" s="1" t="s">
        <v>601</v>
      </c>
      <c r="F5" s="1" t="str">
        <f>CONCATENATE(E5,": ",B5)</f>
        <v>WDEQ: Monitoring Data</v>
      </c>
      <c r="G5" s="1" t="s">
        <v>301</v>
      </c>
      <c r="H5" s="11">
        <v>3</v>
      </c>
      <c r="I5" s="1" t="s">
        <v>393</v>
      </c>
      <c r="J5" s="1" t="s">
        <v>11</v>
      </c>
      <c r="K5" s="1" t="s">
        <v>23</v>
      </c>
      <c r="L5" s="1" t="s">
        <v>37</v>
      </c>
      <c r="M5" s="1" t="s">
        <v>597</v>
      </c>
      <c r="N5" s="1" t="s">
        <v>101</v>
      </c>
      <c r="O5" s="1" t="s">
        <v>599</v>
      </c>
      <c r="P5" s="1" t="s">
        <v>67</v>
      </c>
      <c r="Q5" s="1" t="s">
        <v>598</v>
      </c>
      <c r="R5" s="1" t="s">
        <v>37</v>
      </c>
      <c r="S5" s="1" t="s">
        <v>394</v>
      </c>
      <c r="T5" s="1" t="s">
        <v>37</v>
      </c>
      <c r="U5" s="1" t="s">
        <v>456</v>
      </c>
      <c r="V5" s="1" t="s">
        <v>595</v>
      </c>
    </row>
    <row r="6" spans="1:23">
      <c r="A6" s="1" t="s">
        <v>172</v>
      </c>
      <c r="B6" s="1" t="s">
        <v>395</v>
      </c>
      <c r="C6" s="1" t="s">
        <v>313</v>
      </c>
      <c r="D6" s="1" t="s">
        <v>312</v>
      </c>
      <c r="E6" s="1" t="s">
        <v>601</v>
      </c>
      <c r="F6" s="1" t="str">
        <f>CONCATENATE(E6,": ",B6)</f>
        <v>WDEQ: Nonpoint Source Projects</v>
      </c>
      <c r="G6" s="1" t="s">
        <v>301</v>
      </c>
      <c r="H6" s="11">
        <v>3</v>
      </c>
      <c r="I6" s="6" t="s">
        <v>396</v>
      </c>
      <c r="J6" s="1" t="s">
        <v>9</v>
      </c>
      <c r="K6" s="1" t="s">
        <v>17</v>
      </c>
      <c r="L6" s="1" t="s">
        <v>37</v>
      </c>
      <c r="M6" s="1" t="s">
        <v>46</v>
      </c>
      <c r="N6" s="1" t="s">
        <v>101</v>
      </c>
      <c r="O6" s="1" t="s">
        <v>124</v>
      </c>
      <c r="P6" s="1" t="s">
        <v>71</v>
      </c>
      <c r="Q6" s="1" t="s">
        <v>127</v>
      </c>
      <c r="R6" s="1" t="s">
        <v>83</v>
      </c>
      <c r="S6" s="1" t="s">
        <v>437</v>
      </c>
      <c r="T6" s="1" t="s">
        <v>74</v>
      </c>
      <c r="U6" s="1" t="s">
        <v>103</v>
      </c>
      <c r="V6" s="1" t="s">
        <v>117</v>
      </c>
    </row>
    <row r="7" spans="1:23">
      <c r="A7" s="1" t="s">
        <v>174</v>
      </c>
      <c r="B7" s="1" t="s">
        <v>398</v>
      </c>
      <c r="C7" s="1" t="s">
        <v>313</v>
      </c>
      <c r="D7" s="1" t="s">
        <v>312</v>
      </c>
      <c r="E7" s="1" t="s">
        <v>601</v>
      </c>
      <c r="F7" s="1" t="str">
        <f>CONCATENATE(E7,": ",B7)</f>
        <v>WDEQ: Waterbody Assessment Reports</v>
      </c>
      <c r="G7" s="1" t="s">
        <v>301</v>
      </c>
      <c r="H7" s="11">
        <v>3</v>
      </c>
      <c r="I7" s="6" t="s">
        <v>399</v>
      </c>
      <c r="J7" s="1" t="s">
        <v>9</v>
      </c>
      <c r="K7" s="1" t="s">
        <v>17</v>
      </c>
      <c r="L7" s="1" t="s">
        <v>37</v>
      </c>
      <c r="M7" s="1" t="s">
        <v>46</v>
      </c>
      <c r="N7" s="1" t="s">
        <v>101</v>
      </c>
      <c r="O7" s="1" t="s">
        <v>124</v>
      </c>
      <c r="P7" s="1" t="s">
        <v>67</v>
      </c>
      <c r="Q7" s="1" t="s">
        <v>127</v>
      </c>
      <c r="R7" s="1" t="s">
        <v>37</v>
      </c>
      <c r="S7" s="1" t="s">
        <v>90</v>
      </c>
      <c r="T7" s="1" t="s">
        <v>74</v>
      </c>
      <c r="U7" s="1" t="s">
        <v>104</v>
      </c>
      <c r="V7" s="1" t="s">
        <v>117</v>
      </c>
    </row>
    <row r="8" spans="1:23">
      <c r="A8" s="1" t="s">
        <v>176</v>
      </c>
      <c r="B8" s="1" t="s">
        <v>400</v>
      </c>
      <c r="C8" s="1" t="s">
        <v>313</v>
      </c>
      <c r="D8" s="1" t="s">
        <v>312</v>
      </c>
      <c r="E8" s="1" t="s">
        <v>601</v>
      </c>
      <c r="F8" s="1" t="str">
        <f>CONCATENATE(E8,": ",B8)</f>
        <v>WDEQ: TMDL Completed Projects</v>
      </c>
      <c r="G8" s="1" t="s">
        <v>301</v>
      </c>
      <c r="H8" s="11">
        <v>3</v>
      </c>
      <c r="I8" s="6" t="s">
        <v>401</v>
      </c>
      <c r="J8" s="1" t="s">
        <v>9</v>
      </c>
      <c r="K8" s="1" t="s">
        <v>17</v>
      </c>
      <c r="L8" s="1" t="s">
        <v>37</v>
      </c>
      <c r="M8" s="1" t="s">
        <v>46</v>
      </c>
      <c r="N8" s="1" t="s">
        <v>101</v>
      </c>
      <c r="O8" s="1" t="s">
        <v>124</v>
      </c>
      <c r="P8" s="1" t="s">
        <v>37</v>
      </c>
      <c r="Q8" s="1" t="s">
        <v>127</v>
      </c>
      <c r="R8" s="1" t="s">
        <v>37</v>
      </c>
      <c r="S8" s="1" t="s">
        <v>90</v>
      </c>
      <c r="T8" s="1" t="s">
        <v>74</v>
      </c>
      <c r="U8" s="1" t="s">
        <v>456</v>
      </c>
      <c r="V8" s="1" t="s">
        <v>117</v>
      </c>
    </row>
    <row r="9" spans="1:23">
      <c r="A9" s="1" t="s">
        <v>178</v>
      </c>
      <c r="B9" s="1" t="s">
        <v>402</v>
      </c>
      <c r="C9" s="1" t="s">
        <v>313</v>
      </c>
      <c r="D9" s="1" t="s">
        <v>312</v>
      </c>
      <c r="E9" s="1" t="s">
        <v>601</v>
      </c>
      <c r="F9" s="1" t="str">
        <f>CONCATENATE(E9,": ",B9)</f>
        <v>WDEQ: Water Quality Assessment Reports</v>
      </c>
      <c r="G9" s="1" t="s">
        <v>301</v>
      </c>
      <c r="H9" s="11">
        <v>3</v>
      </c>
      <c r="I9" s="6" t="s">
        <v>403</v>
      </c>
      <c r="J9" s="1" t="s">
        <v>9</v>
      </c>
      <c r="K9" s="1" t="s">
        <v>17</v>
      </c>
      <c r="L9" s="1" t="s">
        <v>37</v>
      </c>
      <c r="M9" s="1" t="s">
        <v>46</v>
      </c>
      <c r="N9" s="1" t="s">
        <v>101</v>
      </c>
      <c r="O9" s="1" t="s">
        <v>404</v>
      </c>
      <c r="P9" s="1" t="s">
        <v>67</v>
      </c>
      <c r="Q9" s="1" t="s">
        <v>127</v>
      </c>
      <c r="R9" s="1" t="s">
        <v>37</v>
      </c>
      <c r="S9" s="1" t="s">
        <v>394</v>
      </c>
      <c r="T9" s="1" t="s">
        <v>74</v>
      </c>
      <c r="U9" s="1" t="s">
        <v>456</v>
      </c>
      <c r="V9" s="1" t="s">
        <v>119</v>
      </c>
    </row>
    <row r="10" spans="1:23">
      <c r="A10" s="1" t="s">
        <v>180</v>
      </c>
      <c r="B10" s="1" t="s">
        <v>405</v>
      </c>
      <c r="C10" s="1" t="s">
        <v>317</v>
      </c>
      <c r="D10" s="1" t="s">
        <v>316</v>
      </c>
      <c r="E10" s="1" t="s">
        <v>601</v>
      </c>
      <c r="F10" s="1" t="str">
        <f>CONCATENATE(E10,": ",B10)</f>
        <v>WDEQ: Authorized Permit Archive</v>
      </c>
      <c r="G10" s="1" t="s">
        <v>301</v>
      </c>
      <c r="H10" s="11">
        <v>3</v>
      </c>
      <c r="I10" s="1" t="s">
        <v>406</v>
      </c>
      <c r="J10" s="1" t="s">
        <v>9</v>
      </c>
      <c r="K10" s="1" t="s">
        <v>23</v>
      </c>
      <c r="L10" s="1" t="s">
        <v>37</v>
      </c>
      <c r="M10" s="1" t="s">
        <v>46</v>
      </c>
      <c r="N10" s="1" t="s">
        <v>101</v>
      </c>
      <c r="O10" s="1" t="s">
        <v>124</v>
      </c>
      <c r="P10" s="1" t="s">
        <v>67</v>
      </c>
      <c r="Q10" s="1" t="s">
        <v>127</v>
      </c>
      <c r="R10" s="1" t="s">
        <v>74</v>
      </c>
      <c r="S10" s="1" t="s">
        <v>90</v>
      </c>
      <c r="T10" s="1" t="s">
        <v>74</v>
      </c>
      <c r="U10" s="1" t="s">
        <v>456</v>
      </c>
      <c r="V10" s="1" t="s">
        <v>119</v>
      </c>
    </row>
    <row r="11" spans="1:23">
      <c r="A11" s="1" t="s">
        <v>184</v>
      </c>
      <c r="B11" s="1" t="s">
        <v>407</v>
      </c>
      <c r="C11" s="51" t="s">
        <v>341</v>
      </c>
      <c r="D11" s="1" t="s">
        <v>340</v>
      </c>
      <c r="E11" s="1" t="s">
        <v>602</v>
      </c>
      <c r="F11" s="1" t="str">
        <f>CONCATENATE(E11,": ",B11)</f>
        <v>SNOW: NRCS Snowdata and Reporting</v>
      </c>
      <c r="G11" s="1" t="s">
        <v>326</v>
      </c>
      <c r="H11" s="11">
        <v>4</v>
      </c>
      <c r="I11" s="6" t="s">
        <v>408</v>
      </c>
      <c r="J11" s="1" t="s">
        <v>11</v>
      </c>
      <c r="K11" s="1" t="s">
        <v>17</v>
      </c>
      <c r="L11" s="1" t="s">
        <v>37</v>
      </c>
      <c r="M11" s="1" t="s">
        <v>44</v>
      </c>
      <c r="N11" s="1" t="s">
        <v>603</v>
      </c>
      <c r="O11" s="1" t="s">
        <v>123</v>
      </c>
      <c r="P11" s="1" t="s">
        <v>123</v>
      </c>
      <c r="Q11" s="1" t="s">
        <v>123</v>
      </c>
      <c r="R11" s="1" t="s">
        <v>123</v>
      </c>
      <c r="S11" s="1" t="s">
        <v>6</v>
      </c>
      <c r="T11" s="1" t="s">
        <v>6</v>
      </c>
      <c r="U11" s="1" t="s">
        <v>110</v>
      </c>
      <c r="V11" s="1" t="s">
        <v>119</v>
      </c>
    </row>
    <row r="12" spans="1:23">
      <c r="A12" s="1" t="s">
        <v>186</v>
      </c>
      <c r="B12" s="1" t="s">
        <v>409</v>
      </c>
      <c r="C12" s="51" t="s">
        <v>341</v>
      </c>
      <c r="D12" s="1" t="s">
        <v>340</v>
      </c>
      <c r="E12" s="1" t="s">
        <v>602</v>
      </c>
      <c r="F12" s="1" t="str">
        <f>CONCATENATE(E12,": ",B12)</f>
        <v xml:space="preserve">SNOW: SEO Snowpack Report by Drainage </v>
      </c>
      <c r="G12" s="1" t="s">
        <v>326</v>
      </c>
      <c r="H12" s="11">
        <v>4</v>
      </c>
      <c r="I12" s="6" t="s">
        <v>410</v>
      </c>
      <c r="J12" s="1" t="s">
        <v>11</v>
      </c>
      <c r="K12" s="1" t="s">
        <v>17</v>
      </c>
      <c r="L12" s="1" t="s">
        <v>37</v>
      </c>
      <c r="M12" s="1" t="s">
        <v>46</v>
      </c>
      <c r="N12" s="1" t="s">
        <v>101</v>
      </c>
      <c r="O12" s="1" t="s">
        <v>124</v>
      </c>
      <c r="P12" s="1" t="s">
        <v>69</v>
      </c>
      <c r="Q12" s="1" t="s">
        <v>69</v>
      </c>
      <c r="R12" s="1" t="s">
        <v>74</v>
      </c>
      <c r="S12" s="1" t="s">
        <v>74</v>
      </c>
      <c r="T12" s="1" t="s">
        <v>74</v>
      </c>
      <c r="U12" s="1" t="s">
        <v>104</v>
      </c>
      <c r="V12" s="1" t="s">
        <v>117</v>
      </c>
    </row>
    <row r="13" spans="1:23">
      <c r="A13" s="1" t="s">
        <v>188</v>
      </c>
      <c r="B13" s="1" t="s">
        <v>411</v>
      </c>
      <c r="C13" s="51" t="s">
        <v>341</v>
      </c>
      <c r="D13" s="1" t="s">
        <v>340</v>
      </c>
      <c r="E13" s="1" t="s">
        <v>602</v>
      </c>
      <c r="F13" s="1" t="str">
        <f>CONCATENATE(E13,": ",B13)</f>
        <v xml:space="preserve">SNOW: NOAA National Snow Analyses </v>
      </c>
      <c r="G13" s="1" t="s">
        <v>326</v>
      </c>
      <c r="H13" s="11">
        <v>4</v>
      </c>
      <c r="I13" s="6" t="s">
        <v>412</v>
      </c>
      <c r="J13" s="1" t="s">
        <v>11</v>
      </c>
      <c r="K13" s="1" t="s">
        <v>17</v>
      </c>
      <c r="L13" s="1" t="s">
        <v>37</v>
      </c>
      <c r="M13" s="1" t="s">
        <v>44</v>
      </c>
      <c r="N13" s="1" t="s">
        <v>603</v>
      </c>
      <c r="O13" s="1" t="s">
        <v>123</v>
      </c>
      <c r="P13" s="1" t="s">
        <v>123</v>
      </c>
      <c r="Q13" s="1" t="s">
        <v>123</v>
      </c>
      <c r="R13" s="1" t="s">
        <v>123</v>
      </c>
      <c r="S13" s="1" t="s">
        <v>6</v>
      </c>
      <c r="T13" s="1" t="s">
        <v>6</v>
      </c>
      <c r="U13" s="1" t="s">
        <v>110</v>
      </c>
      <c r="V13" s="1" t="s">
        <v>6</v>
      </c>
    </row>
    <row r="14" spans="1:23">
      <c r="A14" s="1" t="s">
        <v>190</v>
      </c>
      <c r="B14" s="1" t="s">
        <v>413</v>
      </c>
      <c r="C14" s="1" t="s">
        <v>342</v>
      </c>
      <c r="D14" s="1" t="s">
        <v>324</v>
      </c>
      <c r="E14" s="1" t="s">
        <v>414</v>
      </c>
      <c r="F14" s="1" t="str">
        <f>CONCATENATE(E14,": ",B14)</f>
        <v>SEOFLOW: Realtime Stream Flow</v>
      </c>
      <c r="G14" s="1" t="s">
        <v>326</v>
      </c>
      <c r="H14" s="11">
        <v>4</v>
      </c>
      <c r="I14" s="6" t="s">
        <v>415</v>
      </c>
      <c r="J14" s="1" t="s">
        <v>13</v>
      </c>
      <c r="K14" s="1" t="s">
        <v>604</v>
      </c>
      <c r="L14" s="1" t="s">
        <v>37</v>
      </c>
      <c r="M14" s="1" t="s">
        <v>605</v>
      </c>
      <c r="N14" s="1" t="s">
        <v>101</v>
      </c>
      <c r="O14" s="1" t="s">
        <v>141</v>
      </c>
      <c r="P14" s="1" t="s">
        <v>37</v>
      </c>
      <c r="Q14" s="1" t="s">
        <v>136</v>
      </c>
      <c r="R14" s="1" t="s">
        <v>74</v>
      </c>
      <c r="S14" s="1" t="s">
        <v>437</v>
      </c>
      <c r="T14" s="1" t="s">
        <v>74</v>
      </c>
      <c r="U14" s="1" t="s">
        <v>110</v>
      </c>
      <c r="V14" s="1" t="s">
        <v>119</v>
      </c>
    </row>
    <row r="15" spans="1:23">
      <c r="A15" s="1" t="s">
        <v>192</v>
      </c>
      <c r="B15" s="1" t="s">
        <v>610</v>
      </c>
      <c r="C15" s="51" t="s">
        <v>374</v>
      </c>
      <c r="D15" s="1" t="s">
        <v>340</v>
      </c>
      <c r="E15" s="1" t="s">
        <v>608</v>
      </c>
      <c r="F15" s="1" t="str">
        <f>CONCATENATE(E15,": ",B15)</f>
        <v>WRDS: Products and Data</v>
      </c>
      <c r="G15" s="1" t="s">
        <v>366</v>
      </c>
      <c r="H15" s="11" t="s">
        <v>373</v>
      </c>
      <c r="I15" s="6" t="s">
        <v>609</v>
      </c>
      <c r="J15" s="1" t="s">
        <v>13</v>
      </c>
      <c r="K15" s="1" t="s">
        <v>613</v>
      </c>
      <c r="L15" s="1" t="s">
        <v>37</v>
      </c>
      <c r="M15" s="1" t="s">
        <v>611</v>
      </c>
      <c r="N15" s="1" t="s">
        <v>101</v>
      </c>
      <c r="O15" s="1" t="s">
        <v>612</v>
      </c>
      <c r="P15" s="1" t="s">
        <v>71</v>
      </c>
      <c r="Q15" s="1" t="s">
        <v>598</v>
      </c>
      <c r="R15" s="1" t="s">
        <v>74</v>
      </c>
      <c r="S15" s="1" t="s">
        <v>394</v>
      </c>
      <c r="T15" s="1" t="s">
        <v>37</v>
      </c>
      <c r="U15" s="1" t="s">
        <v>110</v>
      </c>
      <c r="V15" s="1" t="s">
        <v>119</v>
      </c>
    </row>
    <row r="16" spans="1:23">
      <c r="A16" s="1" t="s">
        <v>196</v>
      </c>
      <c r="B16" s="1" t="s">
        <v>417</v>
      </c>
      <c r="C16" s="1" t="s">
        <v>330</v>
      </c>
      <c r="D16" s="1" t="s">
        <v>325</v>
      </c>
      <c r="E16" s="1" t="s">
        <v>619</v>
      </c>
      <c r="F16" s="1" t="str">
        <f>CONCATENATE(E16,": ",B16)</f>
        <v>SEO: Order of the State Engineer - Laramie County Control Area</v>
      </c>
      <c r="G16" s="1" t="s">
        <v>326</v>
      </c>
      <c r="H16" s="11">
        <v>4</v>
      </c>
      <c r="I16" s="1" t="s">
        <v>418</v>
      </c>
      <c r="J16" s="1" t="s">
        <v>9</v>
      </c>
      <c r="K16" s="1" t="s">
        <v>6</v>
      </c>
      <c r="L16" s="1" t="s">
        <v>37</v>
      </c>
      <c r="M16" s="1" t="s">
        <v>46</v>
      </c>
      <c r="N16" s="1" t="s">
        <v>101</v>
      </c>
      <c r="O16" s="1" t="s">
        <v>124</v>
      </c>
      <c r="P16" s="1" t="s">
        <v>67</v>
      </c>
      <c r="Q16" s="1" t="s">
        <v>127</v>
      </c>
      <c r="R16" s="1" t="s">
        <v>74</v>
      </c>
      <c r="S16" s="1" t="s">
        <v>419</v>
      </c>
      <c r="T16" s="1" t="s">
        <v>74</v>
      </c>
      <c r="U16" s="1" t="s">
        <v>456</v>
      </c>
      <c r="V16" s="1" t="s">
        <v>115</v>
      </c>
    </row>
    <row r="17" spans="1:24" ht="17.399999999999999">
      <c r="A17" s="1" t="s">
        <v>198</v>
      </c>
      <c r="B17" s="1" t="s">
        <v>420</v>
      </c>
      <c r="C17" s="1" t="s">
        <v>330</v>
      </c>
      <c r="D17" s="1" t="s">
        <v>325</v>
      </c>
      <c r="E17" s="1" t="s">
        <v>619</v>
      </c>
      <c r="F17" s="1" t="str">
        <f>CONCATENATE(E17,": ",B17)</f>
        <v>SEO: Groundwater Hydrographs</v>
      </c>
      <c r="G17" s="1" t="s">
        <v>326</v>
      </c>
      <c r="H17" s="11">
        <v>4</v>
      </c>
      <c r="I17" s="1" t="s">
        <v>421</v>
      </c>
      <c r="J17" s="1" t="s">
        <v>11</v>
      </c>
      <c r="K17" s="1" t="s">
        <v>17</v>
      </c>
      <c r="L17" s="1" t="s">
        <v>37</v>
      </c>
      <c r="M17" s="1" t="s">
        <v>46</v>
      </c>
      <c r="N17" s="1" t="s">
        <v>101</v>
      </c>
      <c r="O17" s="1" t="s">
        <v>124</v>
      </c>
      <c r="P17" s="1" t="s">
        <v>69</v>
      </c>
      <c r="Q17" s="1" t="s">
        <v>69</v>
      </c>
      <c r="R17" s="1" t="s">
        <v>74</v>
      </c>
      <c r="S17" s="1" t="s">
        <v>74</v>
      </c>
      <c r="T17" s="1" t="s">
        <v>74</v>
      </c>
      <c r="U17" s="1" t="s">
        <v>104</v>
      </c>
      <c r="V17" s="1" t="s">
        <v>119</v>
      </c>
      <c r="X17" s="52"/>
    </row>
    <row r="18" spans="1:24">
      <c r="A18" s="1" t="s">
        <v>200</v>
      </c>
      <c r="B18" s="1" t="s">
        <v>638</v>
      </c>
      <c r="C18" s="1" t="s">
        <v>330</v>
      </c>
      <c r="D18" s="1" t="s">
        <v>325</v>
      </c>
      <c r="E18" s="1" t="s">
        <v>619</v>
      </c>
      <c r="F18" s="1" t="str">
        <f>CONCATENATE(E18,": ",B18)</f>
        <v>SEO: Interference Investigations</v>
      </c>
      <c r="G18" s="1" t="s">
        <v>326</v>
      </c>
      <c r="H18" s="11">
        <v>4</v>
      </c>
      <c r="I18" s="1" t="s">
        <v>423</v>
      </c>
      <c r="J18" s="1" t="s">
        <v>11</v>
      </c>
      <c r="K18" s="1" t="s">
        <v>17</v>
      </c>
      <c r="L18" s="1" t="s">
        <v>37</v>
      </c>
      <c r="M18" s="1" t="s">
        <v>46</v>
      </c>
      <c r="N18" s="1" t="s">
        <v>101</v>
      </c>
      <c r="O18" s="1" t="s">
        <v>124</v>
      </c>
      <c r="P18" s="1" t="s">
        <v>67</v>
      </c>
      <c r="Q18" s="1" t="s">
        <v>127</v>
      </c>
      <c r="R18" s="1" t="s">
        <v>74</v>
      </c>
      <c r="S18" s="1" t="s">
        <v>90</v>
      </c>
      <c r="T18" s="1" t="s">
        <v>74</v>
      </c>
      <c r="U18" s="1" t="s">
        <v>456</v>
      </c>
      <c r="V18" s="1" t="s">
        <v>119</v>
      </c>
    </row>
    <row r="19" spans="1:24">
      <c r="A19" s="1" t="s">
        <v>202</v>
      </c>
      <c r="B19" s="1" t="s">
        <v>424</v>
      </c>
      <c r="C19" s="1" t="s">
        <v>350</v>
      </c>
      <c r="D19" s="1" t="s">
        <v>349</v>
      </c>
      <c r="E19" s="1" t="s">
        <v>434</v>
      </c>
      <c r="F19" s="1" t="str">
        <f>CONCATENATE(E19,": ",B19)</f>
        <v>WWDO: Dam and Reservoir Planning</v>
      </c>
      <c r="G19" s="1" t="s">
        <v>346</v>
      </c>
      <c r="H19" s="11">
        <v>5</v>
      </c>
      <c r="I19" s="1" t="s">
        <v>352</v>
      </c>
      <c r="J19" s="1" t="s">
        <v>11</v>
      </c>
      <c r="K19" s="1" t="s">
        <v>17</v>
      </c>
      <c r="L19" s="1" t="s">
        <v>37</v>
      </c>
      <c r="M19" s="1" t="s">
        <v>611</v>
      </c>
      <c r="N19" s="1" t="s">
        <v>101</v>
      </c>
      <c r="O19" s="1" t="s">
        <v>425</v>
      </c>
      <c r="P19" s="1" t="s">
        <v>69</v>
      </c>
      <c r="Q19" s="1" t="s">
        <v>69</v>
      </c>
      <c r="R19" s="1" t="s">
        <v>74</v>
      </c>
      <c r="S19" s="1" t="s">
        <v>74</v>
      </c>
      <c r="T19" s="1" t="s">
        <v>74</v>
      </c>
      <c r="U19" s="1" t="s">
        <v>456</v>
      </c>
      <c r="V19" s="1" t="s">
        <v>115</v>
      </c>
    </row>
    <row r="20" spans="1:24">
      <c r="A20" s="1" t="s">
        <v>204</v>
      </c>
      <c r="B20" s="1" t="s">
        <v>426</v>
      </c>
      <c r="C20" s="1" t="s">
        <v>350</v>
      </c>
      <c r="D20" s="1" t="s">
        <v>349</v>
      </c>
      <c r="E20" s="1" t="s">
        <v>434</v>
      </c>
      <c r="F20" s="1" t="str">
        <f>CONCATENATE(E20,": ",B20)</f>
        <v>WWDO: Instream Flow Filings</v>
      </c>
      <c r="G20" s="1" t="s">
        <v>346</v>
      </c>
      <c r="H20" s="11">
        <v>5</v>
      </c>
      <c r="I20" s="1" t="s">
        <v>427</v>
      </c>
      <c r="J20" s="1" t="s">
        <v>11</v>
      </c>
      <c r="K20" s="1" t="s">
        <v>25</v>
      </c>
      <c r="L20" s="1" t="s">
        <v>37</v>
      </c>
      <c r="M20" s="1" t="s">
        <v>611</v>
      </c>
      <c r="N20" s="1" t="s">
        <v>101</v>
      </c>
      <c r="O20" s="1" t="s">
        <v>425</v>
      </c>
      <c r="P20" s="1" t="s">
        <v>67</v>
      </c>
      <c r="Q20" s="1" t="s">
        <v>69</v>
      </c>
      <c r="R20" s="1" t="s">
        <v>74</v>
      </c>
      <c r="S20" s="1" t="s">
        <v>620</v>
      </c>
      <c r="T20" s="1" t="s">
        <v>74</v>
      </c>
      <c r="U20" s="1" t="s">
        <v>103</v>
      </c>
      <c r="V20" s="1" t="s">
        <v>119</v>
      </c>
    </row>
    <row r="21" spans="1:24">
      <c r="A21" s="1" t="s">
        <v>206</v>
      </c>
      <c r="B21" s="1" t="s">
        <v>428</v>
      </c>
      <c r="C21" s="1" t="s">
        <v>350</v>
      </c>
      <c r="D21" s="1" t="s">
        <v>349</v>
      </c>
      <c r="E21" s="1" t="s">
        <v>434</v>
      </c>
      <c r="F21" s="1" t="str">
        <f>CONCATENATE(E21,": ",B21)</f>
        <v>WWDO: Wyoming Water and Climate Web Atlas</v>
      </c>
      <c r="G21" s="1" t="s">
        <v>346</v>
      </c>
      <c r="H21" s="11">
        <v>5</v>
      </c>
      <c r="I21" s="1" t="s">
        <v>429</v>
      </c>
      <c r="J21" s="1" t="s">
        <v>9</v>
      </c>
      <c r="K21" s="1" t="s">
        <v>21</v>
      </c>
      <c r="L21" s="1" t="s">
        <v>37</v>
      </c>
      <c r="M21" s="1" t="s">
        <v>621</v>
      </c>
      <c r="N21" s="1" t="s">
        <v>596</v>
      </c>
      <c r="O21" s="1" t="s">
        <v>612</v>
      </c>
      <c r="P21" s="1" t="s">
        <v>71</v>
      </c>
      <c r="Q21" s="1" t="s">
        <v>127</v>
      </c>
      <c r="R21" s="1" t="s">
        <v>74</v>
      </c>
      <c r="S21" s="1" t="s">
        <v>620</v>
      </c>
      <c r="T21" s="1" t="s">
        <v>37</v>
      </c>
      <c r="U21" s="1" t="s">
        <v>103</v>
      </c>
      <c r="V21" s="1" t="s">
        <v>115</v>
      </c>
    </row>
    <row r="22" spans="1:24">
      <c r="A22" s="1" t="s">
        <v>210</v>
      </c>
      <c r="B22" s="1" t="s">
        <v>430</v>
      </c>
      <c r="C22" s="1" t="s">
        <v>350</v>
      </c>
      <c r="D22" s="1" t="s">
        <v>349</v>
      </c>
      <c r="E22" s="1" t="s">
        <v>434</v>
      </c>
      <c r="F22" s="1" t="str">
        <f>CONCATENATE(E22,": ",B22)</f>
        <v>WWDO: Probable Maximum Precipitation</v>
      </c>
      <c r="G22" s="1" t="s">
        <v>346</v>
      </c>
      <c r="H22" s="11">
        <v>5</v>
      </c>
      <c r="I22" s="1" t="s">
        <v>431</v>
      </c>
      <c r="J22" s="1" t="s">
        <v>9</v>
      </c>
      <c r="K22" s="1" t="s">
        <v>17</v>
      </c>
      <c r="L22" s="1" t="s">
        <v>37</v>
      </c>
      <c r="M22" s="1" t="s">
        <v>597</v>
      </c>
      <c r="N22" s="1" t="s">
        <v>101</v>
      </c>
      <c r="O22" s="1" t="s">
        <v>432</v>
      </c>
      <c r="P22" s="1" t="s">
        <v>71</v>
      </c>
      <c r="Q22" s="1" t="s">
        <v>127</v>
      </c>
      <c r="R22" s="1" t="s">
        <v>74</v>
      </c>
      <c r="S22" s="1" t="s">
        <v>437</v>
      </c>
      <c r="T22" s="1" t="s">
        <v>74</v>
      </c>
      <c r="U22" s="1" t="s">
        <v>6</v>
      </c>
      <c r="V22" s="1" t="s">
        <v>115</v>
      </c>
    </row>
    <row r="23" spans="1:24">
      <c r="A23" s="1" t="s">
        <v>212</v>
      </c>
      <c r="B23" s="1" t="s">
        <v>433</v>
      </c>
      <c r="C23" s="1" t="s">
        <v>350</v>
      </c>
      <c r="D23" s="1" t="s">
        <v>349</v>
      </c>
      <c r="E23" s="1" t="s">
        <v>434</v>
      </c>
      <c r="F23" s="1" t="str">
        <f>CONCATENATE(E23,": ",B23)</f>
        <v>WWDO: Wyoming State Water Plans</v>
      </c>
      <c r="G23" s="1" t="s">
        <v>346</v>
      </c>
      <c r="H23" s="11">
        <v>5</v>
      </c>
      <c r="I23" s="6" t="s">
        <v>435</v>
      </c>
      <c r="J23" s="1" t="s">
        <v>9</v>
      </c>
      <c r="K23" s="1" t="s">
        <v>436</v>
      </c>
      <c r="L23" s="1" t="s">
        <v>37</v>
      </c>
      <c r="M23" s="1" t="s">
        <v>625</v>
      </c>
      <c r="N23" s="1" t="s">
        <v>596</v>
      </c>
      <c r="O23" s="1" t="s">
        <v>425</v>
      </c>
      <c r="P23" s="1" t="s">
        <v>67</v>
      </c>
      <c r="Q23" s="1" t="s">
        <v>124</v>
      </c>
      <c r="R23" s="1" t="s">
        <v>74</v>
      </c>
      <c r="S23" s="1" t="s">
        <v>394</v>
      </c>
      <c r="T23" s="1" t="s">
        <v>74</v>
      </c>
      <c r="U23" s="1" t="s">
        <v>456</v>
      </c>
      <c r="V23" s="1" t="s">
        <v>595</v>
      </c>
    </row>
    <row r="24" spans="1:24">
      <c r="A24" s="1" t="s">
        <v>218</v>
      </c>
      <c r="B24" s="1" t="s">
        <v>438</v>
      </c>
      <c r="C24" s="1" t="s">
        <v>346</v>
      </c>
      <c r="D24" s="1" t="s">
        <v>345</v>
      </c>
      <c r="E24" s="1" t="s">
        <v>434</v>
      </c>
      <c r="F24" s="1" t="str">
        <f>CONCATENATE(E24,": ",B24)</f>
        <v>WWDO: Wyoming Water and Climate Hub</v>
      </c>
      <c r="G24" s="1" t="s">
        <v>346</v>
      </c>
      <c r="H24" s="11">
        <v>5</v>
      </c>
      <c r="I24" s="1" t="s">
        <v>439</v>
      </c>
      <c r="J24" s="1" t="s">
        <v>9</v>
      </c>
      <c r="K24" s="1" t="s">
        <v>19</v>
      </c>
      <c r="L24" s="1" t="s">
        <v>37</v>
      </c>
      <c r="M24" s="1" t="s">
        <v>440</v>
      </c>
      <c r="N24" s="1" t="s">
        <v>101</v>
      </c>
      <c r="O24" s="1" t="s">
        <v>441</v>
      </c>
      <c r="P24" s="1" t="s">
        <v>71</v>
      </c>
      <c r="Q24" s="1" t="s">
        <v>136</v>
      </c>
      <c r="R24" s="1" t="s">
        <v>37</v>
      </c>
      <c r="S24" s="1" t="s">
        <v>394</v>
      </c>
      <c r="T24" s="1" t="s">
        <v>37</v>
      </c>
      <c r="U24" s="1" t="s">
        <v>103</v>
      </c>
      <c r="V24" s="1" t="s">
        <v>103</v>
      </c>
    </row>
    <row r="25" spans="1:24">
      <c r="A25" s="1" t="s">
        <v>220</v>
      </c>
      <c r="B25" s="1" t="s">
        <v>442</v>
      </c>
      <c r="C25" s="1" t="s">
        <v>346</v>
      </c>
      <c r="D25" s="1" t="s">
        <v>345</v>
      </c>
      <c r="E25" s="1" t="s">
        <v>434</v>
      </c>
      <c r="F25" s="1" t="str">
        <f>CONCATENATE(E25,": ",B25)</f>
        <v>WWDO: Irrigation and Public Water System Surveys</v>
      </c>
      <c r="G25" s="1" t="s">
        <v>346</v>
      </c>
      <c r="H25" s="11">
        <v>5</v>
      </c>
      <c r="I25" s="1" t="s">
        <v>443</v>
      </c>
      <c r="J25" s="1" t="s">
        <v>11</v>
      </c>
      <c r="K25" s="1" t="s">
        <v>17</v>
      </c>
      <c r="L25" s="1" t="s">
        <v>37</v>
      </c>
      <c r="M25" s="1" t="s">
        <v>627</v>
      </c>
      <c r="N25" s="1" t="s">
        <v>101</v>
      </c>
      <c r="O25" s="1" t="s">
        <v>444</v>
      </c>
      <c r="P25" s="1" t="s">
        <v>67</v>
      </c>
      <c r="Q25" s="1" t="s">
        <v>127</v>
      </c>
      <c r="R25" s="1" t="s">
        <v>37</v>
      </c>
      <c r="S25" s="1" t="s">
        <v>397</v>
      </c>
      <c r="T25" s="1" t="s">
        <v>37</v>
      </c>
      <c r="U25" s="1" t="s">
        <v>103</v>
      </c>
      <c r="V25" s="1" t="s">
        <v>119</v>
      </c>
    </row>
    <row r="26" spans="1:24">
      <c r="A26" s="1" t="s">
        <v>222</v>
      </c>
      <c r="B26" s="1" t="s">
        <v>445</v>
      </c>
      <c r="C26" s="1" t="s">
        <v>346</v>
      </c>
      <c r="D26" s="1" t="s">
        <v>345</v>
      </c>
      <c r="E26" s="1" t="s">
        <v>434</v>
      </c>
      <c r="F26" s="1" t="str">
        <f>CONCATENATE(E26,": ",B26)</f>
        <v>WWDO: Legislative Reports</v>
      </c>
      <c r="G26" s="1" t="s">
        <v>346</v>
      </c>
      <c r="H26" s="11">
        <v>5</v>
      </c>
      <c r="I26" s="1" t="s">
        <v>446</v>
      </c>
      <c r="J26" s="1" t="s">
        <v>11</v>
      </c>
      <c r="K26" s="1" t="s">
        <v>17</v>
      </c>
      <c r="L26" s="1" t="s">
        <v>37</v>
      </c>
      <c r="M26" s="1" t="s">
        <v>46</v>
      </c>
      <c r="N26" s="1" t="s">
        <v>101</v>
      </c>
      <c r="O26" s="1" t="s">
        <v>124</v>
      </c>
      <c r="P26" s="1" t="s">
        <v>69</v>
      </c>
      <c r="Q26" s="1" t="s">
        <v>69</v>
      </c>
      <c r="R26" s="1" t="s">
        <v>37</v>
      </c>
      <c r="S26" s="1" t="s">
        <v>74</v>
      </c>
      <c r="T26" s="1" t="s">
        <v>74</v>
      </c>
      <c r="U26" s="1" t="s">
        <v>104</v>
      </c>
      <c r="V26" s="1" t="s">
        <v>117</v>
      </c>
    </row>
    <row r="27" spans="1:24">
      <c r="A27" s="1" t="s">
        <v>226</v>
      </c>
      <c r="B27" s="1" t="s">
        <v>447</v>
      </c>
      <c r="C27" s="1" t="s">
        <v>370</v>
      </c>
      <c r="D27" s="1" t="s">
        <v>340</v>
      </c>
      <c r="E27" s="1" t="s">
        <v>608</v>
      </c>
      <c r="F27" s="1" t="str">
        <f>CONCATENATE(E27,": ",B27)</f>
        <v xml:space="preserve">WRDS: Water Resources Data System Library </v>
      </c>
      <c r="G27" s="1" t="s">
        <v>366</v>
      </c>
      <c r="H27" s="11">
        <v>8</v>
      </c>
      <c r="I27" s="6" t="s">
        <v>448</v>
      </c>
      <c r="J27" s="1" t="s">
        <v>11</v>
      </c>
      <c r="K27" s="1" t="s">
        <v>17</v>
      </c>
      <c r="L27" s="1" t="s">
        <v>37</v>
      </c>
      <c r="M27" s="1" t="s">
        <v>46</v>
      </c>
      <c r="N27" s="1" t="s">
        <v>101</v>
      </c>
      <c r="O27" s="1" t="s">
        <v>124</v>
      </c>
      <c r="P27" s="1" t="s">
        <v>71</v>
      </c>
      <c r="Q27" s="1" t="s">
        <v>127</v>
      </c>
      <c r="R27" s="1" t="s">
        <v>83</v>
      </c>
      <c r="S27" s="1" t="s">
        <v>394</v>
      </c>
      <c r="T27" s="1" t="s">
        <v>83</v>
      </c>
      <c r="U27" s="1" t="s">
        <v>103</v>
      </c>
      <c r="V27" s="1" t="s">
        <v>103</v>
      </c>
    </row>
    <row r="28" spans="1:24">
      <c r="A28" s="1" t="s">
        <v>228</v>
      </c>
      <c r="B28" s="1" t="s">
        <v>449</v>
      </c>
      <c r="C28" s="1" t="s">
        <v>358</v>
      </c>
      <c r="D28" s="1" t="s">
        <v>357</v>
      </c>
      <c r="E28" s="1" t="s">
        <v>450</v>
      </c>
      <c r="F28" s="1" t="str">
        <f>CONCATENATE(E28,": ",B28)</f>
        <v>WOGCC: WOGCC Data</v>
      </c>
      <c r="G28" s="1" t="s">
        <v>358</v>
      </c>
      <c r="H28" s="11">
        <v>6</v>
      </c>
      <c r="I28" s="6" t="s">
        <v>451</v>
      </c>
      <c r="J28" s="1" t="s">
        <v>13</v>
      </c>
      <c r="K28" s="1" t="s">
        <v>23</v>
      </c>
      <c r="L28" s="1" t="s">
        <v>37</v>
      </c>
      <c r="M28" s="1" t="s">
        <v>607</v>
      </c>
      <c r="N28" s="1" t="s">
        <v>101</v>
      </c>
      <c r="O28" s="1" t="s">
        <v>136</v>
      </c>
      <c r="P28" s="1" t="s">
        <v>69</v>
      </c>
      <c r="Q28" s="1" t="s">
        <v>360</v>
      </c>
      <c r="R28" s="1" t="s">
        <v>37</v>
      </c>
      <c r="S28" s="1" t="s">
        <v>74</v>
      </c>
      <c r="T28" s="1" t="s">
        <v>74</v>
      </c>
      <c r="U28" s="1" t="s">
        <v>103</v>
      </c>
      <c r="V28" s="1" t="s">
        <v>103</v>
      </c>
    </row>
    <row r="29" spans="1:24">
      <c r="A29" s="1" t="s">
        <v>230</v>
      </c>
      <c r="B29" s="1" t="s">
        <v>628</v>
      </c>
      <c r="C29" s="1" t="s">
        <v>362</v>
      </c>
      <c r="D29" s="1" t="s">
        <v>361</v>
      </c>
      <c r="E29" s="1" t="s">
        <v>452</v>
      </c>
      <c r="F29" s="1" t="str">
        <f t="shared" ref="F29:F30" si="0">CONCATENATE(E29,": ",B29)</f>
        <v>WSGS: Groundwater Atlas of Wyoming</v>
      </c>
      <c r="G29" s="1" t="s">
        <v>362</v>
      </c>
      <c r="H29" s="11">
        <v>7</v>
      </c>
      <c r="I29" s="6" t="s">
        <v>453</v>
      </c>
      <c r="J29" s="1" t="s">
        <v>11</v>
      </c>
      <c r="K29" s="1" t="s">
        <v>21</v>
      </c>
      <c r="L29" s="1" t="s">
        <v>37</v>
      </c>
      <c r="M29" s="1" t="s">
        <v>48</v>
      </c>
      <c r="N29" s="1" t="s">
        <v>101</v>
      </c>
      <c r="O29" s="1" t="s">
        <v>141</v>
      </c>
      <c r="P29" s="1" t="s">
        <v>67</v>
      </c>
      <c r="Q29" s="1" t="s">
        <v>136</v>
      </c>
      <c r="R29" s="1" t="s">
        <v>74</v>
      </c>
      <c r="S29" s="1" t="s">
        <v>437</v>
      </c>
      <c r="T29" s="1" t="s">
        <v>74</v>
      </c>
      <c r="U29" s="1" t="s">
        <v>6</v>
      </c>
      <c r="V29" s="1" t="s">
        <v>6</v>
      </c>
      <c r="W29" s="1" t="s">
        <v>629</v>
      </c>
    </row>
    <row r="30" spans="1:24">
      <c r="A30" s="1" t="s">
        <v>232</v>
      </c>
      <c r="B30" s="1" t="s">
        <v>454</v>
      </c>
      <c r="C30" s="1" t="s">
        <v>362</v>
      </c>
      <c r="D30" s="1" t="s">
        <v>361</v>
      </c>
      <c r="E30" s="1" t="s">
        <v>452</v>
      </c>
      <c r="F30" s="1" t="str">
        <f t="shared" si="0"/>
        <v>WSGS: Wyoming State Geological Survey Publications Sales And Free Downloads</v>
      </c>
      <c r="G30" s="1" t="s">
        <v>362</v>
      </c>
      <c r="H30" s="11">
        <v>7</v>
      </c>
      <c r="I30" s="6" t="s">
        <v>455</v>
      </c>
      <c r="J30" s="1" t="s">
        <v>13</v>
      </c>
      <c r="K30" s="1" t="s">
        <v>17</v>
      </c>
      <c r="L30" s="1" t="s">
        <v>37</v>
      </c>
      <c r="M30" s="1" t="s">
        <v>46</v>
      </c>
      <c r="N30" s="1" t="s">
        <v>101</v>
      </c>
      <c r="O30" s="1" t="s">
        <v>124</v>
      </c>
      <c r="P30" s="1" t="s">
        <v>69</v>
      </c>
      <c r="Q30" s="1" t="s">
        <v>360</v>
      </c>
      <c r="R30" s="1" t="s">
        <v>74</v>
      </c>
      <c r="S30" s="1" t="s">
        <v>74</v>
      </c>
      <c r="T30" s="1" t="s">
        <v>74</v>
      </c>
      <c r="U30" s="1" t="s">
        <v>456</v>
      </c>
      <c r="V30" s="1" t="s">
        <v>119</v>
      </c>
    </row>
    <row r="31" spans="1:24">
      <c r="A31" s="1" t="s">
        <v>234</v>
      </c>
      <c r="B31" s="1" t="s">
        <v>457</v>
      </c>
      <c r="C31" s="1" t="s">
        <v>287</v>
      </c>
      <c r="D31" s="1" t="s">
        <v>286</v>
      </c>
      <c r="E31" s="1" t="s">
        <v>458</v>
      </c>
      <c r="F31" s="1" t="str">
        <f t="shared" ref="F31" si="1">CONCATENATE(E31,": ",B31)</f>
        <v>GeoHub: Wyoming Geospatial Hub</v>
      </c>
      <c r="G31" s="1" t="s">
        <v>287</v>
      </c>
      <c r="H31" s="11">
        <v>1</v>
      </c>
      <c r="I31" s="6" t="s">
        <v>459</v>
      </c>
      <c r="J31" s="1" t="s">
        <v>9</v>
      </c>
      <c r="K31" s="1" t="s">
        <v>19</v>
      </c>
      <c r="L31" s="1" t="s">
        <v>37</v>
      </c>
      <c r="M31" s="1" t="s">
        <v>633</v>
      </c>
      <c r="N31" s="1" t="s">
        <v>101</v>
      </c>
      <c r="O31" s="1" t="s">
        <v>634</v>
      </c>
      <c r="P31" s="1" t="s">
        <v>67</v>
      </c>
      <c r="Q31" s="1" t="s">
        <v>598</v>
      </c>
      <c r="R31" s="1" t="s">
        <v>74</v>
      </c>
      <c r="S31" s="1" t="s">
        <v>635</v>
      </c>
      <c r="T31" s="1" t="s">
        <v>37</v>
      </c>
      <c r="U31" s="1" t="s">
        <v>110</v>
      </c>
      <c r="V31" s="1" t="s">
        <v>103</v>
      </c>
    </row>
  </sheetData>
  <hyperlinks>
    <hyperlink ref="I28" r:id="rId1"/>
    <hyperlink ref="I29" r:id="rId2"/>
    <hyperlink ref="I30" r:id="rId3"/>
    <hyperlink ref="I31" r:id="rId4"/>
    <hyperlink ref="I27" r:id="rId5"/>
    <hyperlink ref="I23" r:id="rId6"/>
    <hyperlink ref="I12" r:id="rId7"/>
    <hyperlink ref="I13" r:id="rId8"/>
    <hyperlink ref="I14" r:id="rId9"/>
    <hyperlink ref="I11" r:id="rId1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9"/>
  <sheetViews>
    <sheetView zoomScale="80" zoomScaleNormal="80" workbookViewId="0">
      <pane ySplit="1" topLeftCell="A79" activePane="bottomLeft" state="frozen"/>
      <selection pane="bottomLeft" activeCell="A100" sqref="A100:XFD1048576"/>
    </sheetView>
  </sheetViews>
  <sheetFormatPr defaultColWidth="8.8984375" defaultRowHeight="15.6"/>
  <cols>
    <col min="1" max="1" width="5.5" style="1" bestFit="1" customWidth="1"/>
    <col min="2" max="2" width="42.09765625" style="1" customWidth="1"/>
    <col min="3" max="4" width="19.8984375" style="1" customWidth="1"/>
    <col min="5" max="5" width="13.59765625" style="1" customWidth="1"/>
    <col min="6" max="6" width="14.59765625" style="1" bestFit="1" customWidth="1"/>
    <col min="7" max="7" width="16.8984375" style="1" customWidth="1"/>
    <col min="8" max="8" width="13.5" style="1" bestFit="1" customWidth="1"/>
    <col min="9" max="9" width="9.5" style="1" bestFit="1" customWidth="1"/>
    <col min="10" max="12" width="8.8984375" style="1"/>
    <col min="13" max="13" width="16.8984375" style="1" customWidth="1"/>
    <col min="14" max="16384" width="8.8984375" style="1"/>
  </cols>
  <sheetData>
    <row r="1" spans="1:14">
      <c r="A1" s="3" t="s">
        <v>380</v>
      </c>
      <c r="B1" s="9" t="s">
        <v>381</v>
      </c>
      <c r="C1" s="8" t="s">
        <v>275</v>
      </c>
      <c r="D1" s="8" t="s">
        <v>276</v>
      </c>
      <c r="E1" s="9" t="s">
        <v>280</v>
      </c>
      <c r="F1" s="8" t="s">
        <v>500</v>
      </c>
      <c r="G1" s="8" t="s">
        <v>461</v>
      </c>
      <c r="H1" s="8" t="s">
        <v>462</v>
      </c>
      <c r="I1" s="10" t="s">
        <v>460</v>
      </c>
      <c r="J1" s="8" t="s">
        <v>501</v>
      </c>
      <c r="M1" s="1" t="s">
        <v>502</v>
      </c>
      <c r="N1" s="1" t="s">
        <v>503</v>
      </c>
    </row>
    <row r="2" spans="1:14">
      <c r="A2" s="1" t="s">
        <v>160</v>
      </c>
      <c r="B2" s="1" t="s">
        <v>385</v>
      </c>
      <c r="C2" s="1" t="s">
        <v>309</v>
      </c>
      <c r="D2" s="1" t="s">
        <v>301</v>
      </c>
      <c r="E2" s="6" t="s">
        <v>386</v>
      </c>
      <c r="F2" s="1" t="s">
        <v>504</v>
      </c>
      <c r="G2" s="1" t="s">
        <v>471</v>
      </c>
      <c r="H2" s="1" t="str">
        <f>VLOOKUP(G2,dataNodes!$B$2:$C$19,2,FALSE)</f>
        <v>Quality</v>
      </c>
      <c r="I2" s="1" t="str">
        <f>VLOOKUP(G2,$M$2:$N$19,2,FALSE)</f>
        <v>d04</v>
      </c>
      <c r="M2" s="7" t="str">
        <f>[1]dataNodes!B2</f>
        <v>Built</v>
      </c>
      <c r="N2" s="4" t="str">
        <f>[1]dataNodes!A2</f>
        <v>d01</v>
      </c>
    </row>
    <row r="3" spans="1:14">
      <c r="A3" s="1" t="s">
        <v>160</v>
      </c>
      <c r="B3" s="1" t="s">
        <v>385</v>
      </c>
      <c r="C3" s="1" t="s">
        <v>309</v>
      </c>
      <c r="D3" s="1" t="s">
        <v>301</v>
      </c>
      <c r="E3" s="6" t="s">
        <v>386</v>
      </c>
      <c r="F3" s="1" t="s">
        <v>505</v>
      </c>
      <c r="G3" s="1" t="s">
        <v>464</v>
      </c>
      <c r="H3" s="1" t="str">
        <f>VLOOKUP(G3,dataNodes!$B$2:$C$19,2,FALSE)</f>
        <v>Infrastructure</v>
      </c>
      <c r="I3" s="1" t="str">
        <f t="shared" ref="I3:I35" si="0">VLOOKUP(G3,$M$2:$N$19,2,FALSE)</f>
        <v>d01</v>
      </c>
      <c r="M3" s="7" t="str">
        <f>[1]dataNodes!B3</f>
        <v>Natural</v>
      </c>
      <c r="N3" s="4" t="str">
        <f>[1]dataNodes!A3</f>
        <v>d02</v>
      </c>
    </row>
    <row r="4" spans="1:14">
      <c r="A4" s="1" t="s">
        <v>160</v>
      </c>
      <c r="B4" s="1" t="s">
        <v>385</v>
      </c>
      <c r="C4" s="1" t="s">
        <v>309</v>
      </c>
      <c r="D4" s="1" t="s">
        <v>301</v>
      </c>
      <c r="E4" s="6" t="s">
        <v>386</v>
      </c>
      <c r="F4" s="1" t="s">
        <v>506</v>
      </c>
      <c r="G4" s="1" t="s">
        <v>309</v>
      </c>
      <c r="H4" s="1" t="str">
        <f>VLOOKUP(G4,dataNodes!$B$2:$C$19,2,FALSE)</f>
        <v>Quantity</v>
      </c>
      <c r="I4" s="1" t="str">
        <f t="shared" si="0"/>
        <v>d08</v>
      </c>
      <c r="M4" s="7" t="str">
        <f>[1]dataNodes!B4</f>
        <v>Quality</v>
      </c>
      <c r="N4" s="4" t="str">
        <f>[1]dataNodes!A4</f>
        <v>d03</v>
      </c>
    </row>
    <row r="5" spans="1:14">
      <c r="A5" s="1" t="s">
        <v>160</v>
      </c>
      <c r="B5" s="1" t="s">
        <v>385</v>
      </c>
      <c r="C5" s="1" t="s">
        <v>309</v>
      </c>
      <c r="D5" s="1" t="s">
        <v>301</v>
      </c>
      <c r="E5" s="6" t="s">
        <v>386</v>
      </c>
      <c r="F5" s="1" t="s">
        <v>507</v>
      </c>
      <c r="G5" s="1" t="s">
        <v>469</v>
      </c>
      <c r="H5" s="1" t="str">
        <f>VLOOKUP(G5,dataNodes!$B$2:$C$19,2,FALSE)</f>
        <v>Quality</v>
      </c>
      <c r="I5" s="1" t="str">
        <f t="shared" si="0"/>
        <v>d03</v>
      </c>
      <c r="M5" s="7" t="str">
        <f>[1]dataNodes!B5</f>
        <v>Regulatory</v>
      </c>
      <c r="N5" s="4" t="str">
        <f>[1]dataNodes!A5</f>
        <v>d04</v>
      </c>
    </row>
    <row r="6" spans="1:14">
      <c r="A6" s="1" t="s">
        <v>164</v>
      </c>
      <c r="B6" s="1" t="s">
        <v>388</v>
      </c>
      <c r="C6" s="1" t="s">
        <v>309</v>
      </c>
      <c r="D6" s="1" t="s">
        <v>301</v>
      </c>
      <c r="E6" s="1" t="s">
        <v>389</v>
      </c>
      <c r="F6" s="1" t="s">
        <v>508</v>
      </c>
      <c r="G6" s="1" t="s">
        <v>469</v>
      </c>
      <c r="H6" s="1" t="str">
        <f>VLOOKUP(G6,dataNodes!$B$2:$C$19,2,FALSE)</f>
        <v>Quality</v>
      </c>
      <c r="I6" s="1" t="str">
        <f t="shared" si="0"/>
        <v>d03</v>
      </c>
      <c r="M6" s="7" t="str">
        <f>[1]dataNodes!B6</f>
        <v>Evapotranspiration</v>
      </c>
      <c r="N6" s="4" t="str">
        <f>[1]dataNodes!A6</f>
        <v>d05</v>
      </c>
    </row>
    <row r="7" spans="1:14">
      <c r="A7" s="1" t="s">
        <v>164</v>
      </c>
      <c r="B7" s="1" t="s">
        <v>388</v>
      </c>
      <c r="C7" s="1" t="s">
        <v>309</v>
      </c>
      <c r="D7" s="1" t="s">
        <v>301</v>
      </c>
      <c r="E7" s="1" t="s">
        <v>389</v>
      </c>
      <c r="F7" s="1" t="s">
        <v>508</v>
      </c>
      <c r="G7" s="1" t="s">
        <v>309</v>
      </c>
      <c r="H7" s="1" t="str">
        <f>VLOOKUP(G7,dataNodes!$B$2:$C$19,2,FALSE)</f>
        <v>Quantity</v>
      </c>
      <c r="I7" s="1" t="str">
        <f t="shared" si="0"/>
        <v>d08</v>
      </c>
      <c r="M7" s="7" t="str">
        <f>[1]dataNodes!B7</f>
        <v>Extreme Events</v>
      </c>
      <c r="N7" s="4" t="str">
        <f>[1]dataNodes!A7</f>
        <v>d06</v>
      </c>
    </row>
    <row r="8" spans="1:14">
      <c r="A8" s="1" t="s">
        <v>168</v>
      </c>
      <c r="B8" s="1" t="s">
        <v>390</v>
      </c>
      <c r="C8" s="1" t="s">
        <v>309</v>
      </c>
      <c r="D8" s="1" t="s">
        <v>301</v>
      </c>
      <c r="E8" s="1" t="s">
        <v>391</v>
      </c>
      <c r="F8" s="1" t="s">
        <v>509</v>
      </c>
      <c r="G8" s="1" t="s">
        <v>471</v>
      </c>
      <c r="H8" s="1" t="str">
        <f>VLOOKUP(G8,[1]dataNodes!$B$2:$C$19,2,FALSE)</f>
        <v>Quality</v>
      </c>
      <c r="I8" s="1" t="str">
        <f t="shared" si="0"/>
        <v>d04</v>
      </c>
      <c r="M8" s="7" t="str">
        <f>[1]dataNodes!B8</f>
        <v>Glacial and Snow</v>
      </c>
      <c r="N8" s="4" t="str">
        <f>[1]dataNodes!A8</f>
        <v>d07</v>
      </c>
    </row>
    <row r="9" spans="1:14">
      <c r="A9" s="1" t="s">
        <v>168</v>
      </c>
      <c r="B9" s="1" t="s">
        <v>390</v>
      </c>
      <c r="C9" s="1" t="s">
        <v>309</v>
      </c>
      <c r="D9" s="1" t="s">
        <v>301</v>
      </c>
      <c r="E9" s="1" t="s">
        <v>391</v>
      </c>
      <c r="F9" s="1" t="s">
        <v>509</v>
      </c>
      <c r="G9" s="1" t="s">
        <v>469</v>
      </c>
      <c r="H9" s="1" t="str">
        <f>VLOOKUP(G9,[1]dataNodes!$B$2:$C$19,2,FALSE)</f>
        <v>Quality</v>
      </c>
      <c r="I9" s="1" t="str">
        <f t="shared" si="0"/>
        <v>d03</v>
      </c>
      <c r="M9" s="7" t="str">
        <f>[1]dataNodes!B9</f>
        <v>Groundwater</v>
      </c>
      <c r="N9" s="4" t="str">
        <f>[1]dataNodes!A9</f>
        <v>d08</v>
      </c>
    </row>
    <row r="10" spans="1:14">
      <c r="A10" s="1" t="s">
        <v>168</v>
      </c>
      <c r="B10" s="1" t="s">
        <v>390</v>
      </c>
      <c r="C10" s="1" t="s">
        <v>309</v>
      </c>
      <c r="D10" s="1" t="s">
        <v>301</v>
      </c>
      <c r="E10" s="1" t="s">
        <v>391</v>
      </c>
      <c r="F10" s="1" t="s">
        <v>509</v>
      </c>
      <c r="G10" s="1" t="s">
        <v>309</v>
      </c>
      <c r="H10" s="1" t="str">
        <f>VLOOKUP(G10,[1]dataNodes!$B$2:$C$19,2,FALSE)</f>
        <v>Quantity</v>
      </c>
      <c r="I10" s="1" t="str">
        <f t="shared" si="0"/>
        <v>d08</v>
      </c>
      <c r="M10" s="7" t="str">
        <f>[1]dataNodes!B10</f>
        <v>Meteorology</v>
      </c>
      <c r="N10" s="4" t="str">
        <f>[1]dataNodes!A10</f>
        <v>d09</v>
      </c>
    </row>
    <row r="11" spans="1:14">
      <c r="A11" s="1" t="s">
        <v>170</v>
      </c>
      <c r="B11" s="1" t="s">
        <v>392</v>
      </c>
      <c r="C11" s="1" t="s">
        <v>309</v>
      </c>
      <c r="D11" s="1" t="s">
        <v>301</v>
      </c>
      <c r="E11" s="1" t="s">
        <v>393</v>
      </c>
      <c r="F11" s="1" t="s">
        <v>510</v>
      </c>
      <c r="G11" s="1" t="s">
        <v>469</v>
      </c>
      <c r="H11" s="1" t="str">
        <f>VLOOKUP(G11,[1]dataNodes!$B$2:$C$19,2,FALSE)</f>
        <v>Quality</v>
      </c>
      <c r="I11" s="1" t="str">
        <f t="shared" si="0"/>
        <v>d03</v>
      </c>
      <c r="M11" s="7" t="str">
        <f>[1]dataNodes!B11</f>
        <v>Precipitation</v>
      </c>
      <c r="N11" s="4" t="str">
        <f>[1]dataNodes!A11</f>
        <v>d10</v>
      </c>
    </row>
    <row r="12" spans="1:14">
      <c r="A12" s="1" t="s">
        <v>170</v>
      </c>
      <c r="B12" s="1" t="s">
        <v>392</v>
      </c>
      <c r="C12" s="1" t="s">
        <v>309</v>
      </c>
      <c r="D12" s="1" t="s">
        <v>301</v>
      </c>
      <c r="E12" s="1" t="s">
        <v>393</v>
      </c>
      <c r="F12" s="1" t="s">
        <v>600</v>
      </c>
      <c r="G12" s="1" t="s">
        <v>309</v>
      </c>
      <c r="H12" s="1" t="str">
        <f>VLOOKUP(G12,[1]dataNodes!$B$2:$C$19,2,FALSE)</f>
        <v>Quantity</v>
      </c>
      <c r="I12" s="1" t="str">
        <f t="shared" si="0"/>
        <v>d08</v>
      </c>
      <c r="M12" s="7" t="str">
        <f>[1]dataNodes!B12</f>
        <v>Reservoir</v>
      </c>
      <c r="N12" s="4" t="str">
        <f>[1]dataNodes!A12</f>
        <v>d11</v>
      </c>
    </row>
    <row r="13" spans="1:14">
      <c r="A13" s="1" t="s">
        <v>172</v>
      </c>
      <c r="B13" s="1" t="s">
        <v>395</v>
      </c>
      <c r="C13" s="1" t="s">
        <v>313</v>
      </c>
      <c r="D13" s="1" t="s">
        <v>301</v>
      </c>
      <c r="E13" s="1" t="s">
        <v>396</v>
      </c>
      <c r="F13" s="1" t="s">
        <v>511</v>
      </c>
      <c r="G13" s="1" t="s">
        <v>499</v>
      </c>
      <c r="H13" s="1" t="str">
        <f>VLOOKUP(G13,[1]dataNodes!$B$2:$C$19,2,FALSE)</f>
        <v>Use</v>
      </c>
      <c r="I13" s="1" t="str">
        <f t="shared" si="0"/>
        <v>d18</v>
      </c>
      <c r="M13" s="7" t="str">
        <f>[1]dataNodes!B13</f>
        <v>Soil</v>
      </c>
      <c r="N13" s="4" t="str">
        <f>[1]dataNodes!A13</f>
        <v>d12</v>
      </c>
    </row>
    <row r="14" spans="1:14">
      <c r="A14" s="1" t="s">
        <v>174</v>
      </c>
      <c r="B14" s="1" t="s">
        <v>398</v>
      </c>
      <c r="C14" s="1" t="s">
        <v>313</v>
      </c>
      <c r="D14" s="1" t="s">
        <v>301</v>
      </c>
      <c r="E14" s="6" t="s">
        <v>399</v>
      </c>
      <c r="F14" s="1" t="s">
        <v>512</v>
      </c>
      <c r="G14" s="1" t="s">
        <v>499</v>
      </c>
      <c r="H14" s="1" t="str">
        <f>VLOOKUP(G14,[1]dataNodes!$B$2:$C$19,2,FALSE)</f>
        <v>Use</v>
      </c>
      <c r="I14" s="1" t="str">
        <f t="shared" si="0"/>
        <v>d18</v>
      </c>
      <c r="M14" s="7" t="str">
        <f>[1]dataNodes!B14</f>
        <v>Surface Water</v>
      </c>
      <c r="N14" s="4" t="str">
        <f>[1]dataNodes!A14</f>
        <v>d13</v>
      </c>
    </row>
    <row r="15" spans="1:14">
      <c r="A15" s="1" t="s">
        <v>174</v>
      </c>
      <c r="B15" s="1" t="s">
        <v>398</v>
      </c>
      <c r="C15" s="1" t="s">
        <v>313</v>
      </c>
      <c r="D15" s="1" t="s">
        <v>301</v>
      </c>
      <c r="E15" s="6" t="s">
        <v>399</v>
      </c>
      <c r="F15" s="1" t="s">
        <v>513</v>
      </c>
      <c r="G15" s="1" t="s">
        <v>469</v>
      </c>
      <c r="H15" s="1" t="str">
        <f>VLOOKUP(G15,[1]dataNodes!$B$2:$C$19,2,FALSE)</f>
        <v>Quality</v>
      </c>
      <c r="I15" s="1" t="str">
        <f t="shared" si="0"/>
        <v>d03</v>
      </c>
      <c r="M15" s="7" t="str">
        <f>[1]dataNodes!B15</f>
        <v>Hydropower</v>
      </c>
      <c r="N15" s="4" t="str">
        <f>[1]dataNodes!A15</f>
        <v>d14</v>
      </c>
    </row>
    <row r="16" spans="1:14">
      <c r="A16" s="1" t="s">
        <v>176</v>
      </c>
      <c r="B16" s="1" t="s">
        <v>400</v>
      </c>
      <c r="C16" s="1" t="s">
        <v>313</v>
      </c>
      <c r="D16" s="1" t="s">
        <v>301</v>
      </c>
      <c r="E16" s="6" t="s">
        <v>401</v>
      </c>
      <c r="F16" s="1" t="s">
        <v>514</v>
      </c>
      <c r="G16" s="1" t="s">
        <v>471</v>
      </c>
      <c r="H16" s="1" t="str">
        <f>VLOOKUP(G16,[1]dataNodes!$B$2:$C$19,2,FALSE)</f>
        <v>Quality</v>
      </c>
      <c r="I16" s="1" t="str">
        <f t="shared" si="0"/>
        <v>d04</v>
      </c>
      <c r="M16" s="7" t="str">
        <f>[1]dataNodes!B16</f>
        <v>Irrigation</v>
      </c>
      <c r="N16" s="4" t="str">
        <f>[1]dataNodes!A16</f>
        <v>d15</v>
      </c>
    </row>
    <row r="17" spans="1:14">
      <c r="A17" s="1" t="s">
        <v>176</v>
      </c>
      <c r="B17" s="1" t="s">
        <v>400</v>
      </c>
      <c r="C17" s="1" t="s">
        <v>313</v>
      </c>
      <c r="D17" s="1" t="s">
        <v>301</v>
      </c>
      <c r="E17" s="6" t="s">
        <v>401</v>
      </c>
      <c r="F17" s="1" t="s">
        <v>514</v>
      </c>
      <c r="G17" s="1" t="s">
        <v>469</v>
      </c>
      <c r="H17" s="1" t="str">
        <f>VLOOKUP(G17,[1]dataNodes!$B$2:$C$19,2,FALSE)</f>
        <v>Quality</v>
      </c>
      <c r="I17" s="1" t="str">
        <f t="shared" si="0"/>
        <v>d03</v>
      </c>
      <c r="M17" s="7" t="str">
        <f>[1]dataNodes!B17</f>
        <v>Use</v>
      </c>
      <c r="N17" s="4" t="str">
        <f>[1]dataNodes!A17</f>
        <v>d16</v>
      </c>
    </row>
    <row r="18" spans="1:14">
      <c r="A18" s="1" t="s">
        <v>176</v>
      </c>
      <c r="B18" s="1" t="s">
        <v>400</v>
      </c>
      <c r="C18" s="1" t="s">
        <v>313</v>
      </c>
      <c r="D18" s="1" t="s">
        <v>301</v>
      </c>
      <c r="E18" s="6" t="s">
        <v>401</v>
      </c>
      <c r="F18" s="1" t="s">
        <v>515</v>
      </c>
      <c r="G18" s="1" t="s">
        <v>483</v>
      </c>
      <c r="H18" s="1" t="str">
        <f>VLOOKUP(G18,[1]dataNodes!$B$2:$C$19,2,FALSE)</f>
        <v>Quantity</v>
      </c>
      <c r="I18" s="1" t="str">
        <f t="shared" si="0"/>
        <v>d10</v>
      </c>
      <c r="M18" s="7" t="str">
        <f>[1]dataNodes!B18</f>
        <v>Utilities</v>
      </c>
      <c r="N18" s="4" t="str">
        <f>[1]dataNodes!A18</f>
        <v>d17</v>
      </c>
    </row>
    <row r="19" spans="1:14">
      <c r="A19" s="1" t="s">
        <v>176</v>
      </c>
      <c r="B19" s="1" t="s">
        <v>400</v>
      </c>
      <c r="C19" s="1" t="s">
        <v>313</v>
      </c>
      <c r="D19" s="1" t="s">
        <v>301</v>
      </c>
      <c r="E19" s="6" t="s">
        <v>401</v>
      </c>
      <c r="F19" s="1" t="s">
        <v>516</v>
      </c>
      <c r="G19" s="1" t="s">
        <v>481</v>
      </c>
      <c r="H19" s="1" t="str">
        <f>VLOOKUP(G19,[1]dataNodes!$B$2:$C$19,2,FALSE)</f>
        <v>Quantity</v>
      </c>
      <c r="I19" s="1" t="str">
        <f t="shared" si="0"/>
        <v>d09</v>
      </c>
      <c r="M19" s="7" t="str">
        <f>[1]dataNodes!B19</f>
        <v>Management Plans</v>
      </c>
      <c r="N19" s="4" t="str">
        <f>[1]dataNodes!A19</f>
        <v>d18</v>
      </c>
    </row>
    <row r="20" spans="1:14">
      <c r="A20" s="1" t="s">
        <v>176</v>
      </c>
      <c r="B20" s="1" t="s">
        <v>400</v>
      </c>
      <c r="C20" s="1" t="s">
        <v>313</v>
      </c>
      <c r="D20" s="1" t="s">
        <v>301</v>
      </c>
      <c r="E20" s="6" t="s">
        <v>401</v>
      </c>
      <c r="F20" s="1" t="s">
        <v>517</v>
      </c>
      <c r="G20" s="1" t="s">
        <v>487</v>
      </c>
      <c r="H20" s="1" t="str">
        <f>VLOOKUP(G20,[1]dataNodes!$B$2:$C$19,2,FALSE)</f>
        <v>Quantity</v>
      </c>
      <c r="I20" s="1" t="str">
        <f t="shared" si="0"/>
        <v>d12</v>
      </c>
    </row>
    <row r="21" spans="1:14">
      <c r="A21" s="1" t="s">
        <v>178</v>
      </c>
      <c r="B21" s="1" t="s">
        <v>402</v>
      </c>
      <c r="C21" s="1" t="s">
        <v>313</v>
      </c>
      <c r="D21" s="1" t="s">
        <v>301</v>
      </c>
      <c r="E21" s="6" t="s">
        <v>403</v>
      </c>
      <c r="F21" s="1" t="s">
        <v>518</v>
      </c>
      <c r="G21" s="1" t="s">
        <v>471</v>
      </c>
      <c r="H21" s="1" t="str">
        <f>VLOOKUP(G21,[1]dataNodes!$B$2:$C$19,2,FALSE)</f>
        <v>Quality</v>
      </c>
      <c r="I21" s="1" t="str">
        <f t="shared" si="0"/>
        <v>d04</v>
      </c>
    </row>
    <row r="22" spans="1:14">
      <c r="A22" s="1" t="s">
        <v>178</v>
      </c>
      <c r="B22" s="1" t="s">
        <v>402</v>
      </c>
      <c r="C22" s="1" t="s">
        <v>313</v>
      </c>
      <c r="D22" s="1" t="s">
        <v>301</v>
      </c>
      <c r="E22" s="6" t="s">
        <v>403</v>
      </c>
      <c r="F22" s="1" t="s">
        <v>519</v>
      </c>
      <c r="G22" s="1" t="s">
        <v>469</v>
      </c>
      <c r="H22" s="1" t="str">
        <f>VLOOKUP(G22,[1]dataNodes!$B$2:$C$19,2,FALSE)</f>
        <v>Quality</v>
      </c>
      <c r="I22" s="1" t="str">
        <f t="shared" si="0"/>
        <v>d03</v>
      </c>
    </row>
    <row r="23" spans="1:14">
      <c r="A23" s="1" t="s">
        <v>178</v>
      </c>
      <c r="B23" s="1" t="s">
        <v>402</v>
      </c>
      <c r="C23" s="1" t="s">
        <v>313</v>
      </c>
      <c r="D23" s="1" t="s">
        <v>301</v>
      </c>
      <c r="E23" s="6" t="s">
        <v>403</v>
      </c>
      <c r="F23" s="1" t="s">
        <v>520</v>
      </c>
      <c r="G23" s="1" t="s">
        <v>492</v>
      </c>
      <c r="H23" s="1" t="str">
        <f>VLOOKUP(G23,[1]dataNodes!$B$2:$C$19,2,FALSE)</f>
        <v>Use</v>
      </c>
      <c r="I23" s="1" t="str">
        <f t="shared" si="0"/>
        <v>d16</v>
      </c>
    </row>
    <row r="24" spans="1:14">
      <c r="A24" s="1" t="s">
        <v>178</v>
      </c>
      <c r="B24" s="1" t="s">
        <v>402</v>
      </c>
      <c r="C24" s="1" t="s">
        <v>313</v>
      </c>
      <c r="D24" s="1" t="s">
        <v>301</v>
      </c>
      <c r="E24" s="6" t="s">
        <v>403</v>
      </c>
      <c r="F24" s="1" t="s">
        <v>521</v>
      </c>
      <c r="G24" s="1" t="s">
        <v>467</v>
      </c>
      <c r="H24" s="1" t="str">
        <f>VLOOKUP(G24,[1]dataNodes!$B$2:$C$19,2,FALSE)</f>
        <v>Infrastructure</v>
      </c>
      <c r="I24" s="1" t="str">
        <f t="shared" si="0"/>
        <v>d02</v>
      </c>
    </row>
    <row r="25" spans="1:14">
      <c r="A25" s="1" t="s">
        <v>180</v>
      </c>
      <c r="B25" s="1" t="s">
        <v>405</v>
      </c>
      <c r="C25" s="1" t="s">
        <v>317</v>
      </c>
      <c r="D25" s="1" t="s">
        <v>301</v>
      </c>
      <c r="E25" s="1" t="s">
        <v>406</v>
      </c>
      <c r="F25" s="1" t="s">
        <v>522</v>
      </c>
      <c r="G25" s="1" t="s">
        <v>471</v>
      </c>
      <c r="H25" s="1" t="str">
        <f>VLOOKUP(G25,[1]dataNodes!$B$2:$C$19,2,FALSE)</f>
        <v>Quality</v>
      </c>
      <c r="I25" s="1" t="str">
        <f t="shared" si="0"/>
        <v>d04</v>
      </c>
    </row>
    <row r="26" spans="1:14">
      <c r="A26" s="1" t="s">
        <v>180</v>
      </c>
      <c r="B26" s="1" t="s">
        <v>405</v>
      </c>
      <c r="C26" s="1" t="s">
        <v>317</v>
      </c>
      <c r="D26" s="1" t="s">
        <v>301</v>
      </c>
      <c r="E26" s="1" t="s">
        <v>406</v>
      </c>
      <c r="F26" s="1" t="s">
        <v>523</v>
      </c>
      <c r="G26" s="1" t="s">
        <v>497</v>
      </c>
      <c r="H26" s="1" t="str">
        <f>VLOOKUP(G26,[1]dataNodes!$B$2:$C$19,2,FALSE)</f>
        <v>Use</v>
      </c>
      <c r="I26" s="1" t="str">
        <f t="shared" si="0"/>
        <v>d17</v>
      </c>
    </row>
    <row r="27" spans="1:14">
      <c r="A27" s="1" t="s">
        <v>184</v>
      </c>
      <c r="B27" s="1" t="s">
        <v>407</v>
      </c>
      <c r="C27" s="53" t="s">
        <v>341</v>
      </c>
      <c r="D27" s="1" t="s">
        <v>524</v>
      </c>
      <c r="E27" s="6" t="s">
        <v>416</v>
      </c>
      <c r="F27" s="1" t="s">
        <v>525</v>
      </c>
      <c r="G27" s="1" t="s">
        <v>478</v>
      </c>
      <c r="H27" s="1" t="str">
        <f>VLOOKUP(G27,dataNodes!$B$2:$C$19,2,FALSE)</f>
        <v>Quantity</v>
      </c>
      <c r="I27" s="1" t="str">
        <f t="shared" si="0"/>
        <v>d07</v>
      </c>
    </row>
    <row r="28" spans="1:14">
      <c r="A28" s="1" t="s">
        <v>186</v>
      </c>
      <c r="B28" s="1" t="s">
        <v>409</v>
      </c>
      <c r="C28" s="53" t="s">
        <v>341</v>
      </c>
      <c r="D28" s="1" t="s">
        <v>524</v>
      </c>
      <c r="E28" s="6" t="s">
        <v>410</v>
      </c>
      <c r="F28" s="1" t="s">
        <v>525</v>
      </c>
      <c r="G28" s="1" t="s">
        <v>478</v>
      </c>
      <c r="H28" s="1" t="str">
        <f>VLOOKUP(G28,dataNodes!$B$2:$C$19,2,FALSE)</f>
        <v>Quantity</v>
      </c>
      <c r="I28" s="1" t="str">
        <f t="shared" si="0"/>
        <v>d07</v>
      </c>
    </row>
    <row r="29" spans="1:14">
      <c r="A29" s="1" t="s">
        <v>188</v>
      </c>
      <c r="B29" s="1" t="s">
        <v>411</v>
      </c>
      <c r="C29" s="53" t="s">
        <v>341</v>
      </c>
      <c r="D29" s="1" t="s">
        <v>524</v>
      </c>
      <c r="E29" s="6" t="s">
        <v>526</v>
      </c>
      <c r="F29" s="1" t="s">
        <v>527</v>
      </c>
      <c r="G29" s="1" t="s">
        <v>478</v>
      </c>
      <c r="H29" s="1" t="str">
        <f>VLOOKUP(G29,dataNodes!$B$2:$C$19,2,FALSE)</f>
        <v>Quantity</v>
      </c>
      <c r="I29" s="1" t="str">
        <f t="shared" si="0"/>
        <v>d07</v>
      </c>
    </row>
    <row r="30" spans="1:14">
      <c r="A30" s="1" t="s">
        <v>190</v>
      </c>
      <c r="B30" s="1" t="s">
        <v>413</v>
      </c>
      <c r="C30" s="1" t="s">
        <v>524</v>
      </c>
      <c r="D30" s="1" t="s">
        <v>524</v>
      </c>
      <c r="E30" s="6" t="s">
        <v>415</v>
      </c>
      <c r="F30" s="1" t="s">
        <v>528</v>
      </c>
      <c r="G30" s="1" t="s">
        <v>485</v>
      </c>
      <c r="H30" s="1" t="str">
        <f>VLOOKUP(G30,dataNodes!$B$2:$C$19,2,FALSE)</f>
        <v>Quantity</v>
      </c>
      <c r="I30" s="1" t="str">
        <f t="shared" si="0"/>
        <v>d11</v>
      </c>
    </row>
    <row r="31" spans="1:14">
      <c r="A31" s="1" t="s">
        <v>190</v>
      </c>
      <c r="B31" s="1" t="s">
        <v>413</v>
      </c>
      <c r="C31" s="1" t="s">
        <v>524</v>
      </c>
      <c r="D31" s="1" t="s">
        <v>524</v>
      </c>
      <c r="E31" s="6" t="s">
        <v>415</v>
      </c>
      <c r="F31" s="1" t="s">
        <v>529</v>
      </c>
      <c r="G31" s="1" t="s">
        <v>469</v>
      </c>
      <c r="H31" s="1" t="str">
        <f>VLOOKUP(G31,dataNodes!$B$2:$C$19,2,FALSE)</f>
        <v>Quality</v>
      </c>
      <c r="I31" s="1" t="str">
        <f t="shared" si="0"/>
        <v>d03</v>
      </c>
    </row>
    <row r="32" spans="1:14">
      <c r="A32" s="1" t="s">
        <v>190</v>
      </c>
      <c r="B32" s="1" t="s">
        <v>413</v>
      </c>
      <c r="C32" s="1" t="s">
        <v>524</v>
      </c>
      <c r="D32" s="1" t="s">
        <v>524</v>
      </c>
      <c r="E32" s="6" t="s">
        <v>415</v>
      </c>
      <c r="F32" s="1" t="s">
        <v>530</v>
      </c>
      <c r="G32" s="1" t="s">
        <v>483</v>
      </c>
      <c r="H32" s="1" t="str">
        <f>VLOOKUP(G32,dataNodes!$B$2:$C$19,2,FALSE)</f>
        <v>Quantity</v>
      </c>
      <c r="I32" s="1" t="str">
        <f t="shared" si="0"/>
        <v>d10</v>
      </c>
    </row>
    <row r="33" spans="1:9">
      <c r="A33" s="1" t="s">
        <v>190</v>
      </c>
      <c r="B33" s="1" t="s">
        <v>413</v>
      </c>
      <c r="C33" s="1" t="s">
        <v>524</v>
      </c>
      <c r="D33" s="1" t="s">
        <v>524</v>
      </c>
      <c r="E33" s="6" t="s">
        <v>415</v>
      </c>
      <c r="F33" s="1" t="s">
        <v>531</v>
      </c>
      <c r="G33" s="1" t="s">
        <v>481</v>
      </c>
      <c r="H33" s="1" t="str">
        <f>VLOOKUP(G33,dataNodes!$B$2:$C$19,2,FALSE)</f>
        <v>Quantity</v>
      </c>
      <c r="I33" s="1" t="str">
        <f t="shared" si="0"/>
        <v>d09</v>
      </c>
    </row>
    <row r="34" spans="1:9">
      <c r="A34" s="1" t="s">
        <v>190</v>
      </c>
      <c r="B34" s="1" t="s">
        <v>413</v>
      </c>
      <c r="C34" s="1" t="s">
        <v>524</v>
      </c>
      <c r="D34" s="1" t="s">
        <v>524</v>
      </c>
      <c r="E34" s="6" t="s">
        <v>415</v>
      </c>
      <c r="F34" s="1" t="s">
        <v>532</v>
      </c>
      <c r="G34" s="1" t="s">
        <v>489</v>
      </c>
      <c r="H34" s="1" t="str">
        <f>VLOOKUP(G34,dataNodes!$B$2:$C$19,2,FALSE)</f>
        <v>Quantity</v>
      </c>
      <c r="I34" s="1" t="str">
        <f t="shared" si="0"/>
        <v>d13</v>
      </c>
    </row>
    <row r="35" spans="1:9">
      <c r="A35" s="1" t="s">
        <v>190</v>
      </c>
      <c r="B35" s="1" t="s">
        <v>413</v>
      </c>
      <c r="C35" s="1" t="s">
        <v>524</v>
      </c>
      <c r="D35" s="1" t="s">
        <v>524</v>
      </c>
      <c r="E35" s="6" t="s">
        <v>415</v>
      </c>
      <c r="F35" s="1" t="s">
        <v>533</v>
      </c>
      <c r="G35" s="1" t="s">
        <v>478</v>
      </c>
      <c r="H35" s="1" t="str">
        <f>VLOOKUP(G35,dataNodes!$B$2:$C$19,2,FALSE)</f>
        <v>Quantity</v>
      </c>
      <c r="I35" s="1" t="str">
        <f t="shared" si="0"/>
        <v>d07</v>
      </c>
    </row>
    <row r="36" spans="1:9">
      <c r="A36" s="1" t="s">
        <v>190</v>
      </c>
      <c r="B36" s="1" t="s">
        <v>413</v>
      </c>
      <c r="C36" s="1" t="s">
        <v>524</v>
      </c>
      <c r="D36" s="1" t="s">
        <v>524</v>
      </c>
      <c r="E36" s="6" t="s">
        <v>415</v>
      </c>
      <c r="F36" s="1" t="s">
        <v>606</v>
      </c>
      <c r="G36" s="1" t="s">
        <v>491</v>
      </c>
      <c r="H36" s="1" t="str">
        <f>VLOOKUP(G36,dataNodes!$B$2:$C$19,2,FALSE)</f>
        <v>Use</v>
      </c>
      <c r="I36" s="1" t="str">
        <f t="shared" ref="I36:I37" si="1">VLOOKUP(G36,$M$2:$N$19,2,FALSE)</f>
        <v>d14</v>
      </c>
    </row>
    <row r="37" spans="1:9">
      <c r="A37" s="1" t="s">
        <v>192</v>
      </c>
      <c r="B37" s="1" t="s">
        <v>610</v>
      </c>
      <c r="C37" s="53" t="s">
        <v>341</v>
      </c>
      <c r="D37" s="1" t="s">
        <v>524</v>
      </c>
      <c r="E37" s="6" t="s">
        <v>416</v>
      </c>
      <c r="F37" s="1" t="s">
        <v>534</v>
      </c>
      <c r="G37" s="1" t="s">
        <v>478</v>
      </c>
      <c r="H37" s="1" t="str">
        <f>VLOOKUP(G37,dataNodes!$B$2:$C$19,2,FALSE)</f>
        <v>Quantity</v>
      </c>
      <c r="I37" s="1" t="str">
        <f t="shared" si="1"/>
        <v>d07</v>
      </c>
    </row>
    <row r="38" spans="1:9">
      <c r="A38" s="1" t="s">
        <v>192</v>
      </c>
      <c r="B38" s="1" t="s">
        <v>610</v>
      </c>
      <c r="C38" s="53" t="s">
        <v>341</v>
      </c>
      <c r="D38" s="1" t="s">
        <v>524</v>
      </c>
      <c r="E38" s="6" t="s">
        <v>416</v>
      </c>
      <c r="F38" s="1" t="s">
        <v>614</v>
      </c>
      <c r="G38" s="1" t="s">
        <v>481</v>
      </c>
      <c r="H38" s="1" t="str">
        <f>VLOOKUP(G38,dataNodes!$B$2:$C$19,2,FALSE)</f>
        <v>Quantity</v>
      </c>
      <c r="I38" s="1" t="str">
        <f t="shared" ref="I38:I61" si="2">VLOOKUP(G38,$M$2:$N$19,2,FALSE)</f>
        <v>d09</v>
      </c>
    </row>
    <row r="39" spans="1:9">
      <c r="A39" s="1" t="s">
        <v>192</v>
      </c>
      <c r="B39" s="1" t="s">
        <v>610</v>
      </c>
      <c r="C39" s="53" t="s">
        <v>341</v>
      </c>
      <c r="D39" s="1" t="s">
        <v>524</v>
      </c>
      <c r="E39" s="6" t="s">
        <v>416</v>
      </c>
      <c r="F39" s="1" t="s">
        <v>483</v>
      </c>
      <c r="G39" s="1" t="s">
        <v>483</v>
      </c>
      <c r="H39" s="1" t="str">
        <f>VLOOKUP(G39,dataNodes!$B$2:$C$19,2,FALSE)</f>
        <v>Quantity</v>
      </c>
      <c r="I39" s="1" t="str">
        <f t="shared" si="2"/>
        <v>d10</v>
      </c>
    </row>
    <row r="40" spans="1:9">
      <c r="A40" s="1" t="s">
        <v>192</v>
      </c>
      <c r="B40" s="1" t="s">
        <v>610</v>
      </c>
      <c r="C40" s="53" t="s">
        <v>341</v>
      </c>
      <c r="D40" s="1" t="s">
        <v>524</v>
      </c>
      <c r="E40" s="6" t="s">
        <v>416</v>
      </c>
      <c r="F40" s="1" t="s">
        <v>615</v>
      </c>
      <c r="G40" s="1" t="s">
        <v>489</v>
      </c>
      <c r="H40" s="1" t="str">
        <f>VLOOKUP(G40,dataNodes!$B$2:$C$19,2,FALSE)</f>
        <v>Quantity</v>
      </c>
      <c r="I40" s="1" t="str">
        <f t="shared" si="2"/>
        <v>d13</v>
      </c>
    </row>
    <row r="41" spans="1:9">
      <c r="A41" s="1" t="s">
        <v>192</v>
      </c>
      <c r="B41" s="1" t="s">
        <v>610</v>
      </c>
      <c r="C41" s="53" t="s">
        <v>341</v>
      </c>
      <c r="D41" s="1" t="s">
        <v>524</v>
      </c>
      <c r="E41" s="6" t="s">
        <v>416</v>
      </c>
      <c r="F41" s="1" t="s">
        <v>309</v>
      </c>
      <c r="G41" s="1" t="s">
        <v>309</v>
      </c>
      <c r="H41" s="1" t="str">
        <f>VLOOKUP(G41,dataNodes!$B$2:$C$19,2,FALSE)</f>
        <v>Quantity</v>
      </c>
      <c r="I41" s="1" t="str">
        <f t="shared" si="2"/>
        <v>d08</v>
      </c>
    </row>
    <row r="42" spans="1:9">
      <c r="A42" s="1" t="s">
        <v>192</v>
      </c>
      <c r="B42" s="1" t="s">
        <v>610</v>
      </c>
      <c r="C42" s="53" t="s">
        <v>341</v>
      </c>
      <c r="D42" s="1" t="s">
        <v>524</v>
      </c>
      <c r="E42" s="6" t="s">
        <v>416</v>
      </c>
      <c r="F42" s="1" t="s">
        <v>528</v>
      </c>
      <c r="G42" s="1" t="s">
        <v>485</v>
      </c>
      <c r="H42" s="1" t="str">
        <f>VLOOKUP(G42,dataNodes!$B$2:$C$19,2,FALSE)</f>
        <v>Quantity</v>
      </c>
      <c r="I42" s="1" t="str">
        <f t="shared" si="2"/>
        <v>d11</v>
      </c>
    </row>
    <row r="43" spans="1:9">
      <c r="A43" s="1" t="s">
        <v>192</v>
      </c>
      <c r="B43" s="1" t="s">
        <v>610</v>
      </c>
      <c r="C43" s="53" t="s">
        <v>341</v>
      </c>
      <c r="D43" s="1" t="s">
        <v>524</v>
      </c>
      <c r="E43" s="6" t="s">
        <v>416</v>
      </c>
      <c r="F43" s="1" t="s">
        <v>616</v>
      </c>
      <c r="G43" s="1" t="s">
        <v>492</v>
      </c>
      <c r="H43" s="1" t="str">
        <f>VLOOKUP(G43,dataNodes!$B$2:$C$19,2,FALSE)</f>
        <v>Use</v>
      </c>
      <c r="I43" s="1" t="str">
        <f t="shared" si="2"/>
        <v>d16</v>
      </c>
    </row>
    <row r="44" spans="1:9">
      <c r="A44" s="1" t="s">
        <v>192</v>
      </c>
      <c r="B44" s="1" t="s">
        <v>610</v>
      </c>
      <c r="C44" s="53" t="s">
        <v>341</v>
      </c>
      <c r="D44" s="1" t="s">
        <v>524</v>
      </c>
      <c r="E44" s="6" t="s">
        <v>416</v>
      </c>
      <c r="F44" s="1" t="s">
        <v>618</v>
      </c>
      <c r="G44" s="1" t="s">
        <v>476</v>
      </c>
      <c r="H44" s="1" t="str">
        <f>VLOOKUP(G44,dataNodes!$B$2:$C$19,2,FALSE)</f>
        <v>Quantity</v>
      </c>
      <c r="I44" s="1" t="str">
        <f t="shared" si="2"/>
        <v>d06</v>
      </c>
    </row>
    <row r="45" spans="1:9">
      <c r="A45" s="1" t="s">
        <v>196</v>
      </c>
      <c r="B45" s="1" t="s">
        <v>417</v>
      </c>
      <c r="C45" s="1" t="s">
        <v>330</v>
      </c>
      <c r="D45" s="1" t="s">
        <v>326</v>
      </c>
      <c r="E45" s="1" t="s">
        <v>418</v>
      </c>
      <c r="F45" s="1" t="s">
        <v>535</v>
      </c>
      <c r="G45" s="1" t="s">
        <v>483</v>
      </c>
      <c r="H45" s="1" t="str">
        <f>VLOOKUP(G45,[1]dataNodes!$B$2:$C$19,2,FALSE)</f>
        <v>Quantity</v>
      </c>
      <c r="I45" s="1" t="str">
        <f t="shared" si="2"/>
        <v>d10</v>
      </c>
    </row>
    <row r="46" spans="1:9">
      <c r="A46" s="1" t="s">
        <v>196</v>
      </c>
      <c r="B46" s="1" t="s">
        <v>417</v>
      </c>
      <c r="C46" s="1" t="s">
        <v>330</v>
      </c>
      <c r="D46" s="1" t="s">
        <v>326</v>
      </c>
      <c r="E46" s="1" t="s">
        <v>418</v>
      </c>
      <c r="F46" s="1" t="s">
        <v>536</v>
      </c>
      <c r="G46" s="1" t="s">
        <v>309</v>
      </c>
      <c r="H46" s="1" t="str">
        <f>VLOOKUP(G46,[1]dataNodes!$B$2:$C$19,2,FALSE)</f>
        <v>Quantity</v>
      </c>
      <c r="I46" s="1" t="str">
        <f t="shared" si="2"/>
        <v>d08</v>
      </c>
    </row>
    <row r="47" spans="1:9">
      <c r="A47" s="1" t="s">
        <v>196</v>
      </c>
      <c r="B47" s="1" t="s">
        <v>417</v>
      </c>
      <c r="C47" s="1" t="s">
        <v>330</v>
      </c>
      <c r="D47" s="1" t="s">
        <v>326</v>
      </c>
      <c r="E47" s="1" t="s">
        <v>418</v>
      </c>
      <c r="F47" s="1" t="s">
        <v>537</v>
      </c>
      <c r="G47" s="1" t="s">
        <v>471</v>
      </c>
      <c r="H47" s="1" t="str">
        <f>VLOOKUP(G47,[1]dataNodes!$B$2:$C$19,2,FALSE)</f>
        <v>Quality</v>
      </c>
      <c r="I47" s="1" t="str">
        <f t="shared" si="2"/>
        <v>d04</v>
      </c>
    </row>
    <row r="48" spans="1:9">
      <c r="A48" s="1" t="s">
        <v>196</v>
      </c>
      <c r="B48" s="1" t="s">
        <v>417</v>
      </c>
      <c r="C48" s="1" t="s">
        <v>330</v>
      </c>
      <c r="D48" s="1" t="s">
        <v>326</v>
      </c>
      <c r="E48" s="1" t="s">
        <v>418</v>
      </c>
      <c r="F48" s="1" t="s">
        <v>538</v>
      </c>
      <c r="G48" s="1" t="s">
        <v>497</v>
      </c>
      <c r="H48" s="1" t="str">
        <f>VLOOKUP(G48,[1]dataNodes!$B$2:$C$19,2,FALSE)</f>
        <v>Use</v>
      </c>
      <c r="I48" s="1" t="str">
        <f t="shared" si="2"/>
        <v>d17</v>
      </c>
    </row>
    <row r="49" spans="1:9">
      <c r="A49" s="1" t="s">
        <v>196</v>
      </c>
      <c r="B49" s="1" t="s">
        <v>417</v>
      </c>
      <c r="C49" s="1" t="s">
        <v>330</v>
      </c>
      <c r="D49" s="1" t="s">
        <v>326</v>
      </c>
      <c r="E49" s="1" t="s">
        <v>418</v>
      </c>
      <c r="F49" s="1" t="s">
        <v>539</v>
      </c>
      <c r="G49" s="1" t="s">
        <v>464</v>
      </c>
      <c r="H49" s="1" t="str">
        <f>VLOOKUP(G49,[1]dataNodes!$B$2:$C$19,2,FALSE)</f>
        <v>Infrastructure</v>
      </c>
      <c r="I49" s="1" t="str">
        <f t="shared" si="2"/>
        <v>d01</v>
      </c>
    </row>
    <row r="50" spans="1:9">
      <c r="A50" s="1" t="s">
        <v>198</v>
      </c>
      <c r="B50" s="1" t="s">
        <v>420</v>
      </c>
      <c r="C50" s="1" t="s">
        <v>330</v>
      </c>
      <c r="D50" s="1" t="s">
        <v>326</v>
      </c>
      <c r="E50" s="1" t="s">
        <v>421</v>
      </c>
      <c r="F50" s="1" t="s">
        <v>540</v>
      </c>
      <c r="G50" s="1" t="s">
        <v>309</v>
      </c>
      <c r="H50" s="1" t="str">
        <f>VLOOKUP(G50,[1]dataNodes!$B$2:$C$19,2,FALSE)</f>
        <v>Quantity</v>
      </c>
      <c r="I50" s="1" t="str">
        <f t="shared" si="2"/>
        <v>d08</v>
      </c>
    </row>
    <row r="51" spans="1:9">
      <c r="A51" s="1" t="s">
        <v>200</v>
      </c>
      <c r="B51" s="1" t="s">
        <v>422</v>
      </c>
      <c r="C51" s="1" t="s">
        <v>330</v>
      </c>
      <c r="D51" s="1" t="s">
        <v>326</v>
      </c>
      <c r="E51" s="1" t="s">
        <v>423</v>
      </c>
      <c r="F51" s="1" t="s">
        <v>541</v>
      </c>
      <c r="G51" s="1" t="s">
        <v>309</v>
      </c>
      <c r="H51" s="1" t="str">
        <f>VLOOKUP(G51,[1]dataNodes!$B$2:$C$19,2,FALSE)</f>
        <v>Quantity</v>
      </c>
      <c r="I51" s="1" t="str">
        <f t="shared" si="2"/>
        <v>d08</v>
      </c>
    </row>
    <row r="52" spans="1:9">
      <c r="A52" s="1" t="s">
        <v>200</v>
      </c>
      <c r="B52" s="1" t="s">
        <v>422</v>
      </c>
      <c r="C52" s="1" t="s">
        <v>330</v>
      </c>
      <c r="D52" s="1" t="s">
        <v>326</v>
      </c>
      <c r="E52" s="1" t="s">
        <v>423</v>
      </c>
      <c r="F52" s="1" t="s">
        <v>542</v>
      </c>
      <c r="G52" s="1" t="s">
        <v>489</v>
      </c>
      <c r="H52" s="1" t="str">
        <f>VLOOKUP(G52,[1]dataNodes!$B$2:$C$19,2,FALSE)</f>
        <v>Quantity</v>
      </c>
      <c r="I52" s="1" t="str">
        <f t="shared" si="2"/>
        <v>d13</v>
      </c>
    </row>
    <row r="53" spans="1:9">
      <c r="A53" s="1" t="s">
        <v>200</v>
      </c>
      <c r="B53" s="1" t="s">
        <v>422</v>
      </c>
      <c r="C53" s="1" t="s">
        <v>330</v>
      </c>
      <c r="D53" s="1" t="s">
        <v>326</v>
      </c>
      <c r="E53" s="1" t="s">
        <v>423</v>
      </c>
      <c r="F53" s="1" t="s">
        <v>543</v>
      </c>
      <c r="G53" s="1" t="s">
        <v>464</v>
      </c>
      <c r="H53" s="1" t="str">
        <f>VLOOKUP(G53,[1]dataNodes!$B$2:$C$19,2,FALSE)</f>
        <v>Infrastructure</v>
      </c>
      <c r="I53" s="1" t="str">
        <f t="shared" si="2"/>
        <v>d01</v>
      </c>
    </row>
    <row r="54" spans="1:9">
      <c r="A54" s="1" t="s">
        <v>202</v>
      </c>
      <c r="B54" s="1" t="s">
        <v>424</v>
      </c>
      <c r="C54" s="1" t="s">
        <v>350</v>
      </c>
      <c r="D54" s="1" t="s">
        <v>346</v>
      </c>
      <c r="E54" s="1" t="s">
        <v>352</v>
      </c>
      <c r="F54" s="1" t="s">
        <v>544</v>
      </c>
      <c r="G54" s="1" t="s">
        <v>464</v>
      </c>
      <c r="H54" s="1" t="str">
        <f>VLOOKUP(G54,[1]dataNodes!$B$2:$C$19,2,FALSE)</f>
        <v>Infrastructure</v>
      </c>
      <c r="I54" s="1" t="str">
        <f t="shared" si="2"/>
        <v>d01</v>
      </c>
    </row>
    <row r="55" spans="1:9">
      <c r="A55" s="1" t="s">
        <v>202</v>
      </c>
      <c r="B55" s="1" t="s">
        <v>424</v>
      </c>
      <c r="C55" s="1" t="s">
        <v>350</v>
      </c>
      <c r="D55" s="1" t="s">
        <v>346</v>
      </c>
      <c r="E55" s="1" t="s">
        <v>545</v>
      </c>
      <c r="F55" s="1" t="s">
        <v>546</v>
      </c>
      <c r="G55" s="1" t="s">
        <v>485</v>
      </c>
      <c r="H55" s="1" t="str">
        <f>VLOOKUP(G55,[1]dataNodes!$B$2:$C$19,2,FALSE)</f>
        <v>Quantity</v>
      </c>
      <c r="I55" s="1" t="str">
        <f t="shared" si="2"/>
        <v>d11</v>
      </c>
    </row>
    <row r="56" spans="1:9">
      <c r="A56" s="1" t="s">
        <v>202</v>
      </c>
      <c r="B56" s="1" t="s">
        <v>424</v>
      </c>
      <c r="C56" s="1" t="s">
        <v>350</v>
      </c>
      <c r="D56" s="1" t="s">
        <v>346</v>
      </c>
      <c r="E56" s="1" t="s">
        <v>545</v>
      </c>
      <c r="F56" s="1" t="s">
        <v>547</v>
      </c>
      <c r="G56" s="1" t="s">
        <v>492</v>
      </c>
      <c r="H56" s="1" t="str">
        <f>VLOOKUP(G56,[1]dataNodes!$B$2:$C$19,2,FALSE)</f>
        <v>Use</v>
      </c>
      <c r="I56" s="1" t="str">
        <f t="shared" si="2"/>
        <v>d16</v>
      </c>
    </row>
    <row r="57" spans="1:9">
      <c r="A57" s="1" t="s">
        <v>204</v>
      </c>
      <c r="B57" s="1" t="s">
        <v>426</v>
      </c>
      <c r="C57" s="1" t="s">
        <v>350</v>
      </c>
      <c r="D57" s="1" t="s">
        <v>346</v>
      </c>
      <c r="E57" s="1" t="s">
        <v>427</v>
      </c>
      <c r="F57" s="1" t="s">
        <v>548</v>
      </c>
      <c r="G57" s="1" t="s">
        <v>489</v>
      </c>
      <c r="H57" s="1" t="str">
        <f>VLOOKUP(G57,[1]dataNodes!$B$2:$C$19,2,FALSE)</f>
        <v>Quantity</v>
      </c>
      <c r="I57" s="1" t="str">
        <f t="shared" si="2"/>
        <v>d13</v>
      </c>
    </row>
    <row r="58" spans="1:9">
      <c r="A58" s="1" t="s">
        <v>206</v>
      </c>
      <c r="B58" s="1" t="s">
        <v>428</v>
      </c>
      <c r="C58" s="1" t="s">
        <v>350</v>
      </c>
      <c r="D58" s="1" t="s">
        <v>346</v>
      </c>
      <c r="E58" s="1" t="s">
        <v>429</v>
      </c>
      <c r="F58" s="1" t="s">
        <v>549</v>
      </c>
      <c r="G58" s="1" t="s">
        <v>489</v>
      </c>
      <c r="H58" s="1" t="str">
        <f>VLOOKUP(G58,[1]dataNodes!$B$2:$C$19,2,FALSE)</f>
        <v>Quantity</v>
      </c>
      <c r="I58" s="1" t="str">
        <f t="shared" si="2"/>
        <v>d13</v>
      </c>
    </row>
    <row r="59" spans="1:9">
      <c r="A59" s="1" t="s">
        <v>206</v>
      </c>
      <c r="B59" s="1" t="s">
        <v>428</v>
      </c>
      <c r="C59" s="1" t="s">
        <v>350</v>
      </c>
      <c r="D59" s="1" t="s">
        <v>346</v>
      </c>
      <c r="E59" s="1" t="s">
        <v>429</v>
      </c>
      <c r="F59" s="1" t="s">
        <v>550</v>
      </c>
      <c r="G59" s="1" t="s">
        <v>481</v>
      </c>
      <c r="H59" s="1" t="str">
        <f>VLOOKUP(G59,[1]dataNodes!$B$2:$C$19,2,FALSE)</f>
        <v>Quantity</v>
      </c>
      <c r="I59" s="1" t="str">
        <f t="shared" si="2"/>
        <v>d09</v>
      </c>
    </row>
    <row r="60" spans="1:9">
      <c r="A60" s="1" t="s">
        <v>206</v>
      </c>
      <c r="B60" s="1" t="s">
        <v>428</v>
      </c>
      <c r="C60" s="1" t="s">
        <v>350</v>
      </c>
      <c r="D60" s="1" t="s">
        <v>346</v>
      </c>
      <c r="E60" s="1" t="s">
        <v>429</v>
      </c>
      <c r="F60" s="1" t="s">
        <v>617</v>
      </c>
      <c r="G60" s="1" t="s">
        <v>476</v>
      </c>
      <c r="H60" s="1" t="str">
        <f>VLOOKUP(G60,[1]dataNodes!$B$2:$C$19,2,FALSE)</f>
        <v>Quantity</v>
      </c>
      <c r="I60" s="1" t="str">
        <f t="shared" si="2"/>
        <v>d06</v>
      </c>
    </row>
    <row r="61" spans="1:9">
      <c r="A61" s="1" t="s">
        <v>206</v>
      </c>
      <c r="B61" s="1" t="s">
        <v>428</v>
      </c>
      <c r="C61" s="1" t="s">
        <v>350</v>
      </c>
      <c r="D61" s="1" t="s">
        <v>346</v>
      </c>
      <c r="E61" s="1" t="s">
        <v>429</v>
      </c>
      <c r="F61" s="1" t="s">
        <v>622</v>
      </c>
      <c r="G61" s="1" t="s">
        <v>478</v>
      </c>
      <c r="H61" s="1" t="str">
        <f>VLOOKUP(G61,[1]dataNodes!$B$2:$C$19,2,FALSE)</f>
        <v>Quantity</v>
      </c>
      <c r="I61" s="1" t="str">
        <f t="shared" si="2"/>
        <v>d07</v>
      </c>
    </row>
    <row r="62" spans="1:9">
      <c r="A62" s="1" t="s">
        <v>206</v>
      </c>
      <c r="B62" s="1" t="s">
        <v>428</v>
      </c>
      <c r="C62" s="1" t="s">
        <v>350</v>
      </c>
      <c r="D62" s="1" t="s">
        <v>346</v>
      </c>
      <c r="E62" s="1" t="s">
        <v>429</v>
      </c>
      <c r="F62" s="1" t="s">
        <v>483</v>
      </c>
      <c r="G62" s="1" t="s">
        <v>483</v>
      </c>
      <c r="H62" s="1" t="str">
        <f>VLOOKUP(G62,dataNodes!$B$2:$C$19,2,FALSE)</f>
        <v>Quantity</v>
      </c>
      <c r="I62" s="1" t="str">
        <f t="shared" ref="I62:I93" si="3">VLOOKUP(G62,$M$2:$N$19,2,FALSE)</f>
        <v>d10</v>
      </c>
    </row>
    <row r="63" spans="1:9">
      <c r="A63" s="1" t="s">
        <v>206</v>
      </c>
      <c r="B63" s="1" t="s">
        <v>428</v>
      </c>
      <c r="C63" s="1" t="s">
        <v>350</v>
      </c>
      <c r="D63" s="1" t="s">
        <v>346</v>
      </c>
      <c r="E63" s="1" t="s">
        <v>429</v>
      </c>
      <c r="F63" s="1" t="s">
        <v>623</v>
      </c>
      <c r="G63" s="1" t="s">
        <v>309</v>
      </c>
      <c r="H63" s="1" t="str">
        <f>VLOOKUP(G63,dataNodes!$B$2:$C$19,2,FALSE)</f>
        <v>Quantity</v>
      </c>
      <c r="I63" s="1" t="str">
        <f t="shared" si="3"/>
        <v>d08</v>
      </c>
    </row>
    <row r="64" spans="1:9">
      <c r="A64" s="1" t="s">
        <v>206</v>
      </c>
      <c r="B64" s="1" t="s">
        <v>428</v>
      </c>
      <c r="C64" s="1" t="s">
        <v>350</v>
      </c>
      <c r="D64" s="1" t="s">
        <v>346</v>
      </c>
      <c r="E64" s="1" t="s">
        <v>429</v>
      </c>
      <c r="F64" s="1" t="s">
        <v>624</v>
      </c>
      <c r="G64" s="1" t="s">
        <v>471</v>
      </c>
      <c r="H64" s="1" t="str">
        <f>VLOOKUP(G64,dataNodes!$B$2:$C$19,2,FALSE)</f>
        <v>Quality</v>
      </c>
      <c r="I64" s="1" t="str">
        <f t="shared" si="3"/>
        <v>d04</v>
      </c>
    </row>
    <row r="65" spans="1:9">
      <c r="A65" s="1" t="s">
        <v>210</v>
      </c>
      <c r="B65" s="1" t="s">
        <v>430</v>
      </c>
      <c r="C65" s="1" t="s">
        <v>350</v>
      </c>
      <c r="D65" s="1" t="s">
        <v>346</v>
      </c>
      <c r="E65" s="1" t="s">
        <v>431</v>
      </c>
      <c r="F65" s="1" t="s">
        <v>551</v>
      </c>
      <c r="G65" s="1" t="s">
        <v>483</v>
      </c>
      <c r="H65" s="1" t="str">
        <f>VLOOKUP(G65,[1]dataNodes!$B$2:$C$19,2,FALSE)</f>
        <v>Quantity</v>
      </c>
      <c r="I65" s="1" t="str">
        <f t="shared" si="3"/>
        <v>d10</v>
      </c>
    </row>
    <row r="66" spans="1:9">
      <c r="A66" s="1" t="s">
        <v>212</v>
      </c>
      <c r="B66" s="1" t="s">
        <v>433</v>
      </c>
      <c r="C66" s="1" t="s">
        <v>350</v>
      </c>
      <c r="D66" s="1" t="s">
        <v>346</v>
      </c>
      <c r="E66" s="1" t="s">
        <v>552</v>
      </c>
      <c r="F66" s="1" t="s">
        <v>553</v>
      </c>
      <c r="G66" s="1" t="s">
        <v>489</v>
      </c>
      <c r="H66" s="1" t="str">
        <f>VLOOKUP(G66,[1]dataNodes!$B$2:$C$19,2,FALSE)</f>
        <v>Quantity</v>
      </c>
      <c r="I66" s="1" t="str">
        <f t="shared" si="3"/>
        <v>d13</v>
      </c>
    </row>
    <row r="67" spans="1:9">
      <c r="A67" s="1" t="s">
        <v>212</v>
      </c>
      <c r="B67" s="1" t="s">
        <v>433</v>
      </c>
      <c r="C67" s="1" t="s">
        <v>350</v>
      </c>
      <c r="D67" s="1" t="s">
        <v>346</v>
      </c>
      <c r="E67" s="1" t="s">
        <v>552</v>
      </c>
      <c r="F67" s="1" t="s">
        <v>554</v>
      </c>
      <c r="G67" s="1" t="s">
        <v>494</v>
      </c>
      <c r="H67" s="1" t="str">
        <f>VLOOKUP(G67,[1]dataNodes!$B$2:$C$19,2,FALSE)</f>
        <v>Use</v>
      </c>
      <c r="I67" s="1" t="str">
        <f t="shared" si="3"/>
        <v>d15</v>
      </c>
    </row>
    <row r="68" spans="1:9">
      <c r="A68" s="1" t="s">
        <v>212</v>
      </c>
      <c r="B68" s="1" t="s">
        <v>433</v>
      </c>
      <c r="C68" s="1" t="s">
        <v>350</v>
      </c>
      <c r="D68" s="1" t="s">
        <v>346</v>
      </c>
      <c r="E68" s="1" t="s">
        <v>552</v>
      </c>
      <c r="F68" s="1" t="s">
        <v>555</v>
      </c>
      <c r="G68" s="1" t="s">
        <v>497</v>
      </c>
      <c r="H68" s="1" t="str">
        <f>VLOOKUP(G68,[1]dataNodes!$B$2:$C$19,2,FALSE)</f>
        <v>Use</v>
      </c>
      <c r="I68" s="1" t="str">
        <f t="shared" si="3"/>
        <v>d17</v>
      </c>
    </row>
    <row r="69" spans="1:9">
      <c r="A69" s="1" t="s">
        <v>212</v>
      </c>
      <c r="B69" s="1" t="s">
        <v>433</v>
      </c>
      <c r="C69" s="1" t="s">
        <v>350</v>
      </c>
      <c r="D69" s="1" t="s">
        <v>556</v>
      </c>
      <c r="E69" s="6" t="s">
        <v>435</v>
      </c>
      <c r="F69" s="1" t="s">
        <v>557</v>
      </c>
      <c r="G69" s="1" t="s">
        <v>499</v>
      </c>
      <c r="H69" s="1" t="str">
        <f>VLOOKUP(G69,dataNodes!$B$2:$C$19,2,FALSE)</f>
        <v>Use</v>
      </c>
      <c r="I69" s="1" t="str">
        <f t="shared" si="3"/>
        <v>d18</v>
      </c>
    </row>
    <row r="70" spans="1:9">
      <c r="A70" s="1" t="s">
        <v>212</v>
      </c>
      <c r="B70" s="1" t="s">
        <v>433</v>
      </c>
      <c r="C70" s="1" t="s">
        <v>350</v>
      </c>
      <c r="D70" s="1" t="s">
        <v>556</v>
      </c>
      <c r="E70" s="6" t="s">
        <v>435</v>
      </c>
      <c r="F70" s="1" t="s">
        <v>558</v>
      </c>
      <c r="G70" s="1" t="s">
        <v>489</v>
      </c>
      <c r="H70" s="1" t="str">
        <f>VLOOKUP(G70,dataNodes!$B$2:$C$19,2,FALSE)</f>
        <v>Quantity</v>
      </c>
      <c r="I70" s="1" t="str">
        <f t="shared" si="3"/>
        <v>d13</v>
      </c>
    </row>
    <row r="71" spans="1:9">
      <c r="A71" s="1" t="s">
        <v>212</v>
      </c>
      <c r="B71" s="1" t="s">
        <v>433</v>
      </c>
      <c r="C71" s="1" t="s">
        <v>350</v>
      </c>
      <c r="D71" s="1" t="s">
        <v>346</v>
      </c>
      <c r="E71" s="1" t="s">
        <v>552</v>
      </c>
      <c r="F71" s="1" t="s">
        <v>626</v>
      </c>
      <c r="G71" s="1" t="s">
        <v>494</v>
      </c>
      <c r="H71" s="1" t="str">
        <f>VLOOKUP(G71,[1]dataNodes!$B$2:$C$19,2,FALSE)</f>
        <v>Use</v>
      </c>
      <c r="I71" s="1" t="str">
        <f t="shared" si="3"/>
        <v>d15</v>
      </c>
    </row>
    <row r="72" spans="1:9">
      <c r="A72" s="1" t="s">
        <v>212</v>
      </c>
      <c r="B72" s="1" t="s">
        <v>433</v>
      </c>
      <c r="C72" s="1" t="s">
        <v>350</v>
      </c>
      <c r="D72" s="1" t="s">
        <v>346</v>
      </c>
      <c r="E72" s="1" t="s">
        <v>552</v>
      </c>
      <c r="F72" s="1" t="s">
        <v>626</v>
      </c>
      <c r="G72" s="1" t="s">
        <v>491</v>
      </c>
      <c r="H72" s="1" t="str">
        <f>VLOOKUP(G72,[1]dataNodes!$B$2:$C$19,2,FALSE)</f>
        <v>Use</v>
      </c>
      <c r="I72" s="1" t="str">
        <f t="shared" si="3"/>
        <v>d14</v>
      </c>
    </row>
    <row r="73" spans="1:9">
      <c r="A73" s="1" t="s">
        <v>218</v>
      </c>
      <c r="B73" s="1" t="s">
        <v>438</v>
      </c>
      <c r="C73" s="1" t="s">
        <v>346</v>
      </c>
      <c r="D73" s="1" t="s">
        <v>346</v>
      </c>
      <c r="E73" s="1" t="s">
        <v>439</v>
      </c>
      <c r="F73" s="1" t="s">
        <v>559</v>
      </c>
      <c r="G73" s="1" t="s">
        <v>467</v>
      </c>
      <c r="H73" s="1" t="str">
        <f>VLOOKUP(G73,[1]dataNodes!$B$2:$C$19,2,FALSE)</f>
        <v>Infrastructure</v>
      </c>
      <c r="I73" s="1" t="str">
        <f t="shared" si="3"/>
        <v>d02</v>
      </c>
    </row>
    <row r="74" spans="1:9">
      <c r="A74" s="1" t="s">
        <v>218</v>
      </c>
      <c r="B74" s="1" t="s">
        <v>438</v>
      </c>
      <c r="C74" s="1" t="s">
        <v>346</v>
      </c>
      <c r="D74" s="1" t="s">
        <v>346</v>
      </c>
      <c r="E74" s="1" t="s">
        <v>439</v>
      </c>
      <c r="F74" s="1" t="s">
        <v>560</v>
      </c>
      <c r="G74" s="1" t="s">
        <v>464</v>
      </c>
      <c r="H74" s="1" t="str">
        <f>VLOOKUP(G74,[1]dataNodes!$B$2:$C$19,2,FALSE)</f>
        <v>Infrastructure</v>
      </c>
      <c r="I74" s="1" t="str">
        <f t="shared" si="3"/>
        <v>d01</v>
      </c>
    </row>
    <row r="75" spans="1:9">
      <c r="A75" s="1" t="s">
        <v>218</v>
      </c>
      <c r="B75" s="1" t="s">
        <v>438</v>
      </c>
      <c r="C75" s="1" t="s">
        <v>346</v>
      </c>
      <c r="D75" s="1" t="s">
        <v>346</v>
      </c>
      <c r="E75" s="1" t="s">
        <v>439</v>
      </c>
      <c r="F75" s="1" t="s">
        <v>561</v>
      </c>
      <c r="G75" s="1" t="s">
        <v>309</v>
      </c>
      <c r="H75" s="1" t="str">
        <f>VLOOKUP(G75,[1]dataNodes!$B$2:$C$19,2,FALSE)</f>
        <v>Quantity</v>
      </c>
      <c r="I75" s="1" t="str">
        <f t="shared" si="3"/>
        <v>d08</v>
      </c>
    </row>
    <row r="76" spans="1:9">
      <c r="A76" s="1" t="s">
        <v>218</v>
      </c>
      <c r="B76" s="1" t="s">
        <v>438</v>
      </c>
      <c r="C76" s="1" t="s">
        <v>346</v>
      </c>
      <c r="D76" s="1" t="s">
        <v>346</v>
      </c>
      <c r="E76" s="1" t="s">
        <v>439</v>
      </c>
      <c r="F76" s="1" t="s">
        <v>562</v>
      </c>
      <c r="G76" s="1" t="s">
        <v>489</v>
      </c>
      <c r="H76" s="1" t="str">
        <f>VLOOKUP(G76,[1]dataNodes!$B$2:$C$19,2,FALSE)</f>
        <v>Quantity</v>
      </c>
      <c r="I76" s="1" t="str">
        <f t="shared" si="3"/>
        <v>d13</v>
      </c>
    </row>
    <row r="77" spans="1:9">
      <c r="A77" s="1" t="s">
        <v>218</v>
      </c>
      <c r="B77" s="1" t="s">
        <v>438</v>
      </c>
      <c r="C77" s="1" t="s">
        <v>346</v>
      </c>
      <c r="D77" s="1" t="s">
        <v>346</v>
      </c>
      <c r="E77" s="1" t="s">
        <v>439</v>
      </c>
      <c r="F77" s="1" t="s">
        <v>563</v>
      </c>
      <c r="G77" s="1" t="s">
        <v>483</v>
      </c>
      <c r="H77" s="1" t="str">
        <f>VLOOKUP(G77,[1]dataNodes!$B$2:$C$19,2,FALSE)</f>
        <v>Quantity</v>
      </c>
      <c r="I77" s="1" t="str">
        <f t="shared" si="3"/>
        <v>d10</v>
      </c>
    </row>
    <row r="78" spans="1:9">
      <c r="A78" s="1" t="s">
        <v>218</v>
      </c>
      <c r="B78" s="1" t="s">
        <v>438</v>
      </c>
      <c r="C78" s="1" t="s">
        <v>346</v>
      </c>
      <c r="D78" s="1" t="s">
        <v>346</v>
      </c>
      <c r="E78" s="1" t="s">
        <v>439</v>
      </c>
      <c r="F78" s="1" t="s">
        <v>564</v>
      </c>
      <c r="G78" s="1" t="s">
        <v>478</v>
      </c>
      <c r="H78" s="1" t="str">
        <f>VLOOKUP(G78,[1]dataNodes!$B$2:$C$19,2,FALSE)</f>
        <v>Quantity</v>
      </c>
      <c r="I78" s="1" t="str">
        <f t="shared" si="3"/>
        <v>d07</v>
      </c>
    </row>
    <row r="79" spans="1:9">
      <c r="A79" s="1" t="s">
        <v>218</v>
      </c>
      <c r="B79" s="1" t="s">
        <v>438</v>
      </c>
      <c r="C79" s="1" t="s">
        <v>346</v>
      </c>
      <c r="D79" s="1" t="s">
        <v>346</v>
      </c>
      <c r="E79" s="1" t="s">
        <v>439</v>
      </c>
      <c r="F79" s="1" t="s">
        <v>565</v>
      </c>
      <c r="G79" s="1" t="s">
        <v>471</v>
      </c>
      <c r="H79" s="1" t="str">
        <f>VLOOKUP(G79,[1]dataNodes!$B$2:$C$19,2,FALSE)</f>
        <v>Quality</v>
      </c>
      <c r="I79" s="1" t="str">
        <f t="shared" si="3"/>
        <v>d04</v>
      </c>
    </row>
    <row r="80" spans="1:9">
      <c r="A80" s="1" t="s">
        <v>218</v>
      </c>
      <c r="B80" s="1" t="s">
        <v>438</v>
      </c>
      <c r="C80" s="1" t="s">
        <v>346</v>
      </c>
      <c r="D80" s="1" t="s">
        <v>346</v>
      </c>
      <c r="E80" s="1" t="s">
        <v>439</v>
      </c>
      <c r="F80" s="1" t="s">
        <v>566</v>
      </c>
      <c r="G80" s="1" t="s">
        <v>481</v>
      </c>
      <c r="H80" s="1" t="str">
        <f>VLOOKUP(G80,[1]dataNodes!$B$2:$C$19,2,FALSE)</f>
        <v>Quantity</v>
      </c>
      <c r="I80" s="1" t="str">
        <f t="shared" si="3"/>
        <v>d09</v>
      </c>
    </row>
    <row r="81" spans="1:9">
      <c r="A81" s="1" t="s">
        <v>218</v>
      </c>
      <c r="B81" s="1" t="s">
        <v>438</v>
      </c>
      <c r="C81" s="1" t="s">
        <v>346</v>
      </c>
      <c r="D81" s="1" t="s">
        <v>346</v>
      </c>
      <c r="E81" s="1" t="s">
        <v>439</v>
      </c>
      <c r="F81" s="1" t="s">
        <v>567</v>
      </c>
      <c r="G81" s="1" t="s">
        <v>476</v>
      </c>
      <c r="H81" s="1" t="str">
        <f>VLOOKUP(G81,[1]dataNodes!$B$2:$C$19,2,FALSE)</f>
        <v>Quantity</v>
      </c>
      <c r="I81" s="1" t="str">
        <f t="shared" si="3"/>
        <v>d06</v>
      </c>
    </row>
    <row r="82" spans="1:9">
      <c r="A82" s="1" t="s">
        <v>220</v>
      </c>
      <c r="B82" s="1" t="s">
        <v>442</v>
      </c>
      <c r="C82" s="1" t="s">
        <v>346</v>
      </c>
      <c r="D82" s="1" t="s">
        <v>346</v>
      </c>
      <c r="E82" s="1" t="s">
        <v>443</v>
      </c>
      <c r="F82" s="1" t="s">
        <v>568</v>
      </c>
      <c r="G82" s="1" t="s">
        <v>497</v>
      </c>
      <c r="H82" s="1" t="str">
        <f>VLOOKUP(G82,[1]dataNodes!$B$2:$C$19,2,FALSE)</f>
        <v>Use</v>
      </c>
      <c r="I82" s="1" t="str">
        <f t="shared" si="3"/>
        <v>d17</v>
      </c>
    </row>
    <row r="83" spans="1:9">
      <c r="A83" s="1" t="s">
        <v>220</v>
      </c>
      <c r="B83" s="1" t="s">
        <v>442</v>
      </c>
      <c r="C83" s="1" t="s">
        <v>346</v>
      </c>
      <c r="D83" s="1" t="s">
        <v>346</v>
      </c>
      <c r="E83" s="1" t="s">
        <v>443</v>
      </c>
      <c r="F83" s="1" t="s">
        <v>569</v>
      </c>
      <c r="G83" s="1" t="s">
        <v>494</v>
      </c>
      <c r="H83" s="1" t="str">
        <f>VLOOKUP(G83,[1]dataNodes!$B$2:$C$19,2,FALSE)</f>
        <v>Use</v>
      </c>
      <c r="I83" s="1" t="str">
        <f t="shared" si="3"/>
        <v>d15</v>
      </c>
    </row>
    <row r="84" spans="1:9">
      <c r="A84" s="1" t="s">
        <v>222</v>
      </c>
      <c r="B84" s="1" t="s">
        <v>445</v>
      </c>
      <c r="C84" s="1" t="s">
        <v>346</v>
      </c>
      <c r="D84" s="1" t="s">
        <v>346</v>
      </c>
      <c r="E84" s="1" t="s">
        <v>446</v>
      </c>
      <c r="F84" s="1" t="s">
        <v>570</v>
      </c>
      <c r="G84" s="1" t="s">
        <v>471</v>
      </c>
      <c r="H84" s="1" t="str">
        <f>VLOOKUP(G84,[1]dataNodes!$B$2:$C$19,2,FALSE)</f>
        <v>Quality</v>
      </c>
      <c r="I84" s="1" t="str">
        <f t="shared" si="3"/>
        <v>d04</v>
      </c>
    </row>
    <row r="85" spans="1:9">
      <c r="A85" s="1" t="s">
        <v>222</v>
      </c>
      <c r="B85" s="1" t="s">
        <v>445</v>
      </c>
      <c r="C85" s="1" t="s">
        <v>346</v>
      </c>
      <c r="D85" s="1" t="s">
        <v>346</v>
      </c>
      <c r="E85" s="1" t="s">
        <v>446</v>
      </c>
      <c r="F85" s="1" t="s">
        <v>570</v>
      </c>
      <c r="G85" s="1" t="s">
        <v>499</v>
      </c>
      <c r="H85" s="1" t="str">
        <f>VLOOKUP(G85,[1]dataNodes!$B$2:$C$19,2,FALSE)</f>
        <v>Use</v>
      </c>
      <c r="I85" s="1" t="str">
        <f t="shared" si="3"/>
        <v>d18</v>
      </c>
    </row>
    <row r="86" spans="1:9">
      <c r="A86" s="1" t="s">
        <v>226</v>
      </c>
      <c r="B86" s="1" t="s">
        <v>447</v>
      </c>
      <c r="C86" s="1" t="s">
        <v>370</v>
      </c>
      <c r="D86" s="1" t="s">
        <v>366</v>
      </c>
      <c r="E86" s="6" t="s">
        <v>448</v>
      </c>
      <c r="F86" s="1" t="s">
        <v>571</v>
      </c>
      <c r="G86" s="1" t="s">
        <v>499</v>
      </c>
      <c r="H86" s="1" t="str">
        <f>VLOOKUP(G86,dataNodes!$B$2:$C$19,2,FALSE)</f>
        <v>Use</v>
      </c>
      <c r="I86" s="1" t="str">
        <f t="shared" si="3"/>
        <v>d18</v>
      </c>
    </row>
    <row r="87" spans="1:9">
      <c r="A87" s="1" t="s">
        <v>228</v>
      </c>
      <c r="B87" s="1" t="s">
        <v>449</v>
      </c>
      <c r="C87" s="1" t="s">
        <v>358</v>
      </c>
      <c r="D87" s="1" t="s">
        <v>358</v>
      </c>
      <c r="E87" s="6" t="s">
        <v>451</v>
      </c>
      <c r="F87" s="1" t="s">
        <v>572</v>
      </c>
      <c r="G87" s="1" t="s">
        <v>469</v>
      </c>
      <c r="H87" s="1" t="str">
        <f>VLOOKUP(G87,dataNodes!$B$2:$C$19,2,FALSE)</f>
        <v>Quality</v>
      </c>
      <c r="I87" s="1" t="str">
        <f t="shared" si="3"/>
        <v>d03</v>
      </c>
    </row>
    <row r="88" spans="1:9">
      <c r="A88" s="1" t="s">
        <v>230</v>
      </c>
      <c r="B88" s="1" t="s">
        <v>628</v>
      </c>
      <c r="C88" s="1" t="s">
        <v>362</v>
      </c>
      <c r="D88" s="1" t="s">
        <v>362</v>
      </c>
      <c r="E88" s="6" t="s">
        <v>453</v>
      </c>
      <c r="F88" s="1" t="s">
        <v>573</v>
      </c>
      <c r="G88" s="1" t="s">
        <v>309</v>
      </c>
      <c r="H88" s="1" t="str">
        <f>VLOOKUP(G88,dataNodes!$B$2:$C$19,2,FALSE)</f>
        <v>Quantity</v>
      </c>
      <c r="I88" s="1" t="str">
        <f t="shared" si="3"/>
        <v>d08</v>
      </c>
    </row>
    <row r="89" spans="1:9">
      <c r="A89" s="1" t="s">
        <v>230</v>
      </c>
      <c r="B89" s="1" t="s">
        <v>628</v>
      </c>
      <c r="C89" s="1" t="s">
        <v>362</v>
      </c>
      <c r="D89" s="1" t="s">
        <v>362</v>
      </c>
      <c r="E89" s="6" t="s">
        <v>453</v>
      </c>
      <c r="F89" s="1" t="s">
        <v>559</v>
      </c>
      <c r="G89" s="1" t="s">
        <v>467</v>
      </c>
      <c r="H89" s="1" t="str">
        <f>VLOOKUP(G89,dataNodes!$B$2:$C$19,2,FALSE)</f>
        <v>Infrastructure</v>
      </c>
      <c r="I89" s="1" t="str">
        <f t="shared" si="3"/>
        <v>d02</v>
      </c>
    </row>
    <row r="90" spans="1:9">
      <c r="A90" s="1" t="s">
        <v>230</v>
      </c>
      <c r="B90" s="1" t="s">
        <v>628</v>
      </c>
      <c r="C90" s="1" t="s">
        <v>362</v>
      </c>
      <c r="D90" s="1" t="s">
        <v>362</v>
      </c>
      <c r="E90" s="6" t="s">
        <v>453</v>
      </c>
      <c r="F90" s="1" t="s">
        <v>473</v>
      </c>
      <c r="G90" s="1" t="s">
        <v>473</v>
      </c>
      <c r="H90" s="1" t="str">
        <f>VLOOKUP(G90,dataNodes!$B$2:$C$19,2,FALSE)</f>
        <v>Quantity</v>
      </c>
      <c r="I90" s="1" t="str">
        <f t="shared" si="3"/>
        <v>d05</v>
      </c>
    </row>
    <row r="91" spans="1:9">
      <c r="A91" s="1" t="s">
        <v>230</v>
      </c>
      <c r="B91" s="1" t="s">
        <v>628</v>
      </c>
      <c r="C91" s="1" t="s">
        <v>362</v>
      </c>
      <c r="D91" s="1" t="s">
        <v>362</v>
      </c>
      <c r="E91" s="6" t="s">
        <v>453</v>
      </c>
      <c r="F91" s="1" t="s">
        <v>630</v>
      </c>
      <c r="G91" s="1" t="s">
        <v>626</v>
      </c>
      <c r="H91" s="1" t="str">
        <f>VLOOKUP(G91,dataNodes!$B$2:$C$19,2,FALSE)</f>
        <v>Use</v>
      </c>
      <c r="I91" s="1" t="str">
        <f t="shared" si="3"/>
        <v>d16</v>
      </c>
    </row>
    <row r="92" spans="1:9">
      <c r="A92" s="1" t="s">
        <v>230</v>
      </c>
      <c r="B92" s="1" t="s">
        <v>628</v>
      </c>
      <c r="C92" s="1" t="s">
        <v>362</v>
      </c>
      <c r="D92" s="1" t="s">
        <v>362</v>
      </c>
      <c r="E92" s="6" t="s">
        <v>453</v>
      </c>
      <c r="F92" s="1" t="s">
        <v>631</v>
      </c>
      <c r="G92" s="1" t="s">
        <v>489</v>
      </c>
      <c r="H92" s="1" t="str">
        <f>VLOOKUP(G92,dataNodes!$B$2:$C$19,2,FALSE)</f>
        <v>Quantity</v>
      </c>
      <c r="I92" s="1" t="str">
        <f t="shared" si="3"/>
        <v>d13</v>
      </c>
    </row>
    <row r="93" spans="1:9">
      <c r="A93" s="1" t="s">
        <v>230</v>
      </c>
      <c r="B93" s="1" t="s">
        <v>628</v>
      </c>
      <c r="C93" s="1" t="s">
        <v>362</v>
      </c>
      <c r="D93" s="1" t="s">
        <v>362</v>
      </c>
      <c r="E93" s="6" t="s">
        <v>453</v>
      </c>
      <c r="F93" s="1" t="s">
        <v>632</v>
      </c>
      <c r="G93" s="1" t="s">
        <v>469</v>
      </c>
      <c r="H93" s="1" t="str">
        <f>VLOOKUP(G93,dataNodes!$B$2:$C$19,2,FALSE)</f>
        <v>Quality</v>
      </c>
      <c r="I93" s="1" t="str">
        <f t="shared" si="3"/>
        <v>d03</v>
      </c>
    </row>
    <row r="94" spans="1:9">
      <c r="A94" s="1" t="s">
        <v>232</v>
      </c>
      <c r="B94" s="1" t="s">
        <v>454</v>
      </c>
      <c r="C94" s="1" t="s">
        <v>362</v>
      </c>
      <c r="D94" s="1" t="s">
        <v>362</v>
      </c>
      <c r="E94" s="6" t="s">
        <v>455</v>
      </c>
      <c r="F94" s="1" t="s">
        <v>574</v>
      </c>
      <c r="G94" s="1" t="s">
        <v>499</v>
      </c>
      <c r="H94" s="1" t="str">
        <f>VLOOKUP(G94,dataNodes!$B$2:$C$19,2,FALSE)</f>
        <v>Use</v>
      </c>
      <c r="I94" s="1" t="str">
        <f>VLOOKUP(G94,$M$2:$N$19,2,FALSE)</f>
        <v>d18</v>
      </c>
    </row>
    <row r="95" spans="1:9">
      <c r="A95" s="1" t="s">
        <v>234</v>
      </c>
      <c r="B95" s="1" t="s">
        <v>457</v>
      </c>
      <c r="C95" s="1" t="s">
        <v>287</v>
      </c>
      <c r="D95" s="1" t="s">
        <v>287</v>
      </c>
      <c r="E95" s="6" t="s">
        <v>459</v>
      </c>
      <c r="F95" s="1" t="s">
        <v>575</v>
      </c>
      <c r="G95" s="1" t="s">
        <v>467</v>
      </c>
      <c r="H95" s="1" t="str">
        <f>VLOOKUP(G95,dataNodes!$B$2:$C$19,2,FALSE)</f>
        <v>Infrastructure</v>
      </c>
      <c r="I95" s="1" t="str">
        <f>VLOOKUP(G95,$M$2:$N$19,2,FALSE)</f>
        <v>d02</v>
      </c>
    </row>
    <row r="96" spans="1:9">
      <c r="A96" s="1" t="s">
        <v>234</v>
      </c>
      <c r="B96" s="1" t="s">
        <v>457</v>
      </c>
      <c r="C96" s="1" t="s">
        <v>287</v>
      </c>
      <c r="D96" s="1" t="s">
        <v>287</v>
      </c>
      <c r="E96" s="6" t="s">
        <v>459</v>
      </c>
      <c r="F96" s="1" t="s">
        <v>576</v>
      </c>
      <c r="G96" s="1" t="s">
        <v>469</v>
      </c>
      <c r="H96" s="1" t="str">
        <f>VLOOKUP(G96,dataNodes!$B$2:$C$19,2,FALSE)</f>
        <v>Quality</v>
      </c>
      <c r="I96" s="1" t="str">
        <f>VLOOKUP(G96,$M$2:$N$19,2,FALSE)</f>
        <v>d03</v>
      </c>
    </row>
    <row r="97" spans="1:9">
      <c r="A97" s="1" t="s">
        <v>234</v>
      </c>
      <c r="B97" s="1" t="s">
        <v>457</v>
      </c>
      <c r="C97" s="1" t="s">
        <v>287</v>
      </c>
      <c r="D97" s="1" t="s">
        <v>287</v>
      </c>
      <c r="E97" s="6" t="s">
        <v>459</v>
      </c>
      <c r="F97" s="1" t="s">
        <v>577</v>
      </c>
      <c r="G97" s="1" t="s">
        <v>489</v>
      </c>
      <c r="H97" s="1" t="str">
        <f>VLOOKUP(G97,dataNodes!$B$2:$C$19,2,FALSE)</f>
        <v>Quantity</v>
      </c>
      <c r="I97" s="1" t="str">
        <f>VLOOKUP(G97,$M$2:$N$19,2,FALSE)</f>
        <v>d13</v>
      </c>
    </row>
    <row r="98" spans="1:9">
      <c r="A98" s="1" t="s">
        <v>234</v>
      </c>
      <c r="B98" s="1" t="s">
        <v>457</v>
      </c>
      <c r="C98" s="1" t="s">
        <v>287</v>
      </c>
      <c r="D98" s="1" t="s">
        <v>287</v>
      </c>
      <c r="E98" s="6" t="s">
        <v>459</v>
      </c>
      <c r="F98" s="1" t="s">
        <v>636</v>
      </c>
      <c r="G98" s="1" t="s">
        <v>464</v>
      </c>
      <c r="H98" s="1" t="str">
        <f>VLOOKUP(G98,dataNodes!$B$2:$C$19,2,FALSE)</f>
        <v>Infrastructure</v>
      </c>
      <c r="I98" s="1" t="str">
        <f>VLOOKUP(G98,$M$2:$N$19,2,FALSE)</f>
        <v>d01</v>
      </c>
    </row>
    <row r="99" spans="1:9">
      <c r="A99" s="1" t="s">
        <v>234</v>
      </c>
      <c r="B99" s="1" t="s">
        <v>457</v>
      </c>
      <c r="C99" s="1" t="s">
        <v>287</v>
      </c>
      <c r="D99" s="1" t="s">
        <v>287</v>
      </c>
      <c r="E99" s="6" t="s">
        <v>459</v>
      </c>
      <c r="F99" s="1" t="s">
        <v>517</v>
      </c>
      <c r="G99" s="1" t="s">
        <v>487</v>
      </c>
      <c r="H99" s="1" t="str">
        <f>VLOOKUP(G99,dataNodes!$B$2:$C$19,2,FALSE)</f>
        <v>Quantity</v>
      </c>
      <c r="I99" s="1" t="str">
        <f>VLOOKUP(G99,$M$2:$N$19,2,FALSE)</f>
        <v>d12</v>
      </c>
    </row>
  </sheetData>
  <hyperlinks>
    <hyperlink ref="E27" r:id="rId1"/>
    <hyperlink ref="E28" r:id="rId2"/>
    <hyperlink ref="E29" r:id="rId3"/>
    <hyperlink ref="E37" r:id="rId4"/>
    <hyperlink ref="E30" r:id="rId5"/>
    <hyperlink ref="E31" r:id="rId6"/>
    <hyperlink ref="E32" r:id="rId7"/>
    <hyperlink ref="E33" r:id="rId8"/>
    <hyperlink ref="E34" r:id="rId9"/>
    <hyperlink ref="E35" r:id="rId10"/>
    <hyperlink ref="E95" r:id="rId11"/>
    <hyperlink ref="E96" r:id="rId12"/>
    <hyperlink ref="E97" r:id="rId13"/>
    <hyperlink ref="E87" r:id="rId14"/>
    <hyperlink ref="E88" r:id="rId15"/>
    <hyperlink ref="E94" r:id="rId16"/>
    <hyperlink ref="E86" r:id="rId17"/>
    <hyperlink ref="E69" r:id="rId18"/>
    <hyperlink ref="E70" r:id="rId19"/>
    <hyperlink ref="E36" r:id="rId20"/>
    <hyperlink ref="E38" r:id="rId21"/>
    <hyperlink ref="E39" r:id="rId22"/>
    <hyperlink ref="E40" r:id="rId23"/>
    <hyperlink ref="E41" r:id="rId24"/>
    <hyperlink ref="E42" r:id="rId25"/>
    <hyperlink ref="E43" r:id="rId26"/>
    <hyperlink ref="E44" r:id="rId27"/>
    <hyperlink ref="E89" r:id="rId28"/>
    <hyperlink ref="E90" r:id="rId29"/>
    <hyperlink ref="E91" r:id="rId30"/>
    <hyperlink ref="E92" r:id="rId31"/>
    <hyperlink ref="E93" r:id="rId32"/>
    <hyperlink ref="E98" r:id="rId33"/>
    <hyperlink ref="E99" r:id="rId3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A4" sqref="A4"/>
    </sheetView>
  </sheetViews>
  <sheetFormatPr defaultColWidth="8.8984375" defaultRowHeight="15.6"/>
  <cols>
    <col min="1" max="16384" width="8.8984375" style="1"/>
  </cols>
  <sheetData>
    <row r="1" spans="1:2">
      <c r="A1" s="5" t="s">
        <v>378</v>
      </c>
      <c r="B1" s="5" t="s">
        <v>379</v>
      </c>
    </row>
    <row r="2" spans="1:2">
      <c r="A2" s="1" t="s">
        <v>593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zoomScale="80" zoomScaleNormal="80" workbookViewId="0">
      <selection activeCell="E2" sqref="E2"/>
    </sheetView>
  </sheetViews>
  <sheetFormatPr defaultColWidth="8.8984375" defaultRowHeight="15.6"/>
  <cols>
    <col min="1" max="1" width="9.8984375" style="1" bestFit="1" customWidth="1"/>
    <col min="2" max="2" width="29.09765625" style="1" customWidth="1"/>
    <col min="3" max="3" width="12.3984375" style="1" bestFit="1" customWidth="1"/>
    <col min="4" max="16384" width="8.8984375" style="1"/>
  </cols>
  <sheetData>
    <row r="1" spans="1:3">
      <c r="A1" s="5" t="s">
        <v>460</v>
      </c>
      <c r="B1" s="5" t="s">
        <v>461</v>
      </c>
      <c r="C1" s="5" t="s">
        <v>462</v>
      </c>
    </row>
    <row r="2" spans="1:3">
      <c r="A2" s="1" t="s">
        <v>463</v>
      </c>
      <c r="B2" s="1" t="s">
        <v>464</v>
      </c>
      <c r="C2" s="1" t="s">
        <v>465</v>
      </c>
    </row>
    <row r="3" spans="1:3">
      <c r="A3" s="1" t="s">
        <v>466</v>
      </c>
      <c r="B3" s="1" t="s">
        <v>467</v>
      </c>
      <c r="C3" s="1" t="s">
        <v>465</v>
      </c>
    </row>
    <row r="4" spans="1:3">
      <c r="A4" s="1" t="s">
        <v>468</v>
      </c>
      <c r="B4" s="1" t="s">
        <v>469</v>
      </c>
      <c r="C4" s="1" t="s">
        <v>469</v>
      </c>
    </row>
    <row r="5" spans="1:3">
      <c r="A5" s="1" t="s">
        <v>470</v>
      </c>
      <c r="B5" s="1" t="s">
        <v>471</v>
      </c>
      <c r="C5" s="1" t="s">
        <v>469</v>
      </c>
    </row>
    <row r="6" spans="1:3">
      <c r="A6" s="1" t="s">
        <v>472</v>
      </c>
      <c r="B6" s="1" t="s">
        <v>473</v>
      </c>
      <c r="C6" s="1" t="s">
        <v>474</v>
      </c>
    </row>
    <row r="7" spans="1:3">
      <c r="A7" s="1" t="s">
        <v>475</v>
      </c>
      <c r="B7" s="1" t="s">
        <v>476</v>
      </c>
      <c r="C7" s="1" t="s">
        <v>474</v>
      </c>
    </row>
    <row r="8" spans="1:3">
      <c r="A8" s="1" t="s">
        <v>477</v>
      </c>
      <c r="B8" s="1" t="s">
        <v>478</v>
      </c>
      <c r="C8" s="1" t="s">
        <v>474</v>
      </c>
    </row>
    <row r="9" spans="1:3">
      <c r="A9" s="1" t="s">
        <v>479</v>
      </c>
      <c r="B9" s="1" t="s">
        <v>309</v>
      </c>
      <c r="C9" s="1" t="s">
        <v>474</v>
      </c>
    </row>
    <row r="10" spans="1:3">
      <c r="A10" s="1" t="s">
        <v>480</v>
      </c>
      <c r="B10" s="1" t="s">
        <v>481</v>
      </c>
      <c r="C10" s="1" t="s">
        <v>474</v>
      </c>
    </row>
    <row r="11" spans="1:3">
      <c r="A11" s="1" t="s">
        <v>482</v>
      </c>
      <c r="B11" s="1" t="s">
        <v>483</v>
      </c>
      <c r="C11" s="1" t="s">
        <v>474</v>
      </c>
    </row>
    <row r="12" spans="1:3">
      <c r="A12" s="1" t="s">
        <v>484</v>
      </c>
      <c r="B12" s="1" t="s">
        <v>485</v>
      </c>
      <c r="C12" s="1" t="s">
        <v>474</v>
      </c>
    </row>
    <row r="13" spans="1:3">
      <c r="A13" s="1" t="s">
        <v>486</v>
      </c>
      <c r="B13" s="1" t="s">
        <v>487</v>
      </c>
      <c r="C13" s="1" t="s">
        <v>474</v>
      </c>
    </row>
    <row r="14" spans="1:3">
      <c r="A14" s="1" t="s">
        <v>488</v>
      </c>
      <c r="B14" s="1" t="s">
        <v>489</v>
      </c>
      <c r="C14" s="1" t="s">
        <v>474</v>
      </c>
    </row>
    <row r="15" spans="1:3">
      <c r="A15" s="1" t="s">
        <v>490</v>
      </c>
      <c r="B15" s="1" t="s">
        <v>491</v>
      </c>
      <c r="C15" s="1" t="s">
        <v>492</v>
      </c>
    </row>
    <row r="16" spans="1:3">
      <c r="A16" s="1" t="s">
        <v>493</v>
      </c>
      <c r="B16" s="1" t="s">
        <v>494</v>
      </c>
      <c r="C16" s="1" t="s">
        <v>492</v>
      </c>
    </row>
    <row r="17" spans="1:3">
      <c r="A17" s="1" t="s">
        <v>495</v>
      </c>
      <c r="B17" s="1" t="s">
        <v>492</v>
      </c>
      <c r="C17" s="1" t="s">
        <v>492</v>
      </c>
    </row>
    <row r="18" spans="1:3">
      <c r="A18" s="1" t="s">
        <v>496</v>
      </c>
      <c r="B18" s="1" t="s">
        <v>497</v>
      </c>
      <c r="C18" s="1" t="s">
        <v>492</v>
      </c>
    </row>
    <row r="19" spans="1:3">
      <c r="A19" s="1" t="s">
        <v>498</v>
      </c>
      <c r="B19" s="1" t="s">
        <v>499</v>
      </c>
      <c r="C19" s="1" t="s">
        <v>492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metricsKey</vt:lpstr>
      <vt:lpstr>orgEdges</vt:lpstr>
      <vt:lpstr>orgNodes</vt:lpstr>
      <vt:lpstr>platformNodes</vt:lpstr>
      <vt:lpstr>dataNodeTypes</vt:lpstr>
      <vt:lpstr>dataEdges</vt:lpstr>
      <vt:lpstr>dataNodes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Lauren Patterson</cp:lastModifiedBy>
  <cp:revision/>
  <dcterms:created xsi:type="dcterms:W3CDTF">2018-08-09T20:40:56Z</dcterms:created>
  <dcterms:modified xsi:type="dcterms:W3CDTF">2020-09-08T22:00:58Z</dcterms:modified>
  <cp:category/>
  <cp:contentStatus/>
</cp:coreProperties>
</file>