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ap19\Documents\Internet of Water\Hubs\HubInventory\Final_Network\co\"/>
    </mc:Choice>
  </mc:AlternateContent>
  <bookViews>
    <workbookView xWindow="0" yWindow="456" windowWidth="25596" windowHeight="14616" tabRatio="500" firstSheet="3" activeTab="3"/>
  </bookViews>
  <sheets>
    <sheet name="readme " sheetId="15" r:id="rId1"/>
    <sheet name="metricsKey" sheetId="14" r:id="rId2"/>
    <sheet name="orgEdges" sheetId="6" r:id="rId3"/>
    <sheet name="orgNodes" sheetId="5" r:id="rId4"/>
    <sheet name="platformNodes" sheetId="7" r:id="rId5"/>
    <sheet name="dataNodeTypes" sheetId="8" r:id="rId6"/>
    <sheet name="dataNodes" sheetId="12" r:id="rId7"/>
    <sheet name="dataEdges" sheetId="9" r:id="rId8"/>
  </sheets>
  <definedNames>
    <definedName name="_xlnm._FilterDatabase" localSheetId="6" hidden="1">dataNodes!$A$1:$C$19</definedName>
    <definedName name="_xlnm._FilterDatabase" localSheetId="4" hidden="1">platformNodes!$A$1:$V$16</definedName>
    <definedName name="Infrastructure">#REF!</definedName>
    <definedName name="Quality">#REF!</definedName>
    <definedName name="Quantity">#REF!</definedName>
    <definedName name="Use">#REF!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H118" i="8" l="1"/>
  <c r="I118" i="8"/>
  <c r="F37" i="7"/>
  <c r="H106" i="8"/>
  <c r="H98" i="8"/>
  <c r="H99" i="8"/>
  <c r="H100" i="8"/>
  <c r="H101" i="8"/>
  <c r="H102" i="8"/>
  <c r="H94" i="8"/>
  <c r="H92" i="8"/>
  <c r="H88" i="8"/>
  <c r="H89" i="8"/>
  <c r="H90" i="8"/>
  <c r="H84" i="8"/>
  <c r="H78" i="8"/>
  <c r="H79" i="8"/>
  <c r="H80" i="8"/>
  <c r="H77" i="8"/>
  <c r="H76" i="8"/>
  <c r="H75" i="8"/>
  <c r="H60" i="8"/>
  <c r="H56" i="8"/>
  <c r="H50" i="8"/>
  <c r="D50" i="8"/>
  <c r="H49" i="8"/>
  <c r="D49" i="8"/>
  <c r="D45" i="8"/>
  <c r="C45" i="8"/>
  <c r="D44" i="8"/>
  <c r="C44" i="8"/>
  <c r="D43" i="8"/>
  <c r="C43" i="8"/>
  <c r="D42" i="8"/>
  <c r="C42" i="8"/>
  <c r="D41" i="8"/>
  <c r="C41" i="8"/>
  <c r="D40" i="8"/>
  <c r="C40" i="8"/>
  <c r="H43" i="8"/>
  <c r="H44" i="8"/>
  <c r="H45" i="8"/>
  <c r="H42" i="8"/>
  <c r="H41" i="8"/>
  <c r="H40"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2" i="8"/>
  <c r="H54" i="8"/>
  <c r="H55" i="8"/>
  <c r="H81" i="8"/>
  <c r="H82" i="8"/>
  <c r="H83" i="8"/>
  <c r="H85" i="8"/>
  <c r="H86" i="8"/>
  <c r="H87" i="8"/>
  <c r="H91" i="8"/>
  <c r="H93" i="8"/>
  <c r="H95" i="8"/>
  <c r="H96" i="8"/>
  <c r="H97" i="8"/>
  <c r="H103" i="8"/>
  <c r="H104" i="8"/>
  <c r="H105" i="8"/>
  <c r="H107" i="8"/>
  <c r="H108" i="8"/>
  <c r="H109" i="8"/>
  <c r="H110" i="8"/>
  <c r="H111" i="8"/>
  <c r="H112" i="8"/>
  <c r="H113" i="8"/>
  <c r="H114" i="8"/>
  <c r="H115" i="8"/>
  <c r="H116" i="8"/>
  <c r="H117" i="8"/>
  <c r="F9" i="7"/>
  <c r="F8" i="7"/>
  <c r="C39" i="5" l="1"/>
  <c r="F30" i="7" l="1"/>
  <c r="F31" i="7"/>
  <c r="F32" i="7"/>
  <c r="F33" i="7"/>
  <c r="F34" i="7"/>
  <c r="F35" i="7"/>
  <c r="F36" i="7"/>
  <c r="F29" i="7"/>
  <c r="F4" i="7"/>
  <c r="F5" i="7"/>
  <c r="F24" i="7"/>
  <c r="F25" i="7"/>
  <c r="F26" i="7"/>
  <c r="F27" i="7"/>
  <c r="F28" i="7"/>
  <c r="F21" i="7" l="1"/>
  <c r="F22" i="7"/>
  <c r="F23" i="7"/>
  <c r="F10" i="7"/>
  <c r="H71" i="8" l="1"/>
  <c r="H72" i="8"/>
  <c r="H73" i="8"/>
  <c r="H74" i="8"/>
  <c r="H59" i="8" l="1"/>
  <c r="F19" i="7"/>
  <c r="F20" i="7"/>
  <c r="H53" i="8"/>
  <c r="H38" i="8"/>
  <c r="H39" i="8"/>
  <c r="H46" i="8"/>
  <c r="H47" i="8"/>
  <c r="H48" i="8"/>
  <c r="H51" i="8"/>
  <c r="H52" i="8"/>
  <c r="H57" i="8"/>
  <c r="H58" i="8"/>
  <c r="H61" i="8"/>
  <c r="H62" i="8"/>
  <c r="H63" i="8"/>
  <c r="H64" i="8"/>
  <c r="H65" i="8"/>
  <c r="H66" i="8"/>
  <c r="H67" i="8"/>
  <c r="H68" i="8"/>
  <c r="H69" i="8"/>
  <c r="H70" i="8"/>
  <c r="C20" i="7" l="1"/>
  <c r="D34" i="5"/>
  <c r="C34" i="5"/>
  <c r="C38" i="5" l="1"/>
  <c r="F17" i="7" l="1"/>
  <c r="F18" i="7"/>
  <c r="D52" i="8" l="1"/>
  <c r="D51" i="8"/>
  <c r="D48" i="8" l="1"/>
  <c r="D46" i="8" l="1"/>
  <c r="D39" i="8"/>
  <c r="D38" i="8"/>
  <c r="D37" i="8"/>
  <c r="D36" i="8"/>
  <c r="D35" i="8"/>
  <c r="H35" i="8"/>
  <c r="H36" i="8"/>
  <c r="H37" i="8"/>
  <c r="F13" i="7"/>
  <c r="F12" i="7"/>
  <c r="C39" i="8" l="1"/>
  <c r="C38" i="8"/>
  <c r="C37" i="8"/>
  <c r="C36" i="8"/>
  <c r="C35" i="8"/>
  <c r="F7" i="7"/>
  <c r="H31" i="8" l="1"/>
  <c r="H33" i="8"/>
  <c r="H34" i="8"/>
  <c r="H2" i="8"/>
  <c r="F3" i="7" l="1"/>
  <c r="F6" i="7"/>
  <c r="F11" i="7"/>
  <c r="F14" i="7"/>
  <c r="F15" i="7"/>
  <c r="F16" i="7"/>
  <c r="F2" i="7"/>
  <c r="N3" i="8" l="1"/>
  <c r="N4" i="8"/>
  <c r="N5" i="8"/>
  <c r="N6" i="8"/>
  <c r="N7" i="8"/>
  <c r="N8" i="8"/>
  <c r="N9" i="8"/>
  <c r="N10" i="8"/>
  <c r="N11" i="8"/>
  <c r="N12" i="8"/>
  <c r="N13" i="8"/>
  <c r="N14" i="8"/>
  <c r="N15" i="8"/>
  <c r="N16" i="8"/>
  <c r="N17" i="8"/>
  <c r="N18" i="8"/>
  <c r="N19" i="8"/>
  <c r="N2" i="8"/>
  <c r="M3" i="8"/>
  <c r="M4" i="8"/>
  <c r="M5" i="8"/>
  <c r="M6" i="8"/>
  <c r="M7" i="8"/>
  <c r="M8" i="8"/>
  <c r="M9" i="8"/>
  <c r="M10" i="8"/>
  <c r="M11" i="8"/>
  <c r="M12" i="8"/>
  <c r="M13" i="8"/>
  <c r="M14" i="8"/>
  <c r="M15" i="8"/>
  <c r="M16" i="8"/>
  <c r="M17" i="8"/>
  <c r="M18" i="8"/>
  <c r="M19" i="8"/>
  <c r="M2" i="8"/>
  <c r="I102" i="8" l="1"/>
  <c r="I77" i="8"/>
  <c r="I106" i="8"/>
  <c r="I101" i="8"/>
  <c r="I79" i="8"/>
  <c r="I100" i="8"/>
  <c r="I88" i="8"/>
  <c r="I80" i="8"/>
  <c r="I76" i="8"/>
  <c r="I90" i="8"/>
  <c r="I99" i="8"/>
  <c r="I92" i="8"/>
  <c r="I98" i="8"/>
  <c r="I89" i="8"/>
  <c r="I75" i="8"/>
  <c r="I78" i="8"/>
  <c r="I84" i="8"/>
  <c r="I94" i="8"/>
  <c r="I60" i="8"/>
  <c r="I56" i="8"/>
  <c r="I50" i="8"/>
  <c r="I49" i="8"/>
  <c r="I44" i="8"/>
  <c r="I38" i="8"/>
  <c r="I3" i="8"/>
  <c r="I7" i="8"/>
  <c r="I11" i="8"/>
  <c r="I15" i="8"/>
  <c r="I19" i="8"/>
  <c r="I23" i="8"/>
  <c r="I27" i="8"/>
  <c r="I43" i="8"/>
  <c r="I39" i="8"/>
  <c r="I4" i="8"/>
  <c r="I28" i="8"/>
  <c r="I42" i="8"/>
  <c r="I41" i="8"/>
  <c r="I34" i="8"/>
  <c r="I33" i="8"/>
  <c r="I5" i="8"/>
  <c r="I9" i="8"/>
  <c r="I13" i="8"/>
  <c r="I17" i="8"/>
  <c r="I21" i="8"/>
  <c r="I29" i="8"/>
  <c r="I35" i="8"/>
  <c r="I22" i="8"/>
  <c r="I30" i="8"/>
  <c r="I16" i="8"/>
  <c r="I36" i="8"/>
  <c r="I6" i="8"/>
  <c r="I10" i="8"/>
  <c r="I14" i="8"/>
  <c r="I18" i="8"/>
  <c r="I26" i="8"/>
  <c r="I8" i="8"/>
  <c r="I20" i="8"/>
  <c r="I45" i="8"/>
  <c r="I37" i="8"/>
  <c r="I40" i="8"/>
  <c r="I12" i="8"/>
  <c r="I24" i="8"/>
  <c r="I25" i="8"/>
  <c r="I113" i="8"/>
  <c r="I103" i="8"/>
  <c r="I83" i="8"/>
  <c r="I109" i="8"/>
  <c r="I112" i="8"/>
  <c r="I91" i="8"/>
  <c r="I104" i="8"/>
  <c r="I93" i="8"/>
  <c r="I105" i="8"/>
  <c r="I108" i="8"/>
  <c r="I111" i="8"/>
  <c r="I82" i="8"/>
  <c r="I117" i="8"/>
  <c r="I110" i="8"/>
  <c r="I54" i="8"/>
  <c r="I95" i="8"/>
  <c r="I96" i="8"/>
  <c r="I97" i="8"/>
  <c r="I81" i="8"/>
  <c r="I116" i="8"/>
  <c r="I55" i="8"/>
  <c r="I85" i="8"/>
  <c r="I87" i="8"/>
  <c r="I115" i="8"/>
  <c r="I86" i="8"/>
  <c r="I107" i="8"/>
  <c r="I114" i="8"/>
  <c r="I32" i="8"/>
  <c r="I2" i="8"/>
  <c r="I71" i="8"/>
  <c r="I73" i="8"/>
  <c r="I72" i="8"/>
  <c r="I74" i="8"/>
  <c r="I59" i="8"/>
  <c r="I46" i="8"/>
  <c r="I51" i="8"/>
  <c r="I61" i="8"/>
  <c r="I65" i="8"/>
  <c r="I69" i="8"/>
  <c r="I58" i="8"/>
  <c r="I68" i="8"/>
  <c r="I47" i="8"/>
  <c r="I52" i="8"/>
  <c r="I62" i="8"/>
  <c r="I66" i="8"/>
  <c r="I70" i="8"/>
  <c r="I57" i="8"/>
  <c r="I63" i="8"/>
  <c r="I67" i="8"/>
  <c r="I53" i="8"/>
  <c r="I48" i="8"/>
  <c r="I64" i="8"/>
  <c r="I31" i="8"/>
</calcChain>
</file>

<file path=xl/sharedStrings.xml><?xml version="1.0" encoding="utf-8"?>
<sst xmlns="http://schemas.openxmlformats.org/spreadsheetml/2006/main" count="2428" uniqueCount="749">
  <si>
    <t>columnName</t>
  </si>
  <si>
    <t>categories</t>
  </si>
  <si>
    <t>definition</t>
  </si>
  <si>
    <t>proposedScore</t>
  </si>
  <si>
    <t>None</t>
  </si>
  <si>
    <t>Data are collected but not found.</t>
  </si>
  <si>
    <t>Unknown</t>
  </si>
  <si>
    <t>Data are collected and available but not to the public</t>
  </si>
  <si>
    <t>easeDiscover</t>
  </si>
  <si>
    <t>Low</t>
  </si>
  <si>
    <t>Data are not found in the same location and are not searchable.</t>
  </si>
  <si>
    <t>Medium</t>
  </si>
  <si>
    <t>Data found at the same location; however, the search index is poor or inconsistent.</t>
  </si>
  <si>
    <t>High</t>
  </si>
  <si>
    <t>Data found at the same location that can be queried via spatial or text filters with well-defined key words.</t>
  </si>
  <si>
    <t>methodDiscover</t>
  </si>
  <si>
    <t>Data could not be discovered without seeking permission, registration, or an additional step.</t>
  </si>
  <si>
    <t>Website</t>
  </si>
  <si>
    <t>Data were found by navigating through URL links.</t>
  </si>
  <si>
    <t>Catalog</t>
  </si>
  <si>
    <t>Connects data sources to a searchable, descriptive directory so the user can find and explore the data they need no matter where it's located.</t>
  </si>
  <si>
    <t>Map</t>
  </si>
  <si>
    <t>Data found based on a location (such as watershed, aquifer, or county).</t>
  </si>
  <si>
    <t>easeAccess</t>
  </si>
  <si>
    <t>Platform shows the data exist, but does not provide any information or means to access the data.</t>
  </si>
  <si>
    <t>Permission Required</t>
  </si>
  <si>
    <t>User must request permission to access data. Permission is not guaranteed.</t>
  </si>
  <si>
    <t>Software Required</t>
  </si>
  <si>
    <t>User must download or obtain special software to access data.</t>
  </si>
  <si>
    <t>Training Required</t>
  </si>
  <si>
    <t>User must undergo training prior to accessing the data. It was not clear whether access is then granted or if it is discretionary.</t>
  </si>
  <si>
    <t>Registration Required</t>
  </si>
  <si>
    <t>User must register to access data and permission is automatically granted. Registration can be a useful tool for state agencies to understand how their data are being used.</t>
  </si>
  <si>
    <t>Yes</t>
  </si>
  <si>
    <t>User has full access to the data.</t>
  </si>
  <si>
    <t>methodAccess</t>
  </si>
  <si>
    <t>Data were not publicly accessible</t>
  </si>
  <si>
    <t>The method for accessing data was not evident with gaining permission or registering, or there was no access to the data.</t>
  </si>
  <si>
    <t>Data cannot be directly downloaded, but must be copied and pasted from the website.</t>
  </si>
  <si>
    <t>Link to Source</t>
  </si>
  <si>
    <t>A link to the data producer, not the selected data, is provided. If a link directly to the selected data is provided, the download method was recorded.</t>
  </si>
  <si>
    <t>Individual Export</t>
  </si>
  <si>
    <t>Data can be downloaded but only by one site, attribute, etc. at a time.</t>
  </si>
  <si>
    <t>Batch Export</t>
  </si>
  <si>
    <t>Data can be filtered such that selected data may be downloaded simultaneously.</t>
  </si>
  <si>
    <t>Full Export</t>
  </si>
  <si>
    <t>The full dataset may be downloaded simultaneously, within download constraints of the system.</t>
  </si>
  <si>
    <t>FTP</t>
  </si>
  <si>
    <t>Data are obtained through File Transfer Protocols.</t>
  </si>
  <si>
    <t>Web Services</t>
  </si>
  <si>
    <t>Data are accessed via web services (APIs) that provide a standardized way to share data and information between devices in a network (SOAP or REST protocols).</t>
  </si>
  <si>
    <t>fileFormat</t>
  </si>
  <si>
    <t>Not machine readable</t>
  </si>
  <si>
    <t>Data are not machine readable and cannot be downloaded and directly used. File formats include images (jpeg; tiff; png…) and pdfs.</t>
  </si>
  <si>
    <t>May be machine readable</t>
  </si>
  <si>
    <t>Data are downloaded in a .zip file, requiring additional levels of effort to access.</t>
  </si>
  <si>
    <t>Machine readable with proprietary software</t>
  </si>
  <si>
    <t>Data are machine readable but require access to proprietary software to use. File formats include Microsoft Word, Microsoft Access, Microsoft Excel, Esri Shapefiles, etc. (excel, word, shapefile, access).</t>
  </si>
  <si>
    <t>Machine readable with open software</t>
  </si>
  <si>
    <t>Data are machine-readable and include csv, txt, xml, json, geojson, netCDF, etc.</t>
  </si>
  <si>
    <t>metadata</t>
  </si>
  <si>
    <t>Don't know if they have metadata… usually can't access data</t>
  </si>
  <si>
    <t>yes</t>
  </si>
  <si>
    <t>All the data have metadata</t>
  </si>
  <si>
    <t>no</t>
  </si>
  <si>
    <t>None of the data have metadata</t>
  </si>
  <si>
    <t>some</t>
  </si>
  <si>
    <t>Some data have metadata</t>
  </si>
  <si>
    <t>metadataFormat</t>
  </si>
  <si>
    <t>No</t>
  </si>
  <si>
    <t>No metadata were provided.</t>
  </si>
  <si>
    <t>Data could not be accessed. It is unknown if metadata are provided.</t>
  </si>
  <si>
    <t>Metadata is not in a machine readable format. It may be located within the text of a pdf.</t>
  </si>
  <si>
    <t>Metadata are in a machine readable format that requires proprietary software to access. File formats include excel and word.</t>
  </si>
  <si>
    <t>Metadata are in a machine-readable format (typically xml). Sometimes the metadata are part of the data file (for instance, USGS stream gauge data provides metadata within the data download).</t>
  </si>
  <si>
    <t>dataDefinitions</t>
  </si>
  <si>
    <t>No data glossaries found.</t>
  </si>
  <si>
    <t>Data were not publicly accessible and so it is unknown if a data glossary is available.</t>
  </si>
  <si>
    <t>Some</t>
  </si>
  <si>
    <t>Some data had glossaries.</t>
  </si>
  <si>
    <t>Data glossaries were available for all data.</t>
  </si>
  <si>
    <t>metadataAttributes</t>
  </si>
  <si>
    <t>Data were not publicly accessible so it is unknown if metadata were provided</t>
  </si>
  <si>
    <t>Administrative</t>
  </si>
  <si>
    <t>Administrative metadata provides information to help manage a resource, such as when and how it was created, file type and other technical information, including quality control, and who can access it.</t>
  </si>
  <si>
    <t>Descriptive</t>
  </si>
  <si>
    <t>Descriptive metadata describes a resource for purposes such as discovery and identification. It can include elements such as title, abstract, author, keywords, unique identifiers, and physical attributes (dimensions, conditions, etc).</t>
  </si>
  <si>
    <t>Structural</t>
  </si>
  <si>
    <t>Structural metadata is metadata about containers of data and indicates how compound objects are put together, for example, how pages are ordered to form chapters. It describes the types, versions, relationships and other characteristics of digital materials.</t>
  </si>
  <si>
    <t>metadataStandards</t>
  </si>
  <si>
    <t>No metadata standards were provided.</t>
  </si>
  <si>
    <t>Data were not publicly accessible and so it is unknown if metadata standards were provided.</t>
  </si>
  <si>
    <t>Some data provided metadata standards.</t>
  </si>
  <si>
    <t>Metadata standards were provided within the metadata.</t>
  </si>
  <si>
    <t>timeliness</t>
  </si>
  <si>
    <t>Frequency of updating the data was not specified or self-evident.</t>
  </si>
  <si>
    <t>Not Applicable</t>
  </si>
  <si>
    <t>The type of data is relatively static; such as aquifer or watershed boundaries, or refers to one-time data collection efforts. Varies refers to different datasets being updated (not collected) at different frequencies.</t>
  </si>
  <si>
    <t>Varies</t>
  </si>
  <si>
    <t>Yearly or Higher</t>
  </si>
  <si>
    <t>Data were updated less than once a month but at least once a year.</t>
  </si>
  <si>
    <t>Weekly or Higher</t>
  </si>
  <si>
    <t>Data were updated between once a week.</t>
  </si>
  <si>
    <t>Monthly or Higher</t>
  </si>
  <si>
    <t xml:space="preserve">Data were updated between once a month. </t>
  </si>
  <si>
    <t>Daily or Higher</t>
  </si>
  <si>
    <t>Data were updated at least once a day.</t>
  </si>
  <si>
    <t>lengthAvailable</t>
  </si>
  <si>
    <t>Data were not accessible.</t>
  </si>
  <si>
    <t>The type of data is not a time series or the length of record available varied between datasets.</t>
  </si>
  <si>
    <t>Current only</t>
  </si>
  <si>
    <t>Only current data are accessible. This typically refers websites that provide data on current conditions.</t>
  </si>
  <si>
    <t>Limited Record</t>
  </si>
  <si>
    <t>A limited period of record are accessible.</t>
  </si>
  <si>
    <t>Period of Record</t>
  </si>
  <si>
    <t>The full time series for the data are accessible.</t>
  </si>
  <si>
    <t>List of File Formats</t>
  </si>
  <si>
    <t>List of Metadata formats</t>
  </si>
  <si>
    <t xml:space="preserve">unknown </t>
  </si>
  <si>
    <t>pdf</t>
  </si>
  <si>
    <t>jpg</t>
  </si>
  <si>
    <t>broken link</t>
  </si>
  <si>
    <t>png</t>
  </si>
  <si>
    <t>in data</t>
  </si>
  <si>
    <t>tiff</t>
  </si>
  <si>
    <t>excel</t>
  </si>
  <si>
    <t>word</t>
  </si>
  <si>
    <t>access</t>
  </si>
  <si>
    <t>xml</t>
  </si>
  <si>
    <t>geodatabase</t>
  </si>
  <si>
    <t>html</t>
  </si>
  <si>
    <t>raster</t>
  </si>
  <si>
    <t>json</t>
  </si>
  <si>
    <t>shapefile</t>
  </si>
  <si>
    <t>txt</t>
  </si>
  <si>
    <t>csv</t>
  </si>
  <si>
    <t>geojson</t>
  </si>
  <si>
    <t>netCDF</t>
  </si>
  <si>
    <t>Federal Hubs</t>
  </si>
  <si>
    <t>Platform ID</t>
  </si>
  <si>
    <t>DHS-IP: HSIN-CI Dams Portal</t>
  </si>
  <si>
    <t>p01</t>
  </si>
  <si>
    <t>DHS-FEMA: Flood Map Service Center</t>
  </si>
  <si>
    <t>p02</t>
  </si>
  <si>
    <t>DHS-IP: IP Gateway</t>
  </si>
  <si>
    <t>p03</t>
  </si>
  <si>
    <t>DOD-NGIA: No Public Portal</t>
  </si>
  <si>
    <t>p04</t>
  </si>
  <si>
    <t>DOD-USACE: Corps CWMS</t>
  </si>
  <si>
    <t>p05</t>
  </si>
  <si>
    <t>DOE: Atmospheric Radiation Measurement</t>
  </si>
  <si>
    <t>p06</t>
  </si>
  <si>
    <t>DOE-EIA: Renewable and Alternative Fuels</t>
  </si>
  <si>
    <t>p07</t>
  </si>
  <si>
    <t>DOE-NREL: NREL Data Catalog</t>
  </si>
  <si>
    <t>p08</t>
  </si>
  <si>
    <t>DOE-ORNL: HydroGIS Viewer</t>
  </si>
  <si>
    <t>p09</t>
  </si>
  <si>
    <t>DOI-ACWI: National Groundwater Monitoring Network</t>
  </si>
  <si>
    <t>p10</t>
  </si>
  <si>
    <t>DOI-BoR: Hydromet</t>
  </si>
  <si>
    <t>p11</t>
  </si>
  <si>
    <t>DOI-BoR: Agrimet</t>
  </si>
  <si>
    <t>p12</t>
  </si>
  <si>
    <t>DOI-BoR: Reclamation Water Information System</t>
  </si>
  <si>
    <t>p13</t>
  </si>
  <si>
    <t>DOI-FWS: National Wetlands Inventory</t>
  </si>
  <si>
    <t>p14</t>
  </si>
  <si>
    <t>DOI-GS: GroundwaterWatch</t>
  </si>
  <si>
    <t>p15</t>
  </si>
  <si>
    <t>DOI-GS: National Water Census Data Portal</t>
  </si>
  <si>
    <t>p16</t>
  </si>
  <si>
    <t>DOI-GS: National Water Information System</t>
  </si>
  <si>
    <t>p17</t>
  </si>
  <si>
    <t>DOI-GS: StreamStats</t>
  </si>
  <si>
    <t>p18</t>
  </si>
  <si>
    <t>DOI-GS: U.S. Water Monitor</t>
  </si>
  <si>
    <t>p19</t>
  </si>
  <si>
    <t>DOI-GS: WaterAlert</t>
  </si>
  <si>
    <t>p20</t>
  </si>
  <si>
    <t>DOI-GS: WaterQualityWatch</t>
  </si>
  <si>
    <t>p21</t>
  </si>
  <si>
    <t>DOI-GS: WaterWatch</t>
  </si>
  <si>
    <t>p22</t>
  </si>
  <si>
    <t>DOI-GS: NationalMap</t>
  </si>
  <si>
    <t>p23</t>
  </si>
  <si>
    <t>EPA: ATTAINS</t>
  </si>
  <si>
    <t>p24</t>
  </si>
  <si>
    <t>EPA: ECHO</t>
  </si>
  <si>
    <t>p25</t>
  </si>
  <si>
    <t>EPA: EnviroAtlas</t>
  </si>
  <si>
    <t>p26</t>
  </si>
  <si>
    <t>EPA: National Contaminant Occurrence Database</t>
  </si>
  <si>
    <t>p27</t>
  </si>
  <si>
    <t>Joint: Water Quality Portal</t>
  </si>
  <si>
    <t>p28</t>
  </si>
  <si>
    <t>FGDC: GeoPlatform.Gov</t>
  </si>
  <si>
    <t>p29</t>
  </si>
  <si>
    <t>GSA: Data.Gov</t>
  </si>
  <si>
    <t>p30</t>
  </si>
  <si>
    <t>HHS: HealthData.Gov</t>
  </si>
  <si>
    <t>p31</t>
  </si>
  <si>
    <t>HHS-CDC: Data.CDC.Gov</t>
  </si>
  <si>
    <t>p32</t>
  </si>
  <si>
    <t>HUD: EGIS OpenData</t>
  </si>
  <si>
    <t>p33</t>
  </si>
  <si>
    <t>NASA-ESD: Alaska Satellite Facility DAAC</t>
  </si>
  <si>
    <t>p34</t>
  </si>
  <si>
    <t>NASA-ESD: Earthdata Search</t>
  </si>
  <si>
    <t>p35</t>
  </si>
  <si>
    <t>NASA-ESD: Goddard Earth Sciences Data and Information Services Center</t>
  </si>
  <si>
    <t>p36</t>
  </si>
  <si>
    <t>NASA-ESD: Global Hydrology Resource Center DAAC</t>
  </si>
  <si>
    <t>p37</t>
  </si>
  <si>
    <t>NASA-ESD: Land Processes DAAC</t>
  </si>
  <si>
    <t>p38</t>
  </si>
  <si>
    <t>NASA-ESD: National Snow and Ice Data Center DAAC</t>
  </si>
  <si>
    <t>p39</t>
  </si>
  <si>
    <t>NASA-ESD: Oak Ridge National Laboratory DAAC</t>
  </si>
  <si>
    <t>p40</t>
  </si>
  <si>
    <t>NASA-ESD: Giovanni</t>
  </si>
  <si>
    <t>p41</t>
  </si>
  <si>
    <t>NASA-ESD: Global Imagery Browse Services</t>
  </si>
  <si>
    <t>p42</t>
  </si>
  <si>
    <t>NASA-ESD: Socioeconomic Data and Applications Data Center</t>
  </si>
  <si>
    <t>p43</t>
  </si>
  <si>
    <t>Joint: Agricultural Weather Facility</t>
  </si>
  <si>
    <t>p44</t>
  </si>
  <si>
    <t>TVA: River Forecast Center</t>
  </si>
  <si>
    <t>p45</t>
  </si>
  <si>
    <t>USDA-ARS: Agricultural Research Database System</t>
  </si>
  <si>
    <t>p46</t>
  </si>
  <si>
    <t>USDA-NASS: QuickStats</t>
  </si>
  <si>
    <t>p47</t>
  </si>
  <si>
    <t>USDA-NRCS: National Water and Climate Center</t>
  </si>
  <si>
    <t>p48</t>
  </si>
  <si>
    <t>DOC-NOAA: Climate Data Online</t>
  </si>
  <si>
    <t>p49</t>
  </si>
  <si>
    <t>DOC-NOAA: OneStop</t>
  </si>
  <si>
    <t>p50</t>
  </si>
  <si>
    <t>DOC-NWS: Advanced Hydrologic Prediction Service</t>
  </si>
  <si>
    <t>p51</t>
  </si>
  <si>
    <t>DOC-NWS: Climate Prediction Center</t>
  </si>
  <si>
    <t>p52</t>
  </si>
  <si>
    <t>DOC-NWS: National Operational Hydrologic Remote Sensing Center</t>
  </si>
  <si>
    <t>p53</t>
  </si>
  <si>
    <t>DOC-NWS: Precipitation Frequency Data Server</t>
  </si>
  <si>
    <t>p54</t>
  </si>
  <si>
    <t>DOC-NOAA: National Water Model</t>
  </si>
  <si>
    <t>p55</t>
  </si>
  <si>
    <t>EPA: SDWIS Federal Reports Search</t>
  </si>
  <si>
    <t>p56</t>
  </si>
  <si>
    <t>linksDirect</t>
  </si>
  <si>
    <t>methodsAccess = Links to Source and links directly to gauge, well, data of interest</t>
  </si>
  <si>
    <t>methodsAccess = Links to Source and does not links directly to gauge, well, data of interest. Instead links to general home page.</t>
  </si>
  <si>
    <t>NA</t>
  </si>
  <si>
    <t>methodsAccess is not links to Source</t>
  </si>
  <si>
    <t>entityID</t>
  </si>
  <si>
    <t>entity</t>
  </si>
  <si>
    <t>tier1and2entity</t>
  </si>
  <si>
    <t>tier1and2entityID</t>
  </si>
  <si>
    <t>entityIDAbove</t>
  </si>
  <si>
    <t>mission</t>
  </si>
  <si>
    <t>website</t>
  </si>
  <si>
    <t>operational</t>
  </si>
  <si>
    <t>decision</t>
  </si>
  <si>
    <t>regulatory</t>
  </si>
  <si>
    <t>research</t>
  </si>
  <si>
    <t>level</t>
  </si>
  <si>
    <t>n01</t>
  </si>
  <si>
    <t xml:space="preserve">Colorado </t>
  </si>
  <si>
    <t>n02</t>
  </si>
  <si>
    <t xml:space="preserve">Department of Natural Resources </t>
  </si>
  <si>
    <t>manage and conserve Colorado’s natural resources for the benefit of people today – and tomorrow</t>
  </si>
  <si>
    <t>https://cdnr.us/#/start</t>
  </si>
  <si>
    <t xml:space="preserve">Yes </t>
  </si>
  <si>
    <t>n03</t>
  </si>
  <si>
    <t xml:space="preserve">Colorado Avalance Information Center </t>
  </si>
  <si>
    <t>to provide avalanche information, education and promote research for the protection of life, property and the enhancement of the state’s economy.</t>
  </si>
  <si>
    <t>https://avalanche.state.co.us/</t>
  </si>
  <si>
    <t>n04</t>
  </si>
  <si>
    <t>achieve stewardship of Colorado’s diverse forest environments for the benefit of present and future generations.</t>
  </si>
  <si>
    <t>https://csfs.colostate.edu/</t>
  </si>
  <si>
    <t>n05</t>
  </si>
  <si>
    <t>Division of Reclamation, Mining &amp; Safety</t>
  </si>
  <si>
    <t>protect the public, miners and the environment during current mining operations, restore abandoned mines, and to ensure that all mined land is reclaimed to beneficial use.</t>
  </si>
  <si>
    <t>https://www.colorado.gov/drms</t>
  </si>
  <si>
    <t>n06</t>
  </si>
  <si>
    <t xml:space="preserve">Colorado Oil &amp; Gas Conservation Commision </t>
  </si>
  <si>
    <t>regulate the development and production of the natural resources of oil and gas in the state of Colorado in a manner that protects public health, safety, welfare, the environment and wildlife resources.</t>
  </si>
  <si>
    <t>http://cogcc.state.co.us/</t>
  </si>
  <si>
    <t xml:space="preserve">No </t>
  </si>
  <si>
    <t>n07</t>
  </si>
  <si>
    <t xml:space="preserve">Division of Parks &amp; Wildlife </t>
  </si>
  <si>
    <t>perpetuate the wildlife resources of the state, to provide a quality state parks system, and to provide enjoyable and sustainable outdoor recreation opportunities that educate and inspire current and future generations to serve as active stewards of Colorado's natural resources.</t>
  </si>
  <si>
    <t>http://cpw.state.co.us/</t>
  </si>
  <si>
    <t>n08</t>
  </si>
  <si>
    <t xml:space="preserve">Division of Water Resources </t>
  </si>
  <si>
    <t>administer the waters of the State to maximize lawful beneficial use, ensure that dams and water wells are properly constructed and safe, and provide information about water resources to the public.</t>
  </si>
  <si>
    <t>http://water.state.co.us</t>
  </si>
  <si>
    <t>n09</t>
  </si>
  <si>
    <t xml:space="preserve">Water Conservation Board </t>
  </si>
  <si>
    <t>represents each major water basin, Denver and other state agencies in our joint effort to use water wisely and protect our water for future generations.</t>
  </si>
  <si>
    <t>https://cwcb.colorado.gov/</t>
  </si>
  <si>
    <t>n10</t>
  </si>
  <si>
    <t xml:space="preserve">Department of Public Health &amp; Environment </t>
  </si>
  <si>
    <t>https://www.colorado.gov/cdphe</t>
  </si>
  <si>
    <t>n11</t>
  </si>
  <si>
    <t xml:space="preserve">Water Quality Control Division </t>
  </si>
  <si>
    <t>https://www.colorado.gov/cdphe/wqcd</t>
  </si>
  <si>
    <t>n12</t>
  </si>
  <si>
    <t>n13</t>
  </si>
  <si>
    <t>Center for Health and Environmental Data</t>
  </si>
  <si>
    <t xml:space="preserve">provide timely, innovative and high-quality public health data collection, analysis and reporting services to drive evidence-based decisions, translate data into action and support policy development to protect and improve the health and environment of all Coloradans. </t>
  </si>
  <si>
    <t>https://www.colorado.gov/pacific/cdphe/center-health-and-environmental-data</t>
  </si>
  <si>
    <t>n14</t>
  </si>
  <si>
    <t xml:space="preserve">Departent of Agriculture </t>
  </si>
  <si>
    <t xml:space="preserve">Department of Agriculture </t>
  </si>
  <si>
    <t>strengthen and advance Colorado agriculture; promote a safe and high-quality food supply; protect consumers; and foster responsible stewardship of the environment and natural resources.</t>
  </si>
  <si>
    <t>https://www.colorado.gov/agmain</t>
  </si>
  <si>
    <t>n15</t>
  </si>
  <si>
    <t>Conservation Services Division</t>
  </si>
  <si>
    <t>provides technical and financial support, leadership and statewide coordination, and regulatory oversight to public/private landowners and agricultural businesses statewide on an array of natural resource management challenges.</t>
  </si>
  <si>
    <t>https://www.colorado.gov/pacific/agconservation</t>
  </si>
  <si>
    <t>n16</t>
  </si>
  <si>
    <t>Agricultural Water Quality Program</t>
  </si>
  <si>
    <t>protects state waters and the environment from impairment or degradation due to the improper use of agricultural chemicals while allowing for their proper and correct use.</t>
  </si>
  <si>
    <t>https://www.colorado.gov/agconservation/AWQP</t>
  </si>
  <si>
    <t>n17</t>
  </si>
  <si>
    <t>Chemigation Program</t>
  </si>
  <si>
    <t>protect aquifers and surface water from possible contamination by agricultural chemicals applied through the closed irrigation systems.</t>
  </si>
  <si>
    <t>https://www.colorado.gov/pacific/agconservation/chemigation</t>
  </si>
  <si>
    <t>n18</t>
  </si>
  <si>
    <t>n19</t>
  </si>
  <si>
    <t>Department of Regulatory Agencies</t>
  </si>
  <si>
    <t>serves the public interest by effectively regulating utilities and facilities so that the people of Colorado receive safe, reliable, and reasonably-priced services consistent with the economic, environmental and social values of our state.</t>
  </si>
  <si>
    <t>https://www.colorado.gov/dora</t>
  </si>
  <si>
    <t>n20</t>
  </si>
  <si>
    <t xml:space="preserve">Colorado Public Utilities Commission </t>
  </si>
  <si>
    <t>effectively regulating utilities and facilities so that the people of Colorado receive safe, reliable, and reasonably-priced services consistent with the economic, environmental and social values of our state.</t>
  </si>
  <si>
    <t>https://puc.colorado.gov/</t>
  </si>
  <si>
    <t>n21</t>
  </si>
  <si>
    <t>Clean Water Program</t>
  </si>
  <si>
    <t>https://www.colorado.gov/pacific/cdphe/clean-water</t>
  </si>
  <si>
    <t>n22</t>
  </si>
  <si>
    <t>Safe Drinking Water Program</t>
  </si>
  <si>
    <t>https://www.colorado.gov/pacific/cdphe/drinking-water</t>
  </si>
  <si>
    <t>n23</t>
  </si>
  <si>
    <t>n24</t>
  </si>
  <si>
    <t>n25</t>
  </si>
  <si>
    <t>n26</t>
  </si>
  <si>
    <t>Colorado School of Mines</t>
  </si>
  <si>
    <t>https://www.mines.edu/</t>
  </si>
  <si>
    <t>n27</t>
  </si>
  <si>
    <t xml:space="preserve">Colorado Geologic Survey </t>
  </si>
  <si>
    <t>To help reduce the impact of geologic hazards on the citizens of Colorado; to promote responsible economic development of mineral and energy resources; to provide geologic insight into water resources; and to proffer sound geologic advice and information to a variety of constituencies.</t>
  </si>
  <si>
    <t>https://coloradogeologicalsurvey.org/</t>
  </si>
  <si>
    <t>n28</t>
  </si>
  <si>
    <t>Energy Section</t>
  </si>
  <si>
    <t>responsible for supporting the mission of the Commission to assure the availability of safe, reliable, adequate, and efficient electric, gas, steam and water services to utility customers at rates that are just, reasonable, and not discriminatory.</t>
  </si>
  <si>
    <t>https://puc.colorado.gov/energyandwater</t>
  </si>
  <si>
    <t>n29</t>
  </si>
  <si>
    <t>n30</t>
  </si>
  <si>
    <t>Department of Transportation</t>
  </si>
  <si>
    <t xml:space="preserve">Department of Transportation </t>
  </si>
  <si>
    <t>To provide the best multi-modal transportation system for Colorado that most effectively and safely moves people, goods, and information.</t>
  </si>
  <si>
    <t>https://www.codot.gov/</t>
  </si>
  <si>
    <t>n31</t>
  </si>
  <si>
    <t>n32</t>
  </si>
  <si>
    <t>Environmental Programs Branch</t>
  </si>
  <si>
    <t>manages environmental policy, environmental procedure, programmatic agreements and environmental data to inform the planning and project development process</t>
  </si>
  <si>
    <t>https://www.codot.gov/programs/environmental</t>
  </si>
  <si>
    <t>n33</t>
  </si>
  <si>
    <t>Water Quality Section</t>
  </si>
  <si>
    <t>Ensure the quality of stormwater runoff is protected while Colorado's roadways are constructed, operated, and maintained;Promote innovative control measures (i.e. best management practices);Provide effective water quality education to CDOT staff; and facilitate cooperation between CDOT, watershed groups, and other water quality program managers, businesses and the public</t>
  </si>
  <si>
    <t>https://www.codot.gov/programs/environmental/water-quality</t>
  </si>
  <si>
    <t>from</t>
  </si>
  <si>
    <t>to</t>
  </si>
  <si>
    <t>platformID</t>
  </si>
  <si>
    <t>platform</t>
  </si>
  <si>
    <t>webLabel</t>
  </si>
  <si>
    <t>heatmapLabel</t>
  </si>
  <si>
    <t>metaAttributes</t>
  </si>
  <si>
    <t xml:space="preserve">Weather Station </t>
  </si>
  <si>
    <t>https://avalanche.state.co.us/observations/weather-stations/</t>
  </si>
  <si>
    <t xml:space="preserve">Colorado Oil and Gas Information System </t>
  </si>
  <si>
    <t>https://cogcc.state.co.us/COGIS/LiveQuery.html</t>
  </si>
  <si>
    <t xml:space="preserve">CDSS Data &amp; Tools </t>
  </si>
  <si>
    <t>https://dwr.state.co.us/tools</t>
  </si>
  <si>
    <t>Laserfiche</t>
  </si>
  <si>
    <t>https://dnrweblink.state.co.us/dwr/</t>
  </si>
  <si>
    <t xml:space="preserve">CDPHE Open Data </t>
  </si>
  <si>
    <t>https://data-cdphe.opendata.arcgis.com/</t>
  </si>
  <si>
    <t xml:space="preserve">Clean Water - GIS Maps </t>
  </si>
  <si>
    <t>https://www.colorado.gov/pacific/cdphe/clean-water-gis-maps</t>
  </si>
  <si>
    <t>Watershed Rapid Assessment Program</t>
  </si>
  <si>
    <t>https://erams.com/wrap</t>
  </si>
  <si>
    <t>Water Quality Planning</t>
  </si>
  <si>
    <t xml:space="preserve">Clean Water Program </t>
  </si>
  <si>
    <t>https://www.colorado.gov/pacific/cdphe/wq-planning</t>
  </si>
  <si>
    <t xml:space="preserve">Agricultural Water Quality Database </t>
  </si>
  <si>
    <t>Department of Agriculture</t>
  </si>
  <si>
    <t>https://erams.com/co_agwaterquality/search_data</t>
  </si>
  <si>
    <t xml:space="preserve">Safe Drinking Water Program </t>
  </si>
  <si>
    <t>Drinking water compliance assurance</t>
  </si>
  <si>
    <t>CDPHE</t>
  </si>
  <si>
    <t>Colorado Environmental Records</t>
  </si>
  <si>
    <t>Water Quality Control</t>
  </si>
  <si>
    <t>https://environmentalrecords.colorado.gov/HPRMWebDrawer/search</t>
  </si>
  <si>
    <t>Water quality 10-year roadmap</t>
  </si>
  <si>
    <t>https://www.colorado.gov/pacific/cdphe/WQ-10-Year-Roadmap</t>
  </si>
  <si>
    <t>Animas River reports, data and maps</t>
  </si>
  <si>
    <t>https://www.colorado.gov/pacific/cdphe/animas-river-spill</t>
  </si>
  <si>
    <t>CGS Publications</t>
  </si>
  <si>
    <t>https://coloradogeologicalsurvey.org/gis-data-map-portal/</t>
  </si>
  <si>
    <t>Total Maximum Daily Loads (TMDLs)</t>
  </si>
  <si>
    <t>https://www.colorado.gov/pacific/cdphe/total-maximum-daily-loads-tmdls</t>
  </si>
  <si>
    <t xml:space="preserve">Colorado Information Marketplace </t>
  </si>
  <si>
    <t>CO</t>
  </si>
  <si>
    <t>https://data.colorado.gov/</t>
  </si>
  <si>
    <t>Colorado's Water Plan</t>
  </si>
  <si>
    <t>https://www.colorado.gov/pacific/cowaterplan</t>
  </si>
  <si>
    <t xml:space="preserve">Surface Water Conditions </t>
  </si>
  <si>
    <t>https://dwr.state.co.us/surfacewater/default.aspx</t>
  </si>
  <si>
    <t xml:space="preserve">Satellite Monitoring ( USGS Colorado Water Data </t>
  </si>
  <si>
    <t>dataID</t>
  </si>
  <si>
    <t>dataGroup</t>
  </si>
  <si>
    <t>dataCategory</t>
  </si>
  <si>
    <t>d01</t>
  </si>
  <si>
    <t>Built</t>
  </si>
  <si>
    <t>Infrastructure</t>
  </si>
  <si>
    <t>d02</t>
  </si>
  <si>
    <t>Natural</t>
  </si>
  <si>
    <t>d03</t>
  </si>
  <si>
    <t>Quality</t>
  </si>
  <si>
    <t>d04</t>
  </si>
  <si>
    <t>Regulatory</t>
  </si>
  <si>
    <t>d05</t>
  </si>
  <si>
    <t>Evapotranspiration</t>
  </si>
  <si>
    <t>Quantity</t>
  </si>
  <si>
    <t>d06</t>
  </si>
  <si>
    <t>Extreme Events</t>
  </si>
  <si>
    <t>d07</t>
  </si>
  <si>
    <t>Glacial and Snow</t>
  </si>
  <si>
    <t>d08</t>
  </si>
  <si>
    <t>Groundwater</t>
  </si>
  <si>
    <t>d09</t>
  </si>
  <si>
    <t>Meteorology</t>
  </si>
  <si>
    <t>d10</t>
  </si>
  <si>
    <t>Precipitation</t>
  </si>
  <si>
    <t>d11</t>
  </si>
  <si>
    <t>Reservoir</t>
  </si>
  <si>
    <t>d12</t>
  </si>
  <si>
    <t>Soil</t>
  </si>
  <si>
    <t>d13</t>
  </si>
  <si>
    <t>Surface Water</t>
  </si>
  <si>
    <t>d14</t>
  </si>
  <si>
    <t>Hydropower</t>
  </si>
  <si>
    <t>Use</t>
  </si>
  <si>
    <t>d15</t>
  </si>
  <si>
    <t>Irrigation</t>
  </si>
  <si>
    <t>d16</t>
  </si>
  <si>
    <t>d17</t>
  </si>
  <si>
    <t>Utilities</t>
  </si>
  <si>
    <t>d18</t>
  </si>
  <si>
    <t>Management Plans</t>
  </si>
  <si>
    <t>data</t>
  </si>
  <si>
    <t>notes</t>
  </si>
  <si>
    <t>dataGroup - linked to dataNodes tab</t>
  </si>
  <si>
    <t>dataID - linked to dataNodes tab</t>
  </si>
  <si>
    <t xml:space="preserve">rainfall </t>
  </si>
  <si>
    <t xml:space="preserve">meterology data </t>
  </si>
  <si>
    <t xml:space="preserve">snowfall </t>
  </si>
  <si>
    <t xml:space="preserve">water production associated with oil &amp; gas production </t>
  </si>
  <si>
    <t>https://dwr.state.co.us/tools/</t>
  </si>
  <si>
    <t xml:space="preserve">weather data </t>
  </si>
  <si>
    <t xml:space="preserve">dam related data, well related data </t>
  </si>
  <si>
    <t xml:space="preserve">diversion records, discharge data, stream flow </t>
  </si>
  <si>
    <t>ground water levels, aquifers data, etc</t>
  </si>
  <si>
    <t>snow data</t>
  </si>
  <si>
    <t>precipitation data</t>
  </si>
  <si>
    <t xml:space="preserve">NDVI indicated irrigation data </t>
  </si>
  <si>
    <t>evapotranspiration data</t>
  </si>
  <si>
    <t>water quality</t>
  </si>
  <si>
    <t xml:space="preserve">surface water quantity </t>
  </si>
  <si>
    <t xml:space="preserve">management plans </t>
  </si>
  <si>
    <t xml:space="preserve">diversion demand reports, etc. </t>
  </si>
  <si>
    <t>https://erams.com/map/</t>
  </si>
  <si>
    <t>soil condition in watershed</t>
  </si>
  <si>
    <t xml:space="preserve">watershed data </t>
  </si>
  <si>
    <t xml:space="preserve">water quality data </t>
  </si>
  <si>
    <t>regional and statewide water management plans</t>
  </si>
  <si>
    <t>water quality sample data</t>
  </si>
  <si>
    <t>water quality assessment reports</t>
  </si>
  <si>
    <t>permit docs</t>
  </si>
  <si>
    <t>hydrology, ground water data</t>
  </si>
  <si>
    <t xml:space="preserve">energy production, state agency water use </t>
  </si>
  <si>
    <t>https://data.colorado.gov/browse?category=Water</t>
  </si>
  <si>
    <t xml:space="preserve">water rights, well permitting  </t>
  </si>
  <si>
    <t xml:space="preserve">groundwater data </t>
  </si>
  <si>
    <t xml:space="preserve">surface water, flow, </t>
  </si>
  <si>
    <t xml:space="preserve">wells, water district boundaries </t>
  </si>
  <si>
    <t xml:space="preserve">reservoir </t>
  </si>
  <si>
    <t xml:space="preserve">irrigation </t>
  </si>
  <si>
    <t>water supply plans</t>
  </si>
  <si>
    <t xml:space="preserve">lake, water bodies </t>
  </si>
  <si>
    <t>water quality and nutrient management plans</t>
  </si>
  <si>
    <t>water management plans</t>
  </si>
  <si>
    <t xml:space="preserve">agricultural demand </t>
  </si>
  <si>
    <t xml:space="preserve">agricultural, municipal &amp; industrial, surface water demand </t>
  </si>
  <si>
    <t xml:space="preserve">surface water demand </t>
  </si>
  <si>
    <t>https://dwr.state.co.us/surfacewater/</t>
  </si>
  <si>
    <t>streamflow, reservoir  data</t>
  </si>
  <si>
    <t>https://waterdata.usgs.gov/co/nwis</t>
  </si>
  <si>
    <t>Water flow and levels in streams and lakes.</t>
  </si>
  <si>
    <t xml:space="preserve">use data </t>
  </si>
  <si>
    <t>Water levels in wells.</t>
  </si>
  <si>
    <t>Department of Natural Resources</t>
  </si>
  <si>
    <t>https://cwcb.colorado.gov/supply</t>
  </si>
  <si>
    <t>https://cwcb.colorado.gov/ecosystem-health</t>
  </si>
  <si>
    <t>Departmentof Natural Resources</t>
  </si>
  <si>
    <t>Department of Public Health and Environment</t>
  </si>
  <si>
    <t xml:space="preserve">Disease Control and Environmental Epidemiology </t>
  </si>
  <si>
    <t>https://www.colorado.gov/pacific/cdphe/dceed</t>
  </si>
  <si>
    <t xml:space="preserve">spill incidents </t>
  </si>
  <si>
    <t xml:space="preserve">water produced </t>
  </si>
  <si>
    <t>COGCC Data Downloads</t>
  </si>
  <si>
    <t>https://cogcc.state.co.us/data2.html#/downloads</t>
  </si>
  <si>
    <t>Administrative; Descriptive</t>
  </si>
  <si>
    <t xml:space="preserve">well shapefile </t>
  </si>
  <si>
    <t xml:space="preserve">well water, water produced </t>
  </si>
  <si>
    <t>groundwater</t>
  </si>
  <si>
    <t>COGCC Reports Portal</t>
  </si>
  <si>
    <t>https://cogcc.state.co.us/COGCCReports/production.aspx?id=MonthlyWaterProdByCounty</t>
  </si>
  <si>
    <t>Water production by county (oil and gas sites)</t>
  </si>
  <si>
    <t xml:space="preserve">some datasets had metadata-ish attributes, </t>
  </si>
  <si>
    <t xml:space="preserve">water right amounts and transactions </t>
  </si>
  <si>
    <t>Descriptive; Administrative</t>
  </si>
  <si>
    <t>stream segementation</t>
  </si>
  <si>
    <t xml:space="preserve">water quality data, atmospheric deposition </t>
  </si>
  <si>
    <t>https://www.colorado.gov/pacific/cdphe/animas-river-water-quality-sampling-and-data</t>
  </si>
  <si>
    <t xml:space="preserve">water sampling results </t>
  </si>
  <si>
    <t>quality</t>
  </si>
  <si>
    <t>entry differed in value</t>
  </si>
  <si>
    <t xml:space="preserve">only one of us included this </t>
  </si>
  <si>
    <t>n34</t>
  </si>
  <si>
    <t>n35</t>
  </si>
  <si>
    <t>n36</t>
  </si>
  <si>
    <t>n37</t>
  </si>
  <si>
    <t xml:space="preserve">question, not sure if should include </t>
  </si>
  <si>
    <t>csv; tsv; rdf; xml; rss</t>
  </si>
  <si>
    <t xml:space="preserve">Z: p also included map for methodaccess and marked export method as batch - Z marked individual since you can only export one dataset at a time? </t>
  </si>
  <si>
    <t>Impaired water list, phosphorus controls</t>
  </si>
  <si>
    <t>precipitation</t>
  </si>
  <si>
    <t>Colorado hazadous waste site assessments</t>
  </si>
  <si>
    <t>https://www.colorado.gov/pacific/cdphe/colorado-site-assessments</t>
  </si>
  <si>
    <t>Clean water active permits</t>
  </si>
  <si>
    <t>https://www.colorado.gov/pacific/cdphe/clean-water-active-permits</t>
  </si>
  <si>
    <t>toxins in water resources</t>
  </si>
  <si>
    <t>Water Quality Control Division</t>
  </si>
  <si>
    <t>active water permits data</t>
  </si>
  <si>
    <t>https://www.colorado.gov/pacific/cdphe/WQ-Mine-Impacted-Streams-Task-Force</t>
  </si>
  <si>
    <t>Abandoned Mines Water Quality Study</t>
  </si>
  <si>
    <t>Mine water quality data</t>
  </si>
  <si>
    <t>Draining mine streamflow</t>
  </si>
  <si>
    <t>Aquatic pesticides permit</t>
  </si>
  <si>
    <t>https://www.colorado.gov/pacific/cdphe/wq-pesticides-permits</t>
  </si>
  <si>
    <t>pdf; excel</t>
  </si>
  <si>
    <t>TMDL for impaired waters, pesiticide test results</t>
  </si>
  <si>
    <t>Measurable Results Program</t>
  </si>
  <si>
    <t>https://www.colorado.gov/pacific/cdphe/clean-water-measurable-results-program</t>
  </si>
  <si>
    <t xml:space="preserve">WQ studies </t>
  </si>
  <si>
    <t>https://www.colorado.gov/pacific/cdphe/clean-water-site-wastewater-treatment-systems</t>
  </si>
  <si>
    <t>On Site Wastewater treatment systems</t>
  </si>
  <si>
    <t>On-site wastewater treatment system permits</t>
  </si>
  <si>
    <t>Number of on-site wastewater treatment system permits issued in Colorado County</t>
  </si>
  <si>
    <t>PFAS 2020 Sampling Project</t>
  </si>
  <si>
    <t>https://cohealthviz.dphe.state.co.us/t/EnvironmentalEpidemiologyPublic/views/PFAS_PWS_ParticipationDash/PFAS_Sampling_Participation?:origin=card_share_link&amp;:embed=y&amp;:isGuestRedirectFromVizportal=y</t>
  </si>
  <si>
    <t>PFAS sampling</t>
  </si>
  <si>
    <t>Consumer Confidence Rule</t>
  </si>
  <si>
    <t>https://www.colorado.gov/cdphe/ccr</t>
  </si>
  <si>
    <t>Individual export</t>
  </si>
  <si>
    <t>water quality reports by address</t>
  </si>
  <si>
    <t>Web Public Water System and Violation</t>
  </si>
  <si>
    <t>https://datastudio.google.com/reporting/18DpQAMm-riBo5DfqEUCgDqMspPPhu-Ul/page/q5Fz</t>
  </si>
  <si>
    <t>https://datastudio.google.com/u/0/reporting/18DpQAMm-riBo5DfqEUCgDqMspPPhu-Ul/page/q5Fz</t>
  </si>
  <si>
    <t xml:space="preserve">water systems violation history </t>
  </si>
  <si>
    <t>Energy and Water Reports to the Legislature</t>
  </si>
  <si>
    <t>Energy and Water</t>
  </si>
  <si>
    <t>https://puc.colorado.gov/energyandwaterreports</t>
  </si>
  <si>
    <t>Utility Providers</t>
  </si>
  <si>
    <t>https://puc.colorado.gov/utilityproviders</t>
  </si>
  <si>
    <t>Utility providers</t>
  </si>
  <si>
    <t>Regions Single POA Reports</t>
  </si>
  <si>
    <t>https://www.codot.gov/business/hydraulics/regions-single-poa-reports</t>
  </si>
  <si>
    <t>Wet Weather Monitoring Program</t>
  </si>
  <si>
    <t>https://www.codot.gov/programs/environmental/water-quality/stormwater-programs/wet-weather-monitoring-program</t>
  </si>
  <si>
    <t>Hydrology and Hydraulics reports for bridges and infrastructure</t>
  </si>
  <si>
    <t>Sampling analysis project plan for CDET Wet Weather Monitoring program</t>
  </si>
  <si>
    <t>dam safety</t>
  </si>
  <si>
    <t>Irrigated land</t>
  </si>
  <si>
    <t>n38</t>
  </si>
  <si>
    <t>n39</t>
  </si>
  <si>
    <t>n40</t>
  </si>
  <si>
    <t>Copy and Paste</t>
  </si>
  <si>
    <t>https://www.colorado.com/</t>
  </si>
  <si>
    <t xml:space="preserve">Division of Forestry </t>
  </si>
  <si>
    <t>advancing Colorado’s health and protecting the places we live, learn, work, and play.</t>
  </si>
  <si>
    <t>Office of Information</t>
  </si>
  <si>
    <t>Colorado Information Marketplace</t>
  </si>
  <si>
    <t>Colorado's open data at your fingertips</t>
  </si>
  <si>
    <t>Supply Focus Area</t>
  </si>
  <si>
    <t>envisions a Colorado that balances municipal, industrial, agricultural, environmental and recreational water needs and promotes cooperation among all water uses. The vision is supported by many water supply goals, which, when evaluated together, support the development of more balanced water supply strategies.</t>
  </si>
  <si>
    <t>Ecosystem Health Focus Area</t>
  </si>
  <si>
    <t>develops managmeent strategies tha tprotect and restore our natural ecosystem services, wildlife, and diverse plant communities</t>
  </si>
  <si>
    <t>Interstate Focus Area</t>
  </si>
  <si>
    <t>partners with downstream neighbors to manage water in Colorado following nine Interstate Compacts and an international treaty with Mexico</t>
  </si>
  <si>
    <t>https://cwcb.colorado.gov/interstate-new</t>
  </si>
  <si>
    <t>Industries Focus Area</t>
  </si>
  <si>
    <t>explores how Colorado industries directly impact the state's water resources</t>
  </si>
  <si>
    <t>https://cwcb.colorado.gov/industries</t>
  </si>
  <si>
    <t>Hazards Focus Area</t>
  </si>
  <si>
    <t>coordinates with agencies statewide to build resilience to natural hazards</t>
  </si>
  <si>
    <t>https://cwcb.colorado.gov/hazards</t>
  </si>
  <si>
    <t>Dam Safety Program</t>
  </si>
  <si>
    <t>carries out two principal statutorily defined duties; determining the safe storage level of the reservoir dams, and reviewing and approving plans and specifications for the construction and repair of Jurisdictional dams, modern dam safety best-practice includes an assortment of engineering and risk management tools</t>
  </si>
  <si>
    <t>https://dwr.colorado.gov/services/dam-safety</t>
  </si>
  <si>
    <t>supports and maintains DWR's database of streamflows, diversion records, lake storage levels, water rights and more in order to support water administration and inform the public</t>
  </si>
  <si>
    <t>https://dwr.colorado.gov/services/data-information</t>
  </si>
  <si>
    <t>administers water rights calls</t>
  </si>
  <si>
    <t>https://dwr.colorado.gov/services/water-administration</t>
  </si>
  <si>
    <t>Water Administration</t>
  </si>
  <si>
    <t>protects the groundwater resources and public health through enforcement of minimum well construction and pump installation standards</t>
  </si>
  <si>
    <t>https://dwr.colorado.gov/services/well-construction-inspection</t>
  </si>
  <si>
    <t>Well Construction and Inspection Program</t>
  </si>
  <si>
    <t>Data and Information Program</t>
  </si>
  <si>
    <t>Well Metering Program</t>
  </si>
  <si>
    <t>oversees State Engineer rules on measuring groundwater with interstate compacts and intrabasin concerns</t>
  </si>
  <si>
    <t>https://dwr.colorado.gov/services/well-metering</t>
  </si>
  <si>
    <t>https://dwr.colorado.gov/services/well-permitting</t>
  </si>
  <si>
    <t>issues and maintains permits on well water use</t>
  </si>
  <si>
    <t>Well Permitting Program</t>
  </si>
  <si>
    <t>n41</t>
  </si>
  <si>
    <t>Colorado State University</t>
  </si>
  <si>
    <t>Colorado Climate Center</t>
  </si>
  <si>
    <t>providing information and expertise on Colorado's complex climate</t>
  </si>
  <si>
    <t>https://climate.colostate.edu/</t>
  </si>
  <si>
    <t>https://www.colostate.edu/</t>
  </si>
  <si>
    <t>Water Program</t>
  </si>
  <si>
    <t>studying how geology and human activities impact Colorado’s important groundwater resources.</t>
  </si>
  <si>
    <t>https://coloradogeologicalsurvey.org/water/</t>
  </si>
  <si>
    <t>n42</t>
  </si>
  <si>
    <t>n43</t>
  </si>
  <si>
    <t>focused on science and engineering, where students and faculty together address the great challenges society faces today—particularly those related to the Earth, energy and the environment.</t>
  </si>
  <si>
    <t>Environmental Policy and Biological Resources Section</t>
  </si>
  <si>
    <t>https://www.codot.gov/programs/environmental/wetlands/overview.html</t>
  </si>
  <si>
    <t>provide technical assistance for transportation project developmentand construction with the goal of an overall benefit to the aquatic ecosystems in Colorado</t>
  </si>
  <si>
    <t>calculated in r</t>
  </si>
  <si>
    <t xml:space="preserve">Colorado Oil and Gas Conservation Commision </t>
  </si>
  <si>
    <t xml:space="preserve">CDSS Data and Tools </t>
  </si>
  <si>
    <t xml:space="preserve">Department of Public Health and Environment </t>
  </si>
  <si>
    <t>https://cohealthviz.dphe.state.co.us/t/EnvironmentalEpidemiologyPublic/views/PFAS_PWS_ParticipationDash/PFAS_Sampling_Participation?:origin=card_share_linkand:embed=yand:isGuestRedirectFromVizportal=y</t>
  </si>
  <si>
    <t>LinktoSource</t>
  </si>
  <si>
    <t>CDNR</t>
  </si>
  <si>
    <t>Website; Catalog</t>
  </si>
  <si>
    <t>Copy and Paste; Batch Export</t>
  </si>
  <si>
    <t>html; csv</t>
  </si>
  <si>
    <t>Observations Data</t>
  </si>
  <si>
    <t>create in r program</t>
  </si>
  <si>
    <t>excel; pdf; html</t>
  </si>
  <si>
    <t>Individual Export; Copy and Paste</t>
  </si>
  <si>
    <t>Descriptive; Structural</t>
  </si>
  <si>
    <t>Catalog; Map</t>
  </si>
  <si>
    <t>Full Export; Batch Export</t>
  </si>
  <si>
    <t>Descriptive; Administrative; Structural</t>
  </si>
  <si>
    <t>pdf; html; csv; shapefile; geodatabase; raster; excel</t>
  </si>
  <si>
    <t>river basins, aquifers</t>
  </si>
  <si>
    <t>Imaged Documents</t>
  </si>
  <si>
    <t>GIS Data</t>
  </si>
  <si>
    <t>https://www.colorado.gov/pacific/cdss/gis-data</t>
  </si>
  <si>
    <t>zip; shapefile; geodatabase</t>
  </si>
  <si>
    <t>Current Only</t>
  </si>
  <si>
    <t>xml; html</t>
  </si>
  <si>
    <t>river basins; basins</t>
  </si>
  <si>
    <t>management districts</t>
  </si>
  <si>
    <t>stream gage current conditions</t>
  </si>
  <si>
    <t>evaporation</t>
  </si>
  <si>
    <t>solar radiation</t>
  </si>
  <si>
    <t>Modeling Data</t>
  </si>
  <si>
    <t>https://www.colorado.gov/pacific/cdss/modeling-data</t>
  </si>
  <si>
    <t>software specific; excel</t>
  </si>
  <si>
    <t>https://www.colorado.gov/pacific/cdss/modeling-dataset-documentation</t>
  </si>
  <si>
    <t>consumptive crop use</t>
  </si>
  <si>
    <t>COGCC</t>
  </si>
  <si>
    <t>Data Downloads</t>
  </si>
  <si>
    <t>Reports Portal</t>
  </si>
  <si>
    <t>CDWR</t>
  </si>
  <si>
    <t>excel; access; shapefile; pdf; zip</t>
  </si>
  <si>
    <t>pdf; html</t>
  </si>
  <si>
    <t>Notes</t>
  </si>
  <si>
    <t>Definitions as formation codes</t>
  </si>
  <si>
    <t>excel; pdf; csv; xml</t>
  </si>
  <si>
    <t>Individual Export; Link to Source</t>
  </si>
  <si>
    <t>Broken Links</t>
  </si>
  <si>
    <t>will be removed 11/1/2020</t>
  </si>
  <si>
    <t xml:space="preserve">Open Data </t>
  </si>
  <si>
    <t>excel; shapefile; kml</t>
  </si>
  <si>
    <t>html; xml</t>
  </si>
  <si>
    <t>shapefile; geodatabase; zip</t>
  </si>
  <si>
    <t>png; pdf; csv; excel; shapefile</t>
  </si>
  <si>
    <t>This tool is really cool</t>
  </si>
  <si>
    <t>streamflow data</t>
  </si>
  <si>
    <t>fema flood zone</t>
  </si>
  <si>
    <t>water rights; consumptive use</t>
  </si>
  <si>
    <t>water quality standards</t>
  </si>
  <si>
    <t>wetlands</t>
  </si>
  <si>
    <t>Snotel data</t>
  </si>
  <si>
    <t>PRISM precipitation</t>
  </si>
  <si>
    <t>PRISM Temperature</t>
  </si>
  <si>
    <t>CDA</t>
  </si>
  <si>
    <t>https://www.colorado.gov/pacific/cdphe/drinking-water-consumer-information</t>
  </si>
  <si>
    <t>Full Export; Individual Export</t>
  </si>
  <si>
    <t>csv; excel</t>
  </si>
  <si>
    <t>pfas</t>
  </si>
  <si>
    <t>public water systems</t>
  </si>
  <si>
    <t>sediment samples</t>
  </si>
  <si>
    <t>pdf; excel; shapefile</t>
  </si>
  <si>
    <t>CGS</t>
  </si>
  <si>
    <t>Publications</t>
  </si>
  <si>
    <t>Web Services; Full Export</t>
  </si>
  <si>
    <t>Administrative; Descriptive; Structural</t>
  </si>
  <si>
    <t>well depth</t>
  </si>
  <si>
    <t>administrative structures</t>
  </si>
  <si>
    <t>pdf; excel; csv</t>
  </si>
  <si>
    <t xml:space="preserve">Descriptive; Structural </t>
  </si>
  <si>
    <t>https://cohealthviz.dphe.state.co.us/t/EnvironmentalEpidemiologyPublic/views/PFAS_results_DRAFT/Download?%3AshowAppBanner=false&amp;%3Adisplay_count=n&amp;%3AshowVizHome=n&amp;%3Aorigin=viz_share_link&amp;%3AisGuestRedirectFromVizportal=y&amp;%3Aembed=y</t>
  </si>
  <si>
    <t>pdf; png; excel</t>
  </si>
  <si>
    <t>Individual Export; Full Export</t>
  </si>
  <si>
    <t>pdf; csv; excel</t>
  </si>
  <si>
    <t>https://coepht.colorado.gov/environmental-data</t>
  </si>
  <si>
    <t>Environmental Data</t>
  </si>
  <si>
    <t xml:space="preserve">Descriptive; Administrative </t>
  </si>
  <si>
    <t>drought</t>
  </si>
  <si>
    <t>temperature</t>
  </si>
  <si>
    <t>harmful algal blooms</t>
  </si>
  <si>
    <t>private well water quality</t>
  </si>
  <si>
    <t>PUC</t>
  </si>
  <si>
    <t>DOT</t>
  </si>
  <si>
    <t>rates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</si>
</sst>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2"/>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10"/>
      <color rgb="FF000000"/>
      <name val="Arial"/>
      <family val="2"/>
    </font>
    <font>
      <u/>
      <sz val="12"/>
      <color theme="10"/>
      <name val="Calibri"/>
      <family val="2"/>
      <scheme val="minor"/>
    </font>
    <font>
      <b/>
      <sz val="12"/>
      <color theme="1"/>
      <name val="Times New Roman"/>
      <family val="1"/>
    </font>
    <font>
      <sz val="11"/>
      <color theme="1"/>
      <name val="Calibri"/>
      <family val="2"/>
      <scheme val="minor"/>
    </font>
    <font>
      <b/>
      <sz val="11"/>
      <color theme="1"/>
      <name val="Calibri"/>
      <family val="2"/>
      <scheme val="minor"/>
    </font>
    <font>
      <sz val="11"/>
      <name val="Calibri"/>
      <family val="2"/>
      <scheme val="minor"/>
    </font>
    <font>
      <sz val="12"/>
      <color rgb="FF000000"/>
      <name val="Calibri"/>
      <family val="2"/>
      <scheme val="minor"/>
    </font>
    <font>
      <sz val="8"/>
      <name val="Calibri"/>
      <family val="2"/>
      <scheme val="minor"/>
    </font>
    <font>
      <sz val="10"/>
      <color rgb="FF000000"/>
      <name val="Trebuchet MS"/>
      <family val="2"/>
    </font>
    <font>
      <sz val="12"/>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rgb="FFFFFFFF"/>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2CC"/>
        <bgColor rgb="FF000000"/>
      </patternFill>
    </fill>
    <fill>
      <patternFill patternType="solid">
        <fgColor theme="0"/>
        <bgColor rgb="FF000000"/>
      </patternFill>
    </fill>
    <fill>
      <patternFill patternType="solid">
        <fgColor rgb="FFC6E0B4"/>
        <bgColor rgb="FF000000"/>
      </patternFill>
    </fill>
    <fill>
      <patternFill patternType="solid">
        <fgColor rgb="FFFFC000"/>
        <bgColor indexed="64"/>
      </patternFill>
    </fill>
  </fills>
  <borders count="3">
    <border>
      <left/>
      <right/>
      <top/>
      <bottom/>
      <diagonal/>
    </border>
    <border>
      <left/>
      <right/>
      <top/>
      <bottom style="thin">
        <color auto="1"/>
      </bottom>
      <diagonal/>
    </border>
    <border>
      <left/>
      <right/>
      <top style="thin">
        <color auto="1"/>
      </top>
      <bottom style="thin">
        <color indexed="64"/>
      </bottom>
      <diagonal/>
    </border>
  </borders>
  <cellStyleXfs count="3">
    <xf numFmtId="0" fontId="0" fillId="0" borderId="0"/>
    <xf numFmtId="0" fontId="5" fillId="0" borderId="0" applyNumberFormat="0" applyFill="0" applyBorder="0" applyAlignment="0" applyProtection="0"/>
    <xf numFmtId="0" fontId="7" fillId="0" borderId="0"/>
  </cellStyleXfs>
  <cellXfs count="52">
    <xf numFmtId="0" fontId="0" fillId="0" borderId="0" xfId="0"/>
    <xf numFmtId="0" fontId="0" fillId="2" borderId="0" xfId="0" applyFill="1"/>
    <xf numFmtId="0" fontId="3" fillId="2" borderId="1" xfId="0" applyFont="1" applyFill="1" applyBorder="1" applyAlignment="1">
      <alignment horizontal="center"/>
    </xf>
    <xf numFmtId="0" fontId="3" fillId="2" borderId="0" xfId="0" applyFont="1" applyFill="1"/>
    <xf numFmtId="0" fontId="3" fillId="2" borderId="1" xfId="0" applyFont="1" applyFill="1" applyBorder="1"/>
    <xf numFmtId="0" fontId="5" fillId="2" borderId="0" xfId="1" applyFill="1"/>
    <xf numFmtId="0" fontId="6" fillId="2" borderId="0" xfId="0" applyFont="1" applyFill="1" applyAlignment="1">
      <alignment horizontal="center" vertical="center"/>
    </xf>
    <xf numFmtId="0" fontId="6" fillId="2" borderId="0" xfId="0" applyFont="1" applyFill="1" applyAlignment="1">
      <alignment horizontal="center" vertical="center" wrapText="1"/>
    </xf>
    <xf numFmtId="0" fontId="6" fillId="2" borderId="0" xfId="0" applyFont="1" applyFill="1"/>
    <xf numFmtId="0" fontId="0" fillId="2" borderId="0" xfId="0" applyFill="1" applyAlignment="1">
      <alignment horizontal="center"/>
    </xf>
    <xf numFmtId="0" fontId="7" fillId="2" borderId="0" xfId="2" applyFill="1"/>
    <xf numFmtId="0" fontId="7" fillId="2" borderId="0" xfId="2" applyFill="1" applyAlignment="1">
      <alignment horizontal="center" vertical="center"/>
    </xf>
    <xf numFmtId="0" fontId="7" fillId="2" borderId="0" xfId="2" applyFill="1" applyAlignment="1">
      <alignment vertical="center" wrapText="1"/>
    </xf>
    <xf numFmtId="0" fontId="7" fillId="3" borderId="1" xfId="2" applyFill="1" applyBorder="1" applyAlignment="1">
      <alignment horizontal="center" vertical="center"/>
    </xf>
    <xf numFmtId="0" fontId="7" fillId="3" borderId="1" xfId="2" applyFill="1" applyBorder="1" applyAlignment="1">
      <alignment vertical="center" wrapText="1"/>
    </xf>
    <xf numFmtId="0" fontId="7" fillId="3" borderId="1" xfId="2" applyFill="1" applyBorder="1" applyAlignment="1">
      <alignment vertical="center"/>
    </xf>
    <xf numFmtId="0" fontId="7" fillId="3" borderId="0" xfId="2" applyFill="1" applyAlignment="1">
      <alignment horizontal="center" vertical="center"/>
    </xf>
    <xf numFmtId="0" fontId="7" fillId="3" borderId="0" xfId="2" applyFill="1" applyAlignment="1">
      <alignment vertical="center" wrapText="1"/>
    </xf>
    <xf numFmtId="0" fontId="7" fillId="3" borderId="0" xfId="2" applyFill="1" applyAlignment="1">
      <alignment vertical="center"/>
    </xf>
    <xf numFmtId="0" fontId="7" fillId="2" borderId="1" xfId="2" applyFill="1" applyBorder="1" applyAlignment="1">
      <alignment horizontal="center" vertical="center"/>
    </xf>
    <xf numFmtId="0" fontId="7" fillId="2" borderId="1" xfId="2" applyFill="1" applyBorder="1" applyAlignment="1">
      <alignment vertical="center" wrapText="1"/>
    </xf>
    <xf numFmtId="0" fontId="8" fillId="2" borderId="1" xfId="2" applyFont="1" applyFill="1" applyBorder="1" applyAlignment="1">
      <alignment horizontal="center" vertical="center"/>
    </xf>
    <xf numFmtId="0" fontId="8" fillId="2" borderId="1" xfId="2" applyFont="1" applyFill="1" applyBorder="1" applyAlignment="1">
      <alignment horizontal="center" vertical="center" wrapText="1"/>
    </xf>
    <xf numFmtId="0" fontId="7" fillId="3" borderId="0" xfId="2" applyFill="1" applyBorder="1" applyAlignment="1">
      <alignment vertical="center" wrapText="1"/>
    </xf>
    <xf numFmtId="0" fontId="9" fillId="5" borderId="0" xfId="2" applyFont="1" applyFill="1" applyAlignment="1">
      <alignment vertical="center" wrapText="1"/>
    </xf>
    <xf numFmtId="0" fontId="7" fillId="3" borderId="0" xfId="2" applyFill="1" applyBorder="1" applyAlignment="1">
      <alignment horizontal="center" vertical="center"/>
    </xf>
    <xf numFmtId="0" fontId="8" fillId="2" borderId="2" xfId="2" applyFont="1" applyFill="1" applyBorder="1" applyAlignment="1">
      <alignment vertical="center" wrapText="1"/>
    </xf>
    <xf numFmtId="0" fontId="8" fillId="2" borderId="0" xfId="2" applyFont="1" applyFill="1" applyAlignment="1">
      <alignment vertical="center" wrapText="1"/>
    </xf>
    <xf numFmtId="0" fontId="2" fillId="2" borderId="0" xfId="2" applyFont="1" applyFill="1" applyAlignment="1">
      <alignment vertical="center" wrapText="1"/>
    </xf>
    <xf numFmtId="0" fontId="2" fillId="2" borderId="0" xfId="2" applyFont="1" applyFill="1" applyAlignment="1">
      <alignment vertical="center"/>
    </xf>
    <xf numFmtId="0" fontId="7" fillId="2" borderId="0" xfId="2" applyFill="1" applyAlignment="1">
      <alignment vertical="center"/>
    </xf>
    <xf numFmtId="0" fontId="2" fillId="3" borderId="0" xfId="2" applyFont="1" applyFill="1" applyAlignment="1">
      <alignment vertical="center" wrapText="1"/>
    </xf>
    <xf numFmtId="0" fontId="2" fillId="3" borderId="0" xfId="2" applyFont="1" applyFill="1" applyBorder="1" applyAlignment="1">
      <alignment vertical="center" wrapText="1"/>
    </xf>
    <xf numFmtId="0" fontId="2" fillId="4" borderId="0" xfId="2" applyFont="1" applyFill="1" applyAlignment="1">
      <alignment vertical="center" wrapText="1"/>
    </xf>
    <xf numFmtId="0" fontId="0" fillId="6" borderId="0" xfId="0" applyFill="1"/>
    <xf numFmtId="0" fontId="10" fillId="7" borderId="0" xfId="0" applyFont="1" applyFill="1"/>
    <xf numFmtId="0" fontId="0" fillId="8" borderId="0" xfId="0" applyFill="1"/>
    <xf numFmtId="0" fontId="10" fillId="10" borderId="0" xfId="0" applyFont="1" applyFill="1"/>
    <xf numFmtId="0" fontId="0" fillId="9" borderId="0" xfId="0" applyFill="1"/>
    <xf numFmtId="0" fontId="10" fillId="2" borderId="0" xfId="0" applyFont="1" applyFill="1"/>
    <xf numFmtId="0" fontId="10" fillId="11" borderId="0" xfId="0" applyFont="1" applyFill="1"/>
    <xf numFmtId="0" fontId="5" fillId="11" borderId="0" xfId="1" applyFill="1"/>
    <xf numFmtId="0" fontId="10" fillId="12" borderId="0" xfId="0" applyFont="1" applyFill="1"/>
    <xf numFmtId="0" fontId="3" fillId="2" borderId="0" xfId="0" applyFont="1" applyFill="1" applyAlignment="1">
      <alignment horizontal="center"/>
    </xf>
    <xf numFmtId="0" fontId="0" fillId="13" borderId="0" xfId="0" applyFill="1"/>
    <xf numFmtId="0" fontId="4" fillId="11" borderId="0" xfId="0" applyFont="1" applyFill="1"/>
    <xf numFmtId="0" fontId="4" fillId="2" borderId="0" xfId="0" applyFont="1" applyFill="1"/>
    <xf numFmtId="0" fontId="1" fillId="2" borderId="0" xfId="2" applyFont="1" applyFill="1" applyAlignment="1">
      <alignment vertical="center" wrapText="1"/>
    </xf>
    <xf numFmtId="0" fontId="5" fillId="0" borderId="0" xfId="1"/>
    <xf numFmtId="0" fontId="12" fillId="0" borderId="0" xfId="0" applyFont="1"/>
    <xf numFmtId="0" fontId="13" fillId="11" borderId="0" xfId="0" applyFont="1" applyFill="1"/>
    <xf numFmtId="0" fontId="10" fillId="11" borderId="0" xfId="0" applyFont="1" applyFill="1" applyAlignment="1">
      <alignment horizontal="center"/>
    </xf>
  </cellXfs>
  <cellStyles count="3">
    <cellStyle name="Hyperlink" xfId="1" builtinId="8"/>
    <cellStyle name="Normal" xfId="0" builtinId="0"/>
    <cellStyle name="Normal 2" xfId="2"/>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cwcb.colorado.gov/" TargetMode="External"/><Relationship Id="rId13" Type="http://schemas.openxmlformats.org/officeDocument/2006/relationships/hyperlink" Target="https://www.colorado.gov/pacific/agconservation" TargetMode="External"/><Relationship Id="rId18" Type="http://schemas.openxmlformats.org/officeDocument/2006/relationships/hyperlink" Target="https://www.colorado.gov/pacific/cdphe/clean-water" TargetMode="External"/><Relationship Id="rId26" Type="http://schemas.openxmlformats.org/officeDocument/2006/relationships/hyperlink" Target="https://www.colorado.gov/pacific/cdphe/dceed" TargetMode="External"/><Relationship Id="rId39" Type="http://schemas.openxmlformats.org/officeDocument/2006/relationships/hyperlink" Target="https://cwcb.colorado.gov/ecosystem-health" TargetMode="External"/><Relationship Id="rId3" Type="http://schemas.openxmlformats.org/officeDocument/2006/relationships/hyperlink" Target="https://csfs.colostate.edu/" TargetMode="External"/><Relationship Id="rId21" Type="http://schemas.openxmlformats.org/officeDocument/2006/relationships/hyperlink" Target="https://coloradogeologicalsurvey.org/" TargetMode="External"/><Relationship Id="rId34" Type="http://schemas.openxmlformats.org/officeDocument/2006/relationships/hyperlink" Target="https://dwr.colorado.gov/services/data-information" TargetMode="External"/><Relationship Id="rId7" Type="http://schemas.openxmlformats.org/officeDocument/2006/relationships/hyperlink" Target="http://water.state.co.us/" TargetMode="External"/><Relationship Id="rId12" Type="http://schemas.openxmlformats.org/officeDocument/2006/relationships/hyperlink" Target="https://www.colorado.gov/agmain" TargetMode="External"/><Relationship Id="rId17" Type="http://schemas.openxmlformats.org/officeDocument/2006/relationships/hyperlink" Target="https://www.colorado.gov/dora" TargetMode="External"/><Relationship Id="rId25" Type="http://schemas.openxmlformats.org/officeDocument/2006/relationships/hyperlink" Target="https://www.codot.gov/programs/environmental/water-quality" TargetMode="External"/><Relationship Id="rId33" Type="http://schemas.openxmlformats.org/officeDocument/2006/relationships/hyperlink" Target="https://dwr.colorado.gov/services/dam-safety" TargetMode="External"/><Relationship Id="rId38" Type="http://schemas.openxmlformats.org/officeDocument/2006/relationships/hyperlink" Target="https://dwr.colorado.gov/services/well-permitting" TargetMode="External"/><Relationship Id="rId2" Type="http://schemas.openxmlformats.org/officeDocument/2006/relationships/hyperlink" Target="https://avalanche.state.co.us/" TargetMode="External"/><Relationship Id="rId16" Type="http://schemas.openxmlformats.org/officeDocument/2006/relationships/hyperlink" Target="https://puc.colorado.gov/" TargetMode="External"/><Relationship Id="rId20" Type="http://schemas.openxmlformats.org/officeDocument/2006/relationships/hyperlink" Target="https://www.mines.edu/" TargetMode="External"/><Relationship Id="rId29" Type="http://schemas.openxmlformats.org/officeDocument/2006/relationships/hyperlink" Target="https://cwcb.colorado.gov/ecosystem-health" TargetMode="External"/><Relationship Id="rId1" Type="http://schemas.openxmlformats.org/officeDocument/2006/relationships/hyperlink" Target="https://cdnr.us/" TargetMode="External"/><Relationship Id="rId6" Type="http://schemas.openxmlformats.org/officeDocument/2006/relationships/hyperlink" Target="http://cpw.state.co.us/" TargetMode="External"/><Relationship Id="rId11" Type="http://schemas.openxmlformats.org/officeDocument/2006/relationships/hyperlink" Target="https://www.colorado.gov/cdphe/wqcd" TargetMode="External"/><Relationship Id="rId24" Type="http://schemas.openxmlformats.org/officeDocument/2006/relationships/hyperlink" Target="https://www.codot.gov/programs/environmental" TargetMode="External"/><Relationship Id="rId32" Type="http://schemas.openxmlformats.org/officeDocument/2006/relationships/hyperlink" Target="https://cwcb.colorado.gov/hazards" TargetMode="External"/><Relationship Id="rId37" Type="http://schemas.openxmlformats.org/officeDocument/2006/relationships/hyperlink" Target="https://dwr.colorado.gov/services/well-metering" TargetMode="External"/><Relationship Id="rId40" Type="http://schemas.openxmlformats.org/officeDocument/2006/relationships/printerSettings" Target="../printerSettings/printerSettings3.bin"/><Relationship Id="rId5" Type="http://schemas.openxmlformats.org/officeDocument/2006/relationships/hyperlink" Target="http://cogcc.state.co.us/" TargetMode="External"/><Relationship Id="rId15" Type="http://schemas.openxmlformats.org/officeDocument/2006/relationships/hyperlink" Target="https://www.colorado.gov/agconservation/AWQP" TargetMode="External"/><Relationship Id="rId23" Type="http://schemas.openxmlformats.org/officeDocument/2006/relationships/hyperlink" Target="https://www.codot.gov/" TargetMode="External"/><Relationship Id="rId28" Type="http://schemas.openxmlformats.org/officeDocument/2006/relationships/hyperlink" Target="https://www.colorado.com/" TargetMode="External"/><Relationship Id="rId36" Type="http://schemas.openxmlformats.org/officeDocument/2006/relationships/hyperlink" Target="https://dwr.colorado.gov/services/well-construction-inspection" TargetMode="External"/><Relationship Id="rId10" Type="http://schemas.openxmlformats.org/officeDocument/2006/relationships/hyperlink" Target="https://www.colorado.gov/pacific/cdphe/center-health-and-environmental-data" TargetMode="External"/><Relationship Id="rId19" Type="http://schemas.openxmlformats.org/officeDocument/2006/relationships/hyperlink" Target="https://www.colorado.gov/pacific/cdphe/drinking-water" TargetMode="External"/><Relationship Id="rId31" Type="http://schemas.openxmlformats.org/officeDocument/2006/relationships/hyperlink" Target="https://cwcb.colorado.gov/industries" TargetMode="External"/><Relationship Id="rId4" Type="http://schemas.openxmlformats.org/officeDocument/2006/relationships/hyperlink" Target="https://www.colorado.gov/drms" TargetMode="External"/><Relationship Id="rId9" Type="http://schemas.openxmlformats.org/officeDocument/2006/relationships/hyperlink" Target="https://www.colorado.gov/cdphe" TargetMode="External"/><Relationship Id="rId14" Type="http://schemas.openxmlformats.org/officeDocument/2006/relationships/hyperlink" Target="https://www.colorado.gov/pacific/agconservation/chemigation" TargetMode="External"/><Relationship Id="rId22" Type="http://schemas.openxmlformats.org/officeDocument/2006/relationships/hyperlink" Target="https://puc.colorado.gov/energyandwater" TargetMode="External"/><Relationship Id="rId27" Type="http://schemas.openxmlformats.org/officeDocument/2006/relationships/hyperlink" Target="https://cwcb.colorado.gov/supply" TargetMode="External"/><Relationship Id="rId30" Type="http://schemas.openxmlformats.org/officeDocument/2006/relationships/hyperlink" Target="https://cwcb.colorado.gov/interstate-new" TargetMode="External"/><Relationship Id="rId35" Type="http://schemas.openxmlformats.org/officeDocument/2006/relationships/hyperlink" Target="https://dwr.colorado.gov/services/water-administration"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colorado.gov/pacific/cdphe/wq-planning" TargetMode="External"/><Relationship Id="rId13" Type="http://schemas.openxmlformats.org/officeDocument/2006/relationships/hyperlink" Target="https://data.colorado.gov/" TargetMode="External"/><Relationship Id="rId18" Type="http://schemas.openxmlformats.org/officeDocument/2006/relationships/hyperlink" Target="https://cogcc.state.co.us/data2.html" TargetMode="External"/><Relationship Id="rId26" Type="http://schemas.openxmlformats.org/officeDocument/2006/relationships/hyperlink" Target="https://cohealthviz.dphe.state.co.us/t/EnvironmentalEpidemiologyPublic/views/PFAS_PWS_ParticipationDash/PFAS_Sampling_Participation?:origin=card_share_link&amp;:embed=y&amp;:isGuestRedirectFromVizportal=y" TargetMode="External"/><Relationship Id="rId3" Type="http://schemas.openxmlformats.org/officeDocument/2006/relationships/hyperlink" Target="https://dwr.state.co.us/tools" TargetMode="External"/><Relationship Id="rId21" Type="http://schemas.openxmlformats.org/officeDocument/2006/relationships/hyperlink" Target="https://www.colorado.gov/pacific/cdphe/clean-water-active-permits" TargetMode="External"/><Relationship Id="rId7" Type="http://schemas.openxmlformats.org/officeDocument/2006/relationships/hyperlink" Target="https://erams.com/wrap" TargetMode="External"/><Relationship Id="rId12" Type="http://schemas.openxmlformats.org/officeDocument/2006/relationships/hyperlink" Target="https://coloradogeologicalsurvey.org/gis-data-map-portal/" TargetMode="External"/><Relationship Id="rId17" Type="http://schemas.openxmlformats.org/officeDocument/2006/relationships/hyperlink" Target="https://dwr.state.co.us/surfacewater/default.aspx" TargetMode="External"/><Relationship Id="rId25" Type="http://schemas.openxmlformats.org/officeDocument/2006/relationships/hyperlink" Target="https://www.colorado.gov/pacific/cdphe/clean-water-site-wastewater-treatment-systems" TargetMode="External"/><Relationship Id="rId2" Type="http://schemas.openxmlformats.org/officeDocument/2006/relationships/hyperlink" Target="https://cogcc.state.co.us/COGIS/LiveQuery.html" TargetMode="External"/><Relationship Id="rId16" Type="http://schemas.openxmlformats.org/officeDocument/2006/relationships/hyperlink" Target="https://www.colorado.gov/pacific/cowaterplan" TargetMode="External"/><Relationship Id="rId20" Type="http://schemas.openxmlformats.org/officeDocument/2006/relationships/hyperlink" Target="https://www.colorado.gov/pacific/cdphe/colorado-site-assessments" TargetMode="External"/><Relationship Id="rId29" Type="http://schemas.openxmlformats.org/officeDocument/2006/relationships/hyperlink" Target="https://puc.colorado.gov/energyandwaterreports" TargetMode="External"/><Relationship Id="rId1" Type="http://schemas.openxmlformats.org/officeDocument/2006/relationships/hyperlink" Target="https://avalanche.state.co.us/observations/weather-stations/" TargetMode="External"/><Relationship Id="rId6" Type="http://schemas.openxmlformats.org/officeDocument/2006/relationships/hyperlink" Target="https://dnrweblink.state.co.us/dwr/" TargetMode="External"/><Relationship Id="rId11" Type="http://schemas.openxmlformats.org/officeDocument/2006/relationships/hyperlink" Target="https://www.colorado.gov/pacific/cdphe/WQ-10-Year-Roadmap" TargetMode="External"/><Relationship Id="rId24" Type="http://schemas.openxmlformats.org/officeDocument/2006/relationships/hyperlink" Target="https://www.colorado.gov/pacific/cdphe/clean-water-measurable-results-program" TargetMode="External"/><Relationship Id="rId32" Type="http://schemas.openxmlformats.org/officeDocument/2006/relationships/hyperlink" Target="https://www.codot.gov/programs/environmental/water-quality/stormwater-programs/wet-weather-monitoring-program" TargetMode="External"/><Relationship Id="rId5" Type="http://schemas.openxmlformats.org/officeDocument/2006/relationships/hyperlink" Target="https://www.colorado.gov/pacific/cdphe/clean-water-gis-maps" TargetMode="External"/><Relationship Id="rId15" Type="http://schemas.openxmlformats.org/officeDocument/2006/relationships/hyperlink" Target="https://www.colorado.gov/pacific/cdphe/total-maximum-daily-loads-tmdls" TargetMode="External"/><Relationship Id="rId23" Type="http://schemas.openxmlformats.org/officeDocument/2006/relationships/hyperlink" Target="https://www.colorado.gov/pacific/cdphe/wq-pesticides-permits" TargetMode="External"/><Relationship Id="rId28" Type="http://schemas.openxmlformats.org/officeDocument/2006/relationships/hyperlink" Target="https://datastudio.google.com/reporting/18DpQAMm-riBo5DfqEUCgDqMspPPhu-Ul/page/q5Fz" TargetMode="External"/><Relationship Id="rId10" Type="http://schemas.openxmlformats.org/officeDocument/2006/relationships/hyperlink" Target="https://environmentalrecords.colorado.gov/HPRMWebDrawer/search" TargetMode="External"/><Relationship Id="rId19" Type="http://schemas.openxmlformats.org/officeDocument/2006/relationships/hyperlink" Target="https://cogcc.state.co.us/COGCCReports/production.aspx?id=MonthlyWaterProdByCounty" TargetMode="External"/><Relationship Id="rId31" Type="http://schemas.openxmlformats.org/officeDocument/2006/relationships/hyperlink" Target="https://www.codot.gov/business/hydraulics/regions-single-poa-reports" TargetMode="External"/><Relationship Id="rId4" Type="http://schemas.openxmlformats.org/officeDocument/2006/relationships/hyperlink" Target="https://data-cdphe.opendata.arcgis.com/" TargetMode="External"/><Relationship Id="rId9" Type="http://schemas.openxmlformats.org/officeDocument/2006/relationships/hyperlink" Target="https://erams.com/co_agwaterquality/search_data" TargetMode="External"/><Relationship Id="rId14" Type="http://schemas.openxmlformats.org/officeDocument/2006/relationships/hyperlink" Target="https://www.colorado.gov/pacific/cdphe/animas-river-spill" TargetMode="External"/><Relationship Id="rId22" Type="http://schemas.openxmlformats.org/officeDocument/2006/relationships/hyperlink" Target="https://www.colorado.gov/pacific/cdphe/WQ-Mine-Impacted-Streams-Task-Force" TargetMode="External"/><Relationship Id="rId27" Type="http://schemas.openxmlformats.org/officeDocument/2006/relationships/hyperlink" Target="https://www.colorado.gov/cdphe/ccr" TargetMode="External"/><Relationship Id="rId30" Type="http://schemas.openxmlformats.org/officeDocument/2006/relationships/hyperlink" Target="https://puc.colorado.gov/utilityproviders"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dwr.state.co.us/tools/" TargetMode="External"/><Relationship Id="rId18" Type="http://schemas.openxmlformats.org/officeDocument/2006/relationships/hyperlink" Target="https://erams.com/map/" TargetMode="External"/><Relationship Id="rId26" Type="http://schemas.openxmlformats.org/officeDocument/2006/relationships/hyperlink" Target="https://coloradogeologicalsurvey.org/gis-data-map-portal/" TargetMode="External"/><Relationship Id="rId39" Type="http://schemas.openxmlformats.org/officeDocument/2006/relationships/hyperlink" Target="https://www.colorado.gov/pacific/cdphe/total-maximum-daily-loads-tmdls" TargetMode="External"/><Relationship Id="rId21" Type="http://schemas.openxmlformats.org/officeDocument/2006/relationships/hyperlink" Target="https://erams.com/map/" TargetMode="External"/><Relationship Id="rId34" Type="http://schemas.openxmlformats.org/officeDocument/2006/relationships/hyperlink" Target="https://data.colorado.gov/browse?category=Water" TargetMode="External"/><Relationship Id="rId42" Type="http://schemas.openxmlformats.org/officeDocument/2006/relationships/hyperlink" Target="https://www.colorado.gov/pacific/cowaterplan" TargetMode="External"/><Relationship Id="rId47" Type="http://schemas.openxmlformats.org/officeDocument/2006/relationships/hyperlink" Target="https://dwr.state.co.us/surfacewater/" TargetMode="External"/><Relationship Id="rId50" Type="http://schemas.openxmlformats.org/officeDocument/2006/relationships/hyperlink" Target="https://waterdata.usgs.gov/co/nwis" TargetMode="External"/><Relationship Id="rId55" Type="http://schemas.openxmlformats.org/officeDocument/2006/relationships/hyperlink" Target="https://www.colorado.gov/pacific/cdphe/animas-river-water-quality-sampling-and-data" TargetMode="External"/><Relationship Id="rId63" Type="http://schemas.openxmlformats.org/officeDocument/2006/relationships/hyperlink" Target="https://cohealthviz.dphe.state.co.us/t/EnvironmentalEpidemiologyPublic/views/PFAS_PWS_ParticipationDash/PFAS_Sampling_Participation?:origin=card_share_link&amp;:embed=y&amp;:isGuestRedirectFromVizportal=y" TargetMode="External"/><Relationship Id="rId68" Type="http://schemas.openxmlformats.org/officeDocument/2006/relationships/hyperlink" Target="https://erams.com/map/" TargetMode="External"/><Relationship Id="rId76" Type="http://schemas.openxmlformats.org/officeDocument/2006/relationships/hyperlink" Target="https://www.colorado.gov/pacific/cowaterplan" TargetMode="External"/><Relationship Id="rId84" Type="http://schemas.openxmlformats.org/officeDocument/2006/relationships/hyperlink" Target="https://cohealthviz.dphe.state.co.us/t/EnvironmentalEpidemiologyPublic/views/PFAS_PWS_ParticipationDash/PFAS_Sampling_Participation?:origin=card_share_link&amp;:embed=y&amp;:isGuestRedirectFromVizportal=y" TargetMode="External"/><Relationship Id="rId7" Type="http://schemas.openxmlformats.org/officeDocument/2006/relationships/hyperlink" Target="https://dwr.state.co.us/tools/" TargetMode="External"/><Relationship Id="rId71" Type="http://schemas.openxmlformats.org/officeDocument/2006/relationships/hyperlink" Target="https://erams.com/map/" TargetMode="External"/><Relationship Id="rId2" Type="http://schemas.openxmlformats.org/officeDocument/2006/relationships/hyperlink" Target="https://avalanche.state.co.us/observations/weather-stations/" TargetMode="External"/><Relationship Id="rId16" Type="http://schemas.openxmlformats.org/officeDocument/2006/relationships/hyperlink" Target="https://dnrweblink.state.co.us/dwr/" TargetMode="External"/><Relationship Id="rId29" Type="http://schemas.openxmlformats.org/officeDocument/2006/relationships/hyperlink" Target="https://data.colorado.gov/browse?category=Water" TargetMode="External"/><Relationship Id="rId11" Type="http://schemas.openxmlformats.org/officeDocument/2006/relationships/hyperlink" Target="https://dwr.state.co.us/tools/" TargetMode="External"/><Relationship Id="rId24" Type="http://schemas.openxmlformats.org/officeDocument/2006/relationships/hyperlink" Target="https://environmentalrecords.colorado.gov/HPRMWebDrawer/search" TargetMode="External"/><Relationship Id="rId32" Type="http://schemas.openxmlformats.org/officeDocument/2006/relationships/hyperlink" Target="https://data.colorado.gov/browse?category=Water" TargetMode="External"/><Relationship Id="rId37" Type="http://schemas.openxmlformats.org/officeDocument/2006/relationships/hyperlink" Target="https://data.colorado.gov/browse?category=Water" TargetMode="External"/><Relationship Id="rId40" Type="http://schemas.openxmlformats.org/officeDocument/2006/relationships/hyperlink" Target="https://www.colorado.gov/pacific/cowaterplan" TargetMode="External"/><Relationship Id="rId45" Type="http://schemas.openxmlformats.org/officeDocument/2006/relationships/hyperlink" Target="https://www.colorado.gov/pacific/cdphe/clean-water-gis-maps" TargetMode="External"/><Relationship Id="rId53" Type="http://schemas.openxmlformats.org/officeDocument/2006/relationships/hyperlink" Target="https://dwr.state.co.us/tools/" TargetMode="External"/><Relationship Id="rId58" Type="http://schemas.openxmlformats.org/officeDocument/2006/relationships/hyperlink" Target="https://www.colorado.gov/pacific/cdphe/colorado-site-assessments" TargetMode="External"/><Relationship Id="rId66" Type="http://schemas.openxmlformats.org/officeDocument/2006/relationships/hyperlink" Target="https://datastudio.google.com/u/0/reporting/18DpQAMm-riBo5DfqEUCgDqMspPPhu-Ul/page/q5Fz" TargetMode="External"/><Relationship Id="rId74" Type="http://schemas.openxmlformats.org/officeDocument/2006/relationships/hyperlink" Target="https://www.colorado.gov/pacific/cdphe/animas-river-water-quality-sampling-and-data" TargetMode="External"/><Relationship Id="rId79" Type="http://schemas.openxmlformats.org/officeDocument/2006/relationships/hyperlink" Target="https://www.colorado.gov/pacific/cowaterplan" TargetMode="External"/><Relationship Id="rId87" Type="http://schemas.openxmlformats.org/officeDocument/2006/relationships/hyperlink" Target="https://www.colorado.gov/cdphe/ccr" TargetMode="External"/><Relationship Id="rId5" Type="http://schemas.openxmlformats.org/officeDocument/2006/relationships/hyperlink" Target="https://cogcc.state.co.us/COGIS/LiveQuery.html" TargetMode="External"/><Relationship Id="rId61" Type="http://schemas.openxmlformats.org/officeDocument/2006/relationships/hyperlink" Target="https://www.colorado.gov/pacific/cdphe/WQ-Mine-Impacted-Streams-Task-Force" TargetMode="External"/><Relationship Id="rId82" Type="http://schemas.openxmlformats.org/officeDocument/2006/relationships/hyperlink" Target="https://www.colorado.gov/pacific/cdphe/clean-water-active-permits" TargetMode="External"/><Relationship Id="rId19" Type="http://schemas.openxmlformats.org/officeDocument/2006/relationships/hyperlink" Target="https://erams.com/map/" TargetMode="External"/><Relationship Id="rId4" Type="http://schemas.openxmlformats.org/officeDocument/2006/relationships/hyperlink" Target="https://cogcc.state.co.us/COGIS/LiveQuery.html" TargetMode="External"/><Relationship Id="rId9" Type="http://schemas.openxmlformats.org/officeDocument/2006/relationships/hyperlink" Target="https://dwr.state.co.us/tools/" TargetMode="External"/><Relationship Id="rId14" Type="http://schemas.openxmlformats.org/officeDocument/2006/relationships/hyperlink" Target="https://dnrweblink.state.co.us/dwr/" TargetMode="External"/><Relationship Id="rId22" Type="http://schemas.openxmlformats.org/officeDocument/2006/relationships/hyperlink" Target="https://www.colorado.gov/pacific/cdphe/wq-planning" TargetMode="External"/><Relationship Id="rId27" Type="http://schemas.openxmlformats.org/officeDocument/2006/relationships/hyperlink" Target="https://coloradogeologicalsurvey.org/gis-data-map-portal/" TargetMode="External"/><Relationship Id="rId30" Type="http://schemas.openxmlformats.org/officeDocument/2006/relationships/hyperlink" Target="https://data.colorado.gov/browse?category=Water" TargetMode="External"/><Relationship Id="rId35" Type="http://schemas.openxmlformats.org/officeDocument/2006/relationships/hyperlink" Target="https://data.colorado.gov/browse?category=Water" TargetMode="External"/><Relationship Id="rId43" Type="http://schemas.openxmlformats.org/officeDocument/2006/relationships/hyperlink" Target="https://www.colorado.gov/pacific/cowaterplan" TargetMode="External"/><Relationship Id="rId48" Type="http://schemas.openxmlformats.org/officeDocument/2006/relationships/hyperlink" Target="https://dwr.state.co.us/surfacewater/" TargetMode="External"/><Relationship Id="rId56" Type="http://schemas.openxmlformats.org/officeDocument/2006/relationships/hyperlink" Target="https://www.colorado.gov/pacific/cdphe/animas-river-water-quality-sampling-and-data" TargetMode="External"/><Relationship Id="rId64" Type="http://schemas.openxmlformats.org/officeDocument/2006/relationships/hyperlink" Target="https://www.colorado.gov/cdphe/ccr" TargetMode="External"/><Relationship Id="rId69" Type="http://schemas.openxmlformats.org/officeDocument/2006/relationships/hyperlink" Target="https://erams.com/map/" TargetMode="External"/><Relationship Id="rId77" Type="http://schemas.openxmlformats.org/officeDocument/2006/relationships/hyperlink" Target="https://www.colorado.gov/pacific/cowaterplan" TargetMode="External"/><Relationship Id="rId8" Type="http://schemas.openxmlformats.org/officeDocument/2006/relationships/hyperlink" Target="https://dwr.state.co.us/tools/" TargetMode="External"/><Relationship Id="rId51" Type="http://schemas.openxmlformats.org/officeDocument/2006/relationships/hyperlink" Target="https://waterdata.usgs.gov/co/nwis" TargetMode="External"/><Relationship Id="rId72" Type="http://schemas.openxmlformats.org/officeDocument/2006/relationships/hyperlink" Target="https://erams.com/map/" TargetMode="External"/><Relationship Id="rId80" Type="http://schemas.openxmlformats.org/officeDocument/2006/relationships/hyperlink" Target="https://www.colorado.gov/pacific/cowaterplan" TargetMode="External"/><Relationship Id="rId85" Type="http://schemas.openxmlformats.org/officeDocument/2006/relationships/hyperlink" Target="https://www.colorado.gov/cdphe/ccr" TargetMode="External"/><Relationship Id="rId3" Type="http://schemas.openxmlformats.org/officeDocument/2006/relationships/hyperlink" Target="https://avalanche.state.co.us/observations/weather-stations/" TargetMode="External"/><Relationship Id="rId12" Type="http://schemas.openxmlformats.org/officeDocument/2006/relationships/hyperlink" Target="https://dwr.state.co.us/tools/" TargetMode="External"/><Relationship Id="rId17" Type="http://schemas.openxmlformats.org/officeDocument/2006/relationships/hyperlink" Target="https://erams.com/map/" TargetMode="External"/><Relationship Id="rId25" Type="http://schemas.openxmlformats.org/officeDocument/2006/relationships/hyperlink" Target="https://environmentalrecords.colorado.gov/HPRMWebDrawer/search" TargetMode="External"/><Relationship Id="rId33" Type="http://schemas.openxmlformats.org/officeDocument/2006/relationships/hyperlink" Target="https://data.colorado.gov/browse?category=Water" TargetMode="External"/><Relationship Id="rId38" Type="http://schemas.openxmlformats.org/officeDocument/2006/relationships/hyperlink" Target="https://www.colorado.gov/pacific/cdphe/WQ-10-Year-Roadmap" TargetMode="External"/><Relationship Id="rId46" Type="http://schemas.openxmlformats.org/officeDocument/2006/relationships/hyperlink" Target="https://data-cdphe.opendata.arcgis.com/" TargetMode="External"/><Relationship Id="rId59" Type="http://schemas.openxmlformats.org/officeDocument/2006/relationships/hyperlink" Target="https://www.colorado.gov/pacific/cdphe/clean-water-active-permits" TargetMode="External"/><Relationship Id="rId67" Type="http://schemas.openxmlformats.org/officeDocument/2006/relationships/hyperlink" Target="https://dwr.state.co.us/tools/" TargetMode="External"/><Relationship Id="rId20" Type="http://schemas.openxmlformats.org/officeDocument/2006/relationships/hyperlink" Target="https://erams.com/map/" TargetMode="External"/><Relationship Id="rId41" Type="http://schemas.openxmlformats.org/officeDocument/2006/relationships/hyperlink" Target="https://www.colorado.gov/pacific/cowaterplan" TargetMode="External"/><Relationship Id="rId54" Type="http://schemas.openxmlformats.org/officeDocument/2006/relationships/hyperlink" Target="https://www.colorado.gov/pacific/cdphe/clean-water-gis-maps" TargetMode="External"/><Relationship Id="rId62" Type="http://schemas.openxmlformats.org/officeDocument/2006/relationships/hyperlink" Target="https://www.colorado.gov/pacific/cdphe/wq-pesticides-permits" TargetMode="External"/><Relationship Id="rId70" Type="http://schemas.openxmlformats.org/officeDocument/2006/relationships/hyperlink" Target="https://erams.com/map/" TargetMode="External"/><Relationship Id="rId75" Type="http://schemas.openxmlformats.org/officeDocument/2006/relationships/hyperlink" Target="https://www.colorado.gov/pacific/cdphe/total-maximum-daily-loads-tmdls" TargetMode="External"/><Relationship Id="rId83" Type="http://schemas.openxmlformats.org/officeDocument/2006/relationships/hyperlink" Target="https://www.colorado.gov/pacific/cdphe/wq-pesticides-permits" TargetMode="External"/><Relationship Id="rId1" Type="http://schemas.openxmlformats.org/officeDocument/2006/relationships/hyperlink" Target="https://avalanche.state.co.us/observations/weather-stations/" TargetMode="External"/><Relationship Id="rId6" Type="http://schemas.openxmlformats.org/officeDocument/2006/relationships/hyperlink" Target="https://dwr.state.co.us/tools/" TargetMode="External"/><Relationship Id="rId15" Type="http://schemas.openxmlformats.org/officeDocument/2006/relationships/hyperlink" Target="https://dnrweblink.state.co.us/dwr/" TargetMode="External"/><Relationship Id="rId23" Type="http://schemas.openxmlformats.org/officeDocument/2006/relationships/hyperlink" Target="https://erams.com/co_agwaterquality/search_data" TargetMode="External"/><Relationship Id="rId28" Type="http://schemas.openxmlformats.org/officeDocument/2006/relationships/hyperlink" Target="https://data.colorado.gov/browse?category=Water" TargetMode="External"/><Relationship Id="rId36" Type="http://schemas.openxmlformats.org/officeDocument/2006/relationships/hyperlink" Target="https://data.colorado.gov/browse?category=Water" TargetMode="External"/><Relationship Id="rId49" Type="http://schemas.openxmlformats.org/officeDocument/2006/relationships/hyperlink" Target="https://waterdata.usgs.gov/co/nwis" TargetMode="External"/><Relationship Id="rId57" Type="http://schemas.openxmlformats.org/officeDocument/2006/relationships/hyperlink" Target="https://data.colorado.gov/browse?category=Water" TargetMode="External"/><Relationship Id="rId10" Type="http://schemas.openxmlformats.org/officeDocument/2006/relationships/hyperlink" Target="https://dwr.state.co.us/tools/" TargetMode="External"/><Relationship Id="rId31" Type="http://schemas.openxmlformats.org/officeDocument/2006/relationships/hyperlink" Target="https://data.colorado.gov/browse?category=Water" TargetMode="External"/><Relationship Id="rId44" Type="http://schemas.openxmlformats.org/officeDocument/2006/relationships/hyperlink" Target="https://www.colorado.gov/pacific/cdphe/clean-water-gis-maps" TargetMode="External"/><Relationship Id="rId52" Type="http://schemas.openxmlformats.org/officeDocument/2006/relationships/hyperlink" Target="https://cogcc.state.co.us/COGIS/LiveQuery.html" TargetMode="External"/><Relationship Id="rId60" Type="http://schemas.openxmlformats.org/officeDocument/2006/relationships/hyperlink" Target="https://www.colorado.gov/pacific/cdphe/WQ-Mine-Impacted-Streams-Task-Force" TargetMode="External"/><Relationship Id="rId65" Type="http://schemas.openxmlformats.org/officeDocument/2006/relationships/hyperlink" Target="https://datastudio.google.com/u/0/reporting/18DpQAMm-riBo5DfqEUCgDqMspPPhu-Ul/page/q5Fz" TargetMode="External"/><Relationship Id="rId73" Type="http://schemas.openxmlformats.org/officeDocument/2006/relationships/hyperlink" Target="https://erams.com/map/" TargetMode="External"/><Relationship Id="rId78" Type="http://schemas.openxmlformats.org/officeDocument/2006/relationships/hyperlink" Target="https://www.colorado.gov/pacific/cowaterplan" TargetMode="External"/><Relationship Id="rId81" Type="http://schemas.openxmlformats.org/officeDocument/2006/relationships/hyperlink" Target="https://www.colorado.gov/pacific/cowaterplan" TargetMode="External"/><Relationship Id="rId86" Type="http://schemas.openxmlformats.org/officeDocument/2006/relationships/hyperlink" Target="https://cohealthviz.dphe.state.co.us/t/EnvironmentalEpidemiologyPublic/views/PFAS_PWS_ParticipationDash/PFAS_Sampling_Participation?:origin=card_share_link&amp;:embed=y&amp;:isGuestRedirectFromVizportal=y"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C40" sqref="C40"/>
    </sheetView>
  </sheetViews>
  <sheetFormatPr defaultColWidth="11.19921875" defaultRowHeight="15.6" x14ac:dyDescent="0.3"/>
  <sheetData>
    <row r="1" spans="1:2" x14ac:dyDescent="0.3">
      <c r="A1" s="1"/>
    </row>
    <row r="2" spans="1:2" x14ac:dyDescent="0.3">
      <c r="A2" s="36"/>
      <c r="B2" t="s">
        <v>543</v>
      </c>
    </row>
    <row r="3" spans="1:2" x14ac:dyDescent="0.3">
      <c r="A3" s="34"/>
      <c r="B3" t="s">
        <v>544</v>
      </c>
    </row>
    <row r="4" spans="1:2" x14ac:dyDescent="0.3">
      <c r="A4" s="44"/>
      <c r="B4" t="s">
        <v>549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7"/>
  <sheetViews>
    <sheetView topLeftCell="A33" zoomScaleNormal="100" workbookViewId="0">
      <selection activeCell="B52" sqref="B52"/>
    </sheetView>
  </sheetViews>
  <sheetFormatPr defaultColWidth="8.796875" defaultRowHeight="14.4" x14ac:dyDescent="0.3"/>
  <cols>
    <col min="1" max="1" width="22" style="12" customWidth="1"/>
    <col min="2" max="2" width="22.296875" style="12" customWidth="1"/>
    <col min="3" max="3" width="92.19921875" style="12" customWidth="1"/>
    <col min="4" max="4" width="18.69921875" style="11" customWidth="1"/>
    <col min="5" max="16384" width="8.796875" style="10"/>
  </cols>
  <sheetData>
    <row r="1" spans="1:4" x14ac:dyDescent="0.3">
      <c r="A1" s="22" t="s">
        <v>0</v>
      </c>
      <c r="B1" s="22" t="s">
        <v>1</v>
      </c>
      <c r="C1" s="22" t="s">
        <v>2</v>
      </c>
      <c r="D1" s="21" t="s">
        <v>3</v>
      </c>
    </row>
    <row r="2" spans="1:4" x14ac:dyDescent="0.3">
      <c r="A2" s="18"/>
      <c r="B2" s="31" t="s">
        <v>4</v>
      </c>
      <c r="C2" s="17" t="s">
        <v>5</v>
      </c>
      <c r="D2" s="16"/>
    </row>
    <row r="3" spans="1:4" x14ac:dyDescent="0.3">
      <c r="A3" s="18"/>
      <c r="B3" s="31" t="s">
        <v>6</v>
      </c>
      <c r="C3" s="31" t="s">
        <v>7</v>
      </c>
      <c r="D3" s="16"/>
    </row>
    <row r="4" spans="1:4" x14ac:dyDescent="0.3">
      <c r="A4" s="18" t="s">
        <v>8</v>
      </c>
      <c r="B4" s="17" t="s">
        <v>9</v>
      </c>
      <c r="C4" s="17" t="s">
        <v>10</v>
      </c>
      <c r="D4" s="16">
        <v>1</v>
      </c>
    </row>
    <row r="5" spans="1:4" x14ac:dyDescent="0.3">
      <c r="A5" s="18" t="s">
        <v>8</v>
      </c>
      <c r="B5" s="17" t="s">
        <v>11</v>
      </c>
      <c r="C5" s="17" t="s">
        <v>12</v>
      </c>
      <c r="D5" s="16">
        <v>2</v>
      </c>
    </row>
    <row r="6" spans="1:4" x14ac:dyDescent="0.3">
      <c r="A6" s="15" t="s">
        <v>8</v>
      </c>
      <c r="B6" s="14" t="s">
        <v>13</v>
      </c>
      <c r="C6" s="14" t="s">
        <v>14</v>
      </c>
      <c r="D6" s="13">
        <v>3</v>
      </c>
    </row>
    <row r="7" spans="1:4" x14ac:dyDescent="0.3">
      <c r="A7" s="12" t="s">
        <v>15</v>
      </c>
      <c r="B7" s="12" t="s">
        <v>6</v>
      </c>
      <c r="C7" s="12" t="s">
        <v>16</v>
      </c>
      <c r="D7" s="11">
        <v>0</v>
      </c>
    </row>
    <row r="8" spans="1:4" x14ac:dyDescent="0.3">
      <c r="A8" s="12" t="s">
        <v>15</v>
      </c>
      <c r="B8" s="28" t="s">
        <v>17</v>
      </c>
      <c r="C8" s="12" t="s">
        <v>18</v>
      </c>
      <c r="D8" s="11">
        <v>1</v>
      </c>
    </row>
    <row r="9" spans="1:4" ht="28.8" x14ac:dyDescent="0.3">
      <c r="A9" s="12" t="s">
        <v>15</v>
      </c>
      <c r="B9" s="12" t="s">
        <v>19</v>
      </c>
      <c r="C9" s="12" t="s">
        <v>20</v>
      </c>
      <c r="D9" s="11">
        <v>2</v>
      </c>
    </row>
    <row r="10" spans="1:4" x14ac:dyDescent="0.3">
      <c r="A10" s="20" t="s">
        <v>15</v>
      </c>
      <c r="B10" s="20" t="s">
        <v>21</v>
      </c>
      <c r="C10" s="20" t="s">
        <v>22</v>
      </c>
      <c r="D10" s="19">
        <v>2</v>
      </c>
    </row>
    <row r="11" spans="1:4" x14ac:dyDescent="0.3">
      <c r="A11" s="17" t="s">
        <v>23</v>
      </c>
      <c r="B11" s="31" t="s">
        <v>6</v>
      </c>
      <c r="C11" s="17" t="s">
        <v>24</v>
      </c>
      <c r="D11" s="16">
        <v>0</v>
      </c>
    </row>
    <row r="12" spans="1:4" x14ac:dyDescent="0.3">
      <c r="A12" s="17" t="s">
        <v>23</v>
      </c>
      <c r="B12" s="17" t="s">
        <v>25</v>
      </c>
      <c r="C12" s="17" t="s">
        <v>26</v>
      </c>
      <c r="D12" s="16">
        <v>1</v>
      </c>
    </row>
    <row r="13" spans="1:4" x14ac:dyDescent="0.3">
      <c r="A13" s="17" t="s">
        <v>23</v>
      </c>
      <c r="B13" s="17" t="s">
        <v>27</v>
      </c>
      <c r="C13" s="17" t="s">
        <v>28</v>
      </c>
      <c r="D13" s="16">
        <v>1</v>
      </c>
    </row>
    <row r="14" spans="1:4" ht="28.8" x14ac:dyDescent="0.3">
      <c r="A14" s="17" t="s">
        <v>23</v>
      </c>
      <c r="B14" s="17" t="s">
        <v>29</v>
      </c>
      <c r="C14" s="17" t="s">
        <v>30</v>
      </c>
      <c r="D14" s="16">
        <v>1</v>
      </c>
    </row>
    <row r="15" spans="1:4" ht="28.8" x14ac:dyDescent="0.3">
      <c r="A15" s="17" t="s">
        <v>23</v>
      </c>
      <c r="B15" s="18" t="s">
        <v>31</v>
      </c>
      <c r="C15" s="17" t="s">
        <v>32</v>
      </c>
      <c r="D15" s="16">
        <v>2</v>
      </c>
    </row>
    <row r="16" spans="1:4" x14ac:dyDescent="0.3">
      <c r="A16" s="14" t="s">
        <v>23</v>
      </c>
      <c r="B16" s="14" t="s">
        <v>33</v>
      </c>
      <c r="C16" s="14" t="s">
        <v>34</v>
      </c>
      <c r="D16" s="13">
        <v>2</v>
      </c>
    </row>
    <row r="17" spans="1:4" x14ac:dyDescent="0.3">
      <c r="A17" s="12" t="s">
        <v>35</v>
      </c>
      <c r="B17" s="12" t="s">
        <v>4</v>
      </c>
      <c r="C17" s="12" t="s">
        <v>36</v>
      </c>
      <c r="D17" s="11">
        <v>0</v>
      </c>
    </row>
    <row r="18" spans="1:4" x14ac:dyDescent="0.3">
      <c r="A18" s="12" t="s">
        <v>35</v>
      </c>
      <c r="B18" s="12" t="s">
        <v>6</v>
      </c>
      <c r="C18" s="12" t="s">
        <v>37</v>
      </c>
      <c r="D18" s="11">
        <v>0</v>
      </c>
    </row>
    <row r="19" spans="1:4" x14ac:dyDescent="0.3">
      <c r="A19" s="12" t="s">
        <v>35</v>
      </c>
      <c r="B19" s="47" t="s">
        <v>604</v>
      </c>
      <c r="C19" s="12" t="s">
        <v>38</v>
      </c>
      <c r="D19" s="11">
        <v>1</v>
      </c>
    </row>
    <row r="20" spans="1:4" ht="28.8" x14ac:dyDescent="0.3">
      <c r="A20" s="12" t="s">
        <v>35</v>
      </c>
      <c r="B20" s="12" t="s">
        <v>39</v>
      </c>
      <c r="C20" s="12" t="s">
        <v>40</v>
      </c>
      <c r="D20" s="11">
        <v>1</v>
      </c>
    </row>
    <row r="21" spans="1:4" x14ac:dyDescent="0.3">
      <c r="A21" s="12" t="s">
        <v>35</v>
      </c>
      <c r="B21" s="12" t="s">
        <v>41</v>
      </c>
      <c r="C21" s="12" t="s">
        <v>42</v>
      </c>
      <c r="D21" s="11">
        <v>2</v>
      </c>
    </row>
    <row r="22" spans="1:4" x14ac:dyDescent="0.3">
      <c r="A22" s="12" t="s">
        <v>35</v>
      </c>
      <c r="B22" s="28" t="s">
        <v>43</v>
      </c>
      <c r="C22" s="28" t="s">
        <v>44</v>
      </c>
      <c r="D22" s="11">
        <v>3</v>
      </c>
    </row>
    <row r="23" spans="1:4" x14ac:dyDescent="0.3">
      <c r="A23" s="12" t="s">
        <v>35</v>
      </c>
      <c r="B23" s="28" t="s">
        <v>45</v>
      </c>
      <c r="C23" s="28" t="s">
        <v>46</v>
      </c>
      <c r="D23" s="11">
        <v>3</v>
      </c>
    </row>
    <row r="24" spans="1:4" x14ac:dyDescent="0.3">
      <c r="A24" s="12" t="s">
        <v>35</v>
      </c>
      <c r="B24" s="12" t="s">
        <v>47</v>
      </c>
      <c r="C24" s="12" t="s">
        <v>48</v>
      </c>
      <c r="D24" s="11">
        <v>4</v>
      </c>
    </row>
    <row r="25" spans="1:4" ht="28.8" x14ac:dyDescent="0.3">
      <c r="A25" s="20" t="s">
        <v>35</v>
      </c>
      <c r="B25" s="20" t="s">
        <v>49</v>
      </c>
      <c r="C25" s="20" t="s">
        <v>50</v>
      </c>
      <c r="D25" s="19">
        <v>5</v>
      </c>
    </row>
    <row r="26" spans="1:4" ht="28.8" x14ac:dyDescent="0.3">
      <c r="A26" s="17" t="s">
        <v>51</v>
      </c>
      <c r="B26" s="17" t="s">
        <v>52</v>
      </c>
      <c r="C26" s="17" t="s">
        <v>53</v>
      </c>
      <c r="D26" s="16">
        <v>0</v>
      </c>
    </row>
    <row r="27" spans="1:4" x14ac:dyDescent="0.3">
      <c r="A27" s="17" t="s">
        <v>51</v>
      </c>
      <c r="B27" s="17" t="s">
        <v>54</v>
      </c>
      <c r="C27" s="17" t="s">
        <v>55</v>
      </c>
      <c r="D27" s="16">
        <v>1</v>
      </c>
    </row>
    <row r="28" spans="1:4" ht="28.8" x14ac:dyDescent="0.3">
      <c r="A28" s="17" t="s">
        <v>51</v>
      </c>
      <c r="B28" s="17" t="s">
        <v>56</v>
      </c>
      <c r="C28" s="17" t="s">
        <v>57</v>
      </c>
      <c r="D28" s="16">
        <v>3</v>
      </c>
    </row>
    <row r="29" spans="1:4" ht="28.8" x14ac:dyDescent="0.3">
      <c r="A29" s="14" t="s">
        <v>51</v>
      </c>
      <c r="B29" s="14" t="s">
        <v>58</v>
      </c>
      <c r="C29" s="14" t="s">
        <v>59</v>
      </c>
      <c r="D29" s="13">
        <v>5</v>
      </c>
    </row>
    <row r="30" spans="1:4" x14ac:dyDescent="0.3">
      <c r="A30" s="32" t="s">
        <v>60</v>
      </c>
      <c r="B30" s="32" t="s">
        <v>6</v>
      </c>
      <c r="C30" s="32" t="s">
        <v>61</v>
      </c>
      <c r="D30" s="25"/>
    </row>
    <row r="31" spans="1:4" x14ac:dyDescent="0.3">
      <c r="A31" s="32" t="s">
        <v>60</v>
      </c>
      <c r="B31" s="32" t="s">
        <v>62</v>
      </c>
      <c r="C31" s="32" t="s">
        <v>63</v>
      </c>
      <c r="D31" s="25"/>
    </row>
    <row r="32" spans="1:4" x14ac:dyDescent="0.3">
      <c r="A32" s="32" t="s">
        <v>60</v>
      </c>
      <c r="B32" s="32" t="s">
        <v>64</v>
      </c>
      <c r="C32" s="32" t="s">
        <v>65</v>
      </c>
      <c r="D32" s="25"/>
    </row>
    <row r="33" spans="1:4" x14ac:dyDescent="0.3">
      <c r="A33" s="32" t="s">
        <v>60</v>
      </c>
      <c r="B33" s="32" t="s">
        <v>66</v>
      </c>
      <c r="C33" s="32" t="s">
        <v>67</v>
      </c>
      <c r="D33" s="25"/>
    </row>
    <row r="34" spans="1:4" x14ac:dyDescent="0.3">
      <c r="A34" s="12" t="s">
        <v>68</v>
      </c>
      <c r="B34" s="12" t="s">
        <v>69</v>
      </c>
      <c r="C34" s="12" t="s">
        <v>70</v>
      </c>
      <c r="D34" s="11">
        <v>0</v>
      </c>
    </row>
    <row r="35" spans="1:4" x14ac:dyDescent="0.3">
      <c r="A35" s="12" t="s">
        <v>68</v>
      </c>
      <c r="B35" s="12" t="s">
        <v>6</v>
      </c>
      <c r="C35" s="12" t="s">
        <v>71</v>
      </c>
      <c r="D35" s="11">
        <v>1</v>
      </c>
    </row>
    <row r="36" spans="1:4" x14ac:dyDescent="0.3">
      <c r="A36" s="12" t="s">
        <v>68</v>
      </c>
      <c r="B36" s="12" t="s">
        <v>52</v>
      </c>
      <c r="C36" s="12" t="s">
        <v>72</v>
      </c>
      <c r="D36" s="11">
        <v>1</v>
      </c>
    </row>
    <row r="37" spans="1:4" ht="28.8" x14ac:dyDescent="0.3">
      <c r="A37" s="12" t="s">
        <v>68</v>
      </c>
      <c r="B37" s="12" t="s">
        <v>56</v>
      </c>
      <c r="C37" s="12" t="s">
        <v>73</v>
      </c>
      <c r="D37" s="11">
        <v>2</v>
      </c>
    </row>
    <row r="38" spans="1:4" ht="28.8" x14ac:dyDescent="0.3">
      <c r="A38" s="20" t="s">
        <v>68</v>
      </c>
      <c r="B38" s="20" t="s">
        <v>58</v>
      </c>
      <c r="C38" s="20" t="s">
        <v>74</v>
      </c>
      <c r="D38" s="19">
        <v>3</v>
      </c>
    </row>
    <row r="39" spans="1:4" x14ac:dyDescent="0.3">
      <c r="A39" s="17" t="s">
        <v>75</v>
      </c>
      <c r="B39" s="17" t="s">
        <v>69</v>
      </c>
      <c r="C39" s="17" t="s">
        <v>76</v>
      </c>
      <c r="D39" s="16">
        <v>0</v>
      </c>
    </row>
    <row r="40" spans="1:4" x14ac:dyDescent="0.3">
      <c r="A40" s="17" t="s">
        <v>75</v>
      </c>
      <c r="B40" s="17" t="s">
        <v>6</v>
      </c>
      <c r="C40" s="17" t="s">
        <v>77</v>
      </c>
      <c r="D40" s="16">
        <v>0</v>
      </c>
    </row>
    <row r="41" spans="1:4" x14ac:dyDescent="0.3">
      <c r="A41" s="17" t="s">
        <v>75</v>
      </c>
      <c r="B41" s="17" t="s">
        <v>78</v>
      </c>
      <c r="C41" s="17" t="s">
        <v>79</v>
      </c>
      <c r="D41" s="16">
        <v>1</v>
      </c>
    </row>
    <row r="42" spans="1:4" x14ac:dyDescent="0.3">
      <c r="A42" s="14" t="s">
        <v>75</v>
      </c>
      <c r="B42" s="14" t="s">
        <v>33</v>
      </c>
      <c r="C42" s="14" t="s">
        <v>80</v>
      </c>
      <c r="D42" s="13">
        <v>2</v>
      </c>
    </row>
    <row r="43" spans="1:4" x14ac:dyDescent="0.3">
      <c r="A43" s="12" t="s">
        <v>81</v>
      </c>
      <c r="B43" s="12" t="s">
        <v>69</v>
      </c>
      <c r="C43" s="12" t="s">
        <v>70</v>
      </c>
      <c r="D43" s="11">
        <v>0</v>
      </c>
    </row>
    <row r="44" spans="1:4" x14ac:dyDescent="0.3">
      <c r="A44" s="12" t="s">
        <v>81</v>
      </c>
      <c r="B44" s="12" t="s">
        <v>6</v>
      </c>
      <c r="C44" s="12" t="s">
        <v>82</v>
      </c>
      <c r="D44" s="11">
        <v>0</v>
      </c>
    </row>
    <row r="45" spans="1:4" ht="28.8" x14ac:dyDescent="0.3">
      <c r="A45" s="12" t="s">
        <v>81</v>
      </c>
      <c r="B45" s="12" t="s">
        <v>83</v>
      </c>
      <c r="C45" s="12" t="s">
        <v>84</v>
      </c>
      <c r="D45" s="11">
        <v>1</v>
      </c>
    </row>
    <row r="46" spans="1:4" ht="28.8" x14ac:dyDescent="0.3">
      <c r="A46" s="12" t="s">
        <v>81</v>
      </c>
      <c r="B46" s="12" t="s">
        <v>85</v>
      </c>
      <c r="C46" s="12" t="s">
        <v>86</v>
      </c>
      <c r="D46" s="11">
        <v>1</v>
      </c>
    </row>
    <row r="47" spans="1:4" ht="43.2" x14ac:dyDescent="0.3">
      <c r="A47" s="20" t="s">
        <v>81</v>
      </c>
      <c r="B47" s="20" t="s">
        <v>87</v>
      </c>
      <c r="C47" s="20" t="s">
        <v>88</v>
      </c>
      <c r="D47" s="19">
        <v>1</v>
      </c>
    </row>
    <row r="48" spans="1:4" x14ac:dyDescent="0.3">
      <c r="A48" s="17" t="s">
        <v>89</v>
      </c>
      <c r="B48" s="17" t="s">
        <v>69</v>
      </c>
      <c r="C48" s="17" t="s">
        <v>90</v>
      </c>
      <c r="D48" s="16">
        <v>0</v>
      </c>
    </row>
    <row r="49" spans="1:4" x14ac:dyDescent="0.3">
      <c r="A49" s="17" t="s">
        <v>89</v>
      </c>
      <c r="B49" s="17" t="s">
        <v>6</v>
      </c>
      <c r="C49" s="17" t="s">
        <v>91</v>
      </c>
      <c r="D49" s="16">
        <v>0</v>
      </c>
    </row>
    <row r="50" spans="1:4" x14ac:dyDescent="0.3">
      <c r="A50" s="17" t="s">
        <v>89</v>
      </c>
      <c r="B50" s="17" t="s">
        <v>78</v>
      </c>
      <c r="C50" s="17" t="s">
        <v>92</v>
      </c>
      <c r="D50" s="16">
        <v>1</v>
      </c>
    </row>
    <row r="51" spans="1:4" x14ac:dyDescent="0.3">
      <c r="A51" s="14" t="s">
        <v>89</v>
      </c>
      <c r="B51" s="14" t="s">
        <v>33</v>
      </c>
      <c r="C51" s="14" t="s">
        <v>93</v>
      </c>
      <c r="D51" s="13">
        <v>2</v>
      </c>
    </row>
    <row r="52" spans="1:4" x14ac:dyDescent="0.3">
      <c r="A52" s="12" t="s">
        <v>94</v>
      </c>
      <c r="B52" s="12" t="s">
        <v>6</v>
      </c>
      <c r="C52" s="12" t="s">
        <v>95</v>
      </c>
      <c r="D52" s="11">
        <v>0</v>
      </c>
    </row>
    <row r="53" spans="1:4" ht="28.8" x14ac:dyDescent="0.3">
      <c r="A53" s="12" t="s">
        <v>94</v>
      </c>
      <c r="B53" s="28" t="s">
        <v>96</v>
      </c>
      <c r="C53" s="12" t="s">
        <v>97</v>
      </c>
      <c r="D53" s="11">
        <v>1</v>
      </c>
    </row>
    <row r="54" spans="1:4" ht="28.8" x14ac:dyDescent="0.3">
      <c r="A54" s="12" t="s">
        <v>94</v>
      </c>
      <c r="B54" s="28" t="s">
        <v>98</v>
      </c>
      <c r="C54" s="12" t="s">
        <v>97</v>
      </c>
      <c r="D54" s="11">
        <v>1</v>
      </c>
    </row>
    <row r="55" spans="1:4" x14ac:dyDescent="0.3">
      <c r="A55" s="12" t="s">
        <v>94</v>
      </c>
      <c r="B55" s="12" t="s">
        <v>99</v>
      </c>
      <c r="C55" s="12" t="s">
        <v>100</v>
      </c>
      <c r="D55" s="11">
        <v>2</v>
      </c>
    </row>
    <row r="56" spans="1:4" x14ac:dyDescent="0.3">
      <c r="A56" s="12" t="s">
        <v>94</v>
      </c>
      <c r="B56" s="28" t="s">
        <v>101</v>
      </c>
      <c r="C56" s="28" t="s">
        <v>102</v>
      </c>
      <c r="D56" s="11">
        <v>3</v>
      </c>
    </row>
    <row r="57" spans="1:4" x14ac:dyDescent="0.3">
      <c r="A57" s="12" t="s">
        <v>94</v>
      </c>
      <c r="B57" s="28" t="s">
        <v>103</v>
      </c>
      <c r="C57" s="28" t="s">
        <v>104</v>
      </c>
      <c r="D57" s="11">
        <v>3</v>
      </c>
    </row>
    <row r="58" spans="1:4" x14ac:dyDescent="0.3">
      <c r="A58" s="20" t="s">
        <v>94</v>
      </c>
      <c r="B58" s="20" t="s">
        <v>105</v>
      </c>
      <c r="C58" s="20" t="s">
        <v>106</v>
      </c>
      <c r="D58" s="19">
        <v>4</v>
      </c>
    </row>
    <row r="59" spans="1:4" x14ac:dyDescent="0.3">
      <c r="A59" s="17" t="s">
        <v>107</v>
      </c>
      <c r="B59" s="17" t="s">
        <v>6</v>
      </c>
      <c r="C59" s="17" t="s">
        <v>108</v>
      </c>
      <c r="D59" s="16">
        <v>0</v>
      </c>
    </row>
    <row r="60" spans="1:4" x14ac:dyDescent="0.3">
      <c r="A60" s="17" t="s">
        <v>107</v>
      </c>
      <c r="B60" s="17" t="s">
        <v>98</v>
      </c>
      <c r="C60" s="31" t="s">
        <v>109</v>
      </c>
      <c r="D60" s="16">
        <v>1</v>
      </c>
    </row>
    <row r="61" spans="1:4" x14ac:dyDescent="0.3">
      <c r="A61" s="17" t="s">
        <v>107</v>
      </c>
      <c r="B61" s="17" t="s">
        <v>110</v>
      </c>
      <c r="C61" s="17" t="s">
        <v>111</v>
      </c>
      <c r="D61" s="16">
        <v>2</v>
      </c>
    </row>
    <row r="62" spans="1:4" x14ac:dyDescent="0.3">
      <c r="A62" s="23" t="s">
        <v>107</v>
      </c>
      <c r="B62" s="17" t="s">
        <v>112</v>
      </c>
      <c r="C62" s="17" t="s">
        <v>113</v>
      </c>
      <c r="D62" s="16">
        <v>3</v>
      </c>
    </row>
    <row r="63" spans="1:4" x14ac:dyDescent="0.3">
      <c r="A63" s="14" t="s">
        <v>107</v>
      </c>
      <c r="B63" s="14" t="s">
        <v>114</v>
      </c>
      <c r="C63" s="14" t="s">
        <v>115</v>
      </c>
      <c r="D63" s="13">
        <v>4</v>
      </c>
    </row>
    <row r="65" spans="1:2" x14ac:dyDescent="0.3">
      <c r="A65" s="26" t="s">
        <v>116</v>
      </c>
      <c r="B65" s="27" t="s">
        <v>117</v>
      </c>
    </row>
    <row r="66" spans="1:2" x14ac:dyDescent="0.3">
      <c r="A66" s="24" t="s">
        <v>118</v>
      </c>
      <c r="B66" s="24" t="s">
        <v>118</v>
      </c>
    </row>
    <row r="67" spans="1:2" x14ac:dyDescent="0.3">
      <c r="A67" s="33" t="s">
        <v>119</v>
      </c>
      <c r="B67" s="33" t="s">
        <v>64</v>
      </c>
    </row>
    <row r="68" spans="1:2" x14ac:dyDescent="0.3">
      <c r="A68" s="33" t="s">
        <v>120</v>
      </c>
      <c r="B68" s="33" t="s">
        <v>121</v>
      </c>
    </row>
    <row r="69" spans="1:2" x14ac:dyDescent="0.3">
      <c r="A69" s="33" t="s">
        <v>122</v>
      </c>
      <c r="B69" s="33" t="s">
        <v>123</v>
      </c>
    </row>
    <row r="70" spans="1:2" x14ac:dyDescent="0.3">
      <c r="A70" s="33" t="s">
        <v>124</v>
      </c>
      <c r="B70" s="33" t="s">
        <v>119</v>
      </c>
    </row>
    <row r="71" spans="1:2" x14ac:dyDescent="0.3">
      <c r="A71" s="33" t="s">
        <v>125</v>
      </c>
      <c r="B71" s="33" t="s">
        <v>126</v>
      </c>
    </row>
    <row r="72" spans="1:2" x14ac:dyDescent="0.3">
      <c r="A72" s="33" t="s">
        <v>126</v>
      </c>
      <c r="B72" s="33" t="s">
        <v>125</v>
      </c>
    </row>
    <row r="73" spans="1:2" x14ac:dyDescent="0.3">
      <c r="A73" s="33" t="s">
        <v>127</v>
      </c>
      <c r="B73" s="33" t="s">
        <v>128</v>
      </c>
    </row>
    <row r="74" spans="1:2" x14ac:dyDescent="0.3">
      <c r="A74" s="33" t="s">
        <v>129</v>
      </c>
      <c r="B74" s="33" t="s">
        <v>130</v>
      </c>
    </row>
    <row r="75" spans="1:2" x14ac:dyDescent="0.3">
      <c r="A75" s="33" t="s">
        <v>131</v>
      </c>
      <c r="B75" s="33" t="s">
        <v>132</v>
      </c>
    </row>
    <row r="76" spans="1:2" x14ac:dyDescent="0.3">
      <c r="A76" s="33" t="s">
        <v>133</v>
      </c>
      <c r="B76" s="33" t="s">
        <v>134</v>
      </c>
    </row>
    <row r="77" spans="1:2" x14ac:dyDescent="0.3">
      <c r="A77" s="33" t="s">
        <v>135</v>
      </c>
      <c r="B77" s="33" t="s">
        <v>135</v>
      </c>
    </row>
    <row r="78" spans="1:2" x14ac:dyDescent="0.3">
      <c r="A78" s="33" t="s">
        <v>134</v>
      </c>
      <c r="B78" s="33"/>
    </row>
    <row r="79" spans="1:2" x14ac:dyDescent="0.3">
      <c r="A79" s="33" t="s">
        <v>128</v>
      </c>
      <c r="B79" s="33"/>
    </row>
    <row r="80" spans="1:2" x14ac:dyDescent="0.3">
      <c r="A80" s="33" t="s">
        <v>132</v>
      </c>
      <c r="B80" s="33"/>
    </row>
    <row r="81" spans="1:2" x14ac:dyDescent="0.3">
      <c r="A81" s="33" t="s">
        <v>136</v>
      </c>
      <c r="B81" s="33"/>
    </row>
    <row r="82" spans="1:2" x14ac:dyDescent="0.3">
      <c r="A82" s="33" t="s">
        <v>137</v>
      </c>
      <c r="B82" s="33"/>
    </row>
    <row r="83" spans="1:2" x14ac:dyDescent="0.3">
      <c r="A83" s="33" t="s">
        <v>130</v>
      </c>
      <c r="B83" s="33"/>
    </row>
    <row r="84" spans="1:2" x14ac:dyDescent="0.3">
      <c r="A84" s="10"/>
      <c r="B84" s="10"/>
    </row>
    <row r="85" spans="1:2" x14ac:dyDescent="0.3">
      <c r="A85" s="27" t="s">
        <v>138</v>
      </c>
      <c r="B85" s="27" t="s">
        <v>139</v>
      </c>
    </row>
    <row r="86" spans="1:2" x14ac:dyDescent="0.3">
      <c r="A86" s="29" t="s">
        <v>96</v>
      </c>
      <c r="B86" s="28" t="s">
        <v>96</v>
      </c>
    </row>
    <row r="87" spans="1:2" ht="15.6" x14ac:dyDescent="0.3">
      <c r="A87" s="30" t="s">
        <v>140</v>
      </c>
      <c r="B87" s="1" t="s">
        <v>141</v>
      </c>
    </row>
    <row r="88" spans="1:2" ht="15.6" x14ac:dyDescent="0.3">
      <c r="A88" s="30" t="s">
        <v>142</v>
      </c>
      <c r="B88" s="1" t="s">
        <v>143</v>
      </c>
    </row>
    <row r="89" spans="1:2" ht="15.6" x14ac:dyDescent="0.3">
      <c r="A89" s="30" t="s">
        <v>144</v>
      </c>
      <c r="B89" s="1" t="s">
        <v>145</v>
      </c>
    </row>
    <row r="90" spans="1:2" ht="15.6" x14ac:dyDescent="0.3">
      <c r="A90" s="30" t="s">
        <v>146</v>
      </c>
      <c r="B90" s="1" t="s">
        <v>147</v>
      </c>
    </row>
    <row r="91" spans="1:2" ht="15.6" x14ac:dyDescent="0.3">
      <c r="A91" s="30" t="s">
        <v>148</v>
      </c>
      <c r="B91" s="1" t="s">
        <v>149</v>
      </c>
    </row>
    <row r="92" spans="1:2" ht="15.6" x14ac:dyDescent="0.3">
      <c r="A92" s="30" t="s">
        <v>150</v>
      </c>
      <c r="B92" s="1" t="s">
        <v>151</v>
      </c>
    </row>
    <row r="93" spans="1:2" ht="15.6" x14ac:dyDescent="0.3">
      <c r="A93" s="30" t="s">
        <v>152</v>
      </c>
      <c r="B93" s="1" t="s">
        <v>153</v>
      </c>
    </row>
    <row r="94" spans="1:2" ht="15.6" x14ac:dyDescent="0.3">
      <c r="A94" s="30" t="s">
        <v>154</v>
      </c>
      <c r="B94" s="1" t="s">
        <v>155</v>
      </c>
    </row>
    <row r="95" spans="1:2" ht="15.6" x14ac:dyDescent="0.3">
      <c r="A95" s="30" t="s">
        <v>156</v>
      </c>
      <c r="B95" s="1" t="s">
        <v>157</v>
      </c>
    </row>
    <row r="96" spans="1:2" ht="15.6" x14ac:dyDescent="0.3">
      <c r="A96" s="30" t="s">
        <v>158</v>
      </c>
      <c r="B96" s="1" t="s">
        <v>159</v>
      </c>
    </row>
    <row r="97" spans="1:2" ht="15.6" x14ac:dyDescent="0.3">
      <c r="A97" s="30" t="s">
        <v>160</v>
      </c>
      <c r="B97" s="1" t="s">
        <v>161</v>
      </c>
    </row>
    <row r="98" spans="1:2" ht="15.6" x14ac:dyDescent="0.3">
      <c r="A98" s="30" t="s">
        <v>162</v>
      </c>
      <c r="B98" s="1" t="s">
        <v>163</v>
      </c>
    </row>
    <row r="99" spans="1:2" ht="15.6" x14ac:dyDescent="0.3">
      <c r="A99" s="30" t="s">
        <v>164</v>
      </c>
      <c r="B99" s="1" t="s">
        <v>165</v>
      </c>
    </row>
    <row r="100" spans="1:2" ht="15.6" x14ac:dyDescent="0.3">
      <c r="A100" s="30" t="s">
        <v>166</v>
      </c>
      <c r="B100" s="1" t="s">
        <v>167</v>
      </c>
    </row>
    <row r="101" spans="1:2" ht="15.6" x14ac:dyDescent="0.3">
      <c r="A101" s="30" t="s">
        <v>168</v>
      </c>
      <c r="B101" s="1" t="s">
        <v>169</v>
      </c>
    </row>
    <row r="102" spans="1:2" ht="15.6" x14ac:dyDescent="0.3">
      <c r="A102" s="30" t="s">
        <v>170</v>
      </c>
      <c r="B102" s="1" t="s">
        <v>171</v>
      </c>
    </row>
    <row r="103" spans="1:2" ht="15.6" x14ac:dyDescent="0.3">
      <c r="A103" s="30" t="s">
        <v>172</v>
      </c>
      <c r="B103" s="1" t="s">
        <v>173</v>
      </c>
    </row>
    <row r="104" spans="1:2" ht="15.6" x14ac:dyDescent="0.3">
      <c r="A104" s="30" t="s">
        <v>174</v>
      </c>
      <c r="B104" s="1" t="s">
        <v>175</v>
      </c>
    </row>
    <row r="105" spans="1:2" ht="15.6" x14ac:dyDescent="0.3">
      <c r="A105" s="30" t="s">
        <v>176</v>
      </c>
      <c r="B105" s="1" t="s">
        <v>177</v>
      </c>
    </row>
    <row r="106" spans="1:2" ht="15.6" x14ac:dyDescent="0.3">
      <c r="A106" s="30" t="s">
        <v>178</v>
      </c>
      <c r="B106" s="1" t="s">
        <v>179</v>
      </c>
    </row>
    <row r="107" spans="1:2" ht="15.6" x14ac:dyDescent="0.3">
      <c r="A107" s="30" t="s">
        <v>180</v>
      </c>
      <c r="B107" s="1" t="s">
        <v>181</v>
      </c>
    </row>
    <row r="108" spans="1:2" ht="15.6" x14ac:dyDescent="0.3">
      <c r="A108" s="30" t="s">
        <v>182</v>
      </c>
      <c r="B108" s="1" t="s">
        <v>183</v>
      </c>
    </row>
    <row r="109" spans="1:2" ht="15.6" x14ac:dyDescent="0.3">
      <c r="A109" s="30" t="s">
        <v>184</v>
      </c>
      <c r="B109" s="1" t="s">
        <v>185</v>
      </c>
    </row>
    <row r="110" spans="1:2" ht="15.6" x14ac:dyDescent="0.3">
      <c r="A110" s="30" t="s">
        <v>186</v>
      </c>
      <c r="B110" s="1" t="s">
        <v>187</v>
      </c>
    </row>
    <row r="111" spans="1:2" ht="15.6" x14ac:dyDescent="0.3">
      <c r="A111" s="30" t="s">
        <v>188</v>
      </c>
      <c r="B111" s="1" t="s">
        <v>189</v>
      </c>
    </row>
    <row r="112" spans="1:2" ht="15.6" x14ac:dyDescent="0.3">
      <c r="A112" s="30" t="s">
        <v>190</v>
      </c>
      <c r="B112" s="1" t="s">
        <v>191</v>
      </c>
    </row>
    <row r="113" spans="1:2" ht="15.6" x14ac:dyDescent="0.3">
      <c r="A113" s="30" t="s">
        <v>192</v>
      </c>
      <c r="B113" s="1" t="s">
        <v>193</v>
      </c>
    </row>
    <row r="114" spans="1:2" ht="15.6" x14ac:dyDescent="0.3">
      <c r="A114" s="30" t="s">
        <v>194</v>
      </c>
      <c r="B114" s="1" t="s">
        <v>195</v>
      </c>
    </row>
    <row r="115" spans="1:2" ht="15.6" x14ac:dyDescent="0.3">
      <c r="A115" s="30" t="s">
        <v>196</v>
      </c>
      <c r="B115" s="1" t="s">
        <v>197</v>
      </c>
    </row>
    <row r="116" spans="1:2" ht="15.6" x14ac:dyDescent="0.3">
      <c r="A116" s="30" t="s">
        <v>198</v>
      </c>
      <c r="B116" s="1" t="s">
        <v>199</v>
      </c>
    </row>
    <row r="117" spans="1:2" ht="15.6" x14ac:dyDescent="0.3">
      <c r="A117" s="30" t="s">
        <v>200</v>
      </c>
      <c r="B117" s="1" t="s">
        <v>201</v>
      </c>
    </row>
    <row r="118" spans="1:2" ht="15.6" x14ac:dyDescent="0.3">
      <c r="A118" s="30" t="s">
        <v>202</v>
      </c>
      <c r="B118" s="1" t="s">
        <v>203</v>
      </c>
    </row>
    <row r="119" spans="1:2" ht="15.6" x14ac:dyDescent="0.3">
      <c r="A119" s="30" t="s">
        <v>204</v>
      </c>
      <c r="B119" s="1" t="s">
        <v>205</v>
      </c>
    </row>
    <row r="120" spans="1:2" ht="15.6" x14ac:dyDescent="0.3">
      <c r="A120" s="30" t="s">
        <v>206</v>
      </c>
      <c r="B120" s="1" t="s">
        <v>207</v>
      </c>
    </row>
    <row r="121" spans="1:2" ht="15.6" x14ac:dyDescent="0.3">
      <c r="A121" s="30" t="s">
        <v>208</v>
      </c>
      <c r="B121" s="1" t="s">
        <v>209</v>
      </c>
    </row>
    <row r="122" spans="1:2" ht="15.6" x14ac:dyDescent="0.3">
      <c r="A122" s="30" t="s">
        <v>210</v>
      </c>
      <c r="B122" s="1" t="s">
        <v>211</v>
      </c>
    </row>
    <row r="123" spans="1:2" ht="15.6" x14ac:dyDescent="0.3">
      <c r="A123" s="30" t="s">
        <v>212</v>
      </c>
      <c r="B123" s="1" t="s">
        <v>213</v>
      </c>
    </row>
    <row r="124" spans="1:2" ht="15.6" x14ac:dyDescent="0.3">
      <c r="A124" s="30" t="s">
        <v>214</v>
      </c>
      <c r="B124" s="1" t="s">
        <v>215</v>
      </c>
    </row>
    <row r="125" spans="1:2" ht="15.6" x14ac:dyDescent="0.3">
      <c r="A125" s="30" t="s">
        <v>216</v>
      </c>
      <c r="B125" s="1" t="s">
        <v>217</v>
      </c>
    </row>
    <row r="126" spans="1:2" ht="15.6" x14ac:dyDescent="0.3">
      <c r="A126" s="30" t="s">
        <v>218</v>
      </c>
      <c r="B126" s="1" t="s">
        <v>219</v>
      </c>
    </row>
    <row r="127" spans="1:2" ht="15.6" x14ac:dyDescent="0.3">
      <c r="A127" s="30" t="s">
        <v>220</v>
      </c>
      <c r="B127" s="1" t="s">
        <v>221</v>
      </c>
    </row>
    <row r="128" spans="1:2" ht="15.6" x14ac:dyDescent="0.3">
      <c r="A128" s="30" t="s">
        <v>222</v>
      </c>
      <c r="B128" s="1" t="s">
        <v>223</v>
      </c>
    </row>
    <row r="129" spans="1:2" ht="15.6" x14ac:dyDescent="0.3">
      <c r="A129" s="30" t="s">
        <v>224</v>
      </c>
      <c r="B129" s="1" t="s">
        <v>225</v>
      </c>
    </row>
    <row r="130" spans="1:2" ht="15.6" x14ac:dyDescent="0.3">
      <c r="A130" s="30" t="s">
        <v>226</v>
      </c>
      <c r="B130" s="1" t="s">
        <v>227</v>
      </c>
    </row>
    <row r="131" spans="1:2" ht="15.6" x14ac:dyDescent="0.3">
      <c r="A131" s="30" t="s">
        <v>228</v>
      </c>
      <c r="B131" s="1" t="s">
        <v>229</v>
      </c>
    </row>
    <row r="132" spans="1:2" ht="15.6" x14ac:dyDescent="0.3">
      <c r="A132" s="30" t="s">
        <v>230</v>
      </c>
      <c r="B132" s="1" t="s">
        <v>231</v>
      </c>
    </row>
    <row r="133" spans="1:2" ht="15.6" x14ac:dyDescent="0.3">
      <c r="A133" s="30" t="s">
        <v>232</v>
      </c>
      <c r="B133" s="1" t="s">
        <v>233</v>
      </c>
    </row>
    <row r="134" spans="1:2" ht="15.6" x14ac:dyDescent="0.3">
      <c r="A134" s="30" t="s">
        <v>234</v>
      </c>
      <c r="B134" s="1" t="s">
        <v>235</v>
      </c>
    </row>
    <row r="135" spans="1:2" ht="15.6" x14ac:dyDescent="0.3">
      <c r="A135" s="30" t="s">
        <v>236</v>
      </c>
      <c r="B135" s="1" t="s">
        <v>237</v>
      </c>
    </row>
    <row r="136" spans="1:2" ht="15.6" x14ac:dyDescent="0.3">
      <c r="A136" s="30" t="s">
        <v>238</v>
      </c>
      <c r="B136" s="1" t="s">
        <v>239</v>
      </c>
    </row>
    <row r="137" spans="1:2" ht="15.6" x14ac:dyDescent="0.3">
      <c r="A137" s="30" t="s">
        <v>240</v>
      </c>
      <c r="B137" s="1" t="s">
        <v>241</v>
      </c>
    </row>
    <row r="138" spans="1:2" ht="15.6" x14ac:dyDescent="0.3">
      <c r="A138" s="30" t="s">
        <v>242</v>
      </c>
      <c r="B138" s="1" t="s">
        <v>243</v>
      </c>
    </row>
    <row r="139" spans="1:2" ht="15.6" x14ac:dyDescent="0.3">
      <c r="A139" s="30" t="s">
        <v>244</v>
      </c>
      <c r="B139" s="1" t="s">
        <v>245</v>
      </c>
    </row>
    <row r="140" spans="1:2" ht="15.6" x14ac:dyDescent="0.3">
      <c r="A140" s="30" t="s">
        <v>246</v>
      </c>
      <c r="B140" s="1" t="s">
        <v>247</v>
      </c>
    </row>
    <row r="141" spans="1:2" ht="15.6" x14ac:dyDescent="0.3">
      <c r="A141" s="30" t="s">
        <v>248</v>
      </c>
      <c r="B141" s="1" t="s">
        <v>249</v>
      </c>
    </row>
    <row r="142" spans="1:2" ht="15.6" x14ac:dyDescent="0.3">
      <c r="A142" s="30" t="s">
        <v>250</v>
      </c>
      <c r="B142" s="1" t="s">
        <v>251</v>
      </c>
    </row>
    <row r="144" spans="1:2" x14ac:dyDescent="0.3">
      <c r="A144" s="27" t="s">
        <v>252</v>
      </c>
      <c r="B144" s="27"/>
    </row>
    <row r="145" spans="1:2" x14ac:dyDescent="0.3">
      <c r="A145" s="28" t="s">
        <v>62</v>
      </c>
      <c r="B145" s="29" t="s">
        <v>253</v>
      </c>
    </row>
    <row r="146" spans="1:2" x14ac:dyDescent="0.3">
      <c r="A146" s="28" t="s">
        <v>64</v>
      </c>
      <c r="B146" s="29" t="s">
        <v>254</v>
      </c>
    </row>
    <row r="147" spans="1:2" x14ac:dyDescent="0.3">
      <c r="A147" s="28" t="s">
        <v>255</v>
      </c>
      <c r="B147" s="29" t="s">
        <v>256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A4" sqref="A4"/>
    </sheetView>
  </sheetViews>
  <sheetFormatPr defaultColWidth="8.796875" defaultRowHeight="15.6" x14ac:dyDescent="0.3"/>
  <cols>
    <col min="1" max="16384" width="8.796875" style="1"/>
  </cols>
  <sheetData>
    <row r="1" spans="1:2" x14ac:dyDescent="0.3">
      <c r="A1" s="4" t="s">
        <v>376</v>
      </c>
      <c r="B1" s="4" t="s">
        <v>377</v>
      </c>
    </row>
    <row r="2" spans="1:2" x14ac:dyDescent="0.3">
      <c r="A2" s="1" t="s">
        <v>657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8"/>
  <sheetViews>
    <sheetView tabSelected="1" zoomScale="90" zoomScaleNormal="90" workbookViewId="0"/>
  </sheetViews>
  <sheetFormatPr defaultColWidth="8.796875" defaultRowHeight="15.6" x14ac:dyDescent="0.3"/>
  <cols>
    <col min="1" max="1" width="8.796875" style="1"/>
    <col min="2" max="2" width="19.19921875" style="1" customWidth="1"/>
    <col min="3" max="3" width="21.296875" style="1" customWidth="1"/>
    <col min="4" max="5" width="8.796875" style="1"/>
    <col min="6" max="6" width="24.69921875" style="1" customWidth="1"/>
    <col min="7" max="7" width="52.69921875" style="1" customWidth="1"/>
    <col min="8" max="16384" width="8.796875" style="1"/>
  </cols>
  <sheetData>
    <row r="1" spans="1:14" x14ac:dyDescent="0.3">
      <c r="A1" s="2" t="s">
        <v>257</v>
      </c>
      <c r="B1" s="2" t="s">
        <v>258</v>
      </c>
      <c r="C1" s="2" t="s">
        <v>259</v>
      </c>
      <c r="D1" s="2" t="s">
        <v>260</v>
      </c>
      <c r="E1" s="2" t="s">
        <v>261</v>
      </c>
      <c r="F1" s="2" t="s">
        <v>262</v>
      </c>
      <c r="G1" s="2" t="s">
        <v>263</v>
      </c>
      <c r="H1" s="2" t="s">
        <v>264</v>
      </c>
      <c r="I1" s="2" t="s">
        <v>265</v>
      </c>
      <c r="J1" s="2" t="s">
        <v>266</v>
      </c>
      <c r="K1" s="2" t="s">
        <v>267</v>
      </c>
      <c r="L1" s="2" t="s">
        <v>268</v>
      </c>
    </row>
    <row r="2" spans="1:14" x14ac:dyDescent="0.3">
      <c r="A2" s="1" t="s">
        <v>269</v>
      </c>
      <c r="B2" s="1" t="s">
        <v>270</v>
      </c>
      <c r="C2" s="1" t="s">
        <v>270</v>
      </c>
      <c r="D2" s="1">
        <v>1</v>
      </c>
      <c r="E2" s="1" t="s">
        <v>255</v>
      </c>
      <c r="G2" s="5" t="s">
        <v>605</v>
      </c>
      <c r="H2" s="39" t="s">
        <v>33</v>
      </c>
      <c r="I2" s="1" t="s">
        <v>33</v>
      </c>
      <c r="J2" s="1" t="s">
        <v>33</v>
      </c>
      <c r="K2" s="1" t="s">
        <v>33</v>
      </c>
      <c r="L2" s="1">
        <v>1</v>
      </c>
    </row>
    <row r="3" spans="1:14" x14ac:dyDescent="0.3">
      <c r="A3" s="1" t="s">
        <v>271</v>
      </c>
      <c r="B3" s="1" t="s">
        <v>272</v>
      </c>
      <c r="C3" s="1" t="s">
        <v>272</v>
      </c>
      <c r="D3" s="1">
        <v>2</v>
      </c>
      <c r="E3" s="1" t="s">
        <v>269</v>
      </c>
      <c r="F3" s="1" t="s">
        <v>273</v>
      </c>
      <c r="G3" s="5" t="s">
        <v>274</v>
      </c>
      <c r="H3" s="39" t="s">
        <v>33</v>
      </c>
      <c r="I3" s="1" t="s">
        <v>33</v>
      </c>
      <c r="J3" s="1" t="s">
        <v>33</v>
      </c>
      <c r="K3" s="1" t="s">
        <v>33</v>
      </c>
      <c r="L3" s="1">
        <v>2</v>
      </c>
    </row>
    <row r="4" spans="1:14" x14ac:dyDescent="0.3">
      <c r="A4" s="1" t="s">
        <v>276</v>
      </c>
      <c r="B4" s="1" t="s">
        <v>277</v>
      </c>
      <c r="C4" s="1" t="s">
        <v>272</v>
      </c>
      <c r="D4" s="1">
        <v>2</v>
      </c>
      <c r="E4" s="1" t="s">
        <v>271</v>
      </c>
      <c r="F4" s="1" t="s">
        <v>278</v>
      </c>
      <c r="G4" s="5" t="s">
        <v>279</v>
      </c>
      <c r="H4" s="1" t="s">
        <v>69</v>
      </c>
      <c r="I4" s="1" t="s">
        <v>69</v>
      </c>
      <c r="J4" s="1" t="s">
        <v>69</v>
      </c>
      <c r="K4" s="1" t="s">
        <v>33</v>
      </c>
      <c r="L4" s="1">
        <v>3</v>
      </c>
      <c r="N4" s="5"/>
    </row>
    <row r="5" spans="1:14" x14ac:dyDescent="0.3">
      <c r="A5" s="1" t="s">
        <v>280</v>
      </c>
      <c r="B5" s="1" t="s">
        <v>606</v>
      </c>
      <c r="C5" s="1" t="s">
        <v>272</v>
      </c>
      <c r="D5" s="1">
        <v>2</v>
      </c>
      <c r="E5" s="1" t="s">
        <v>271</v>
      </c>
      <c r="F5" s="1" t="s">
        <v>281</v>
      </c>
      <c r="G5" s="5" t="s">
        <v>282</v>
      </c>
      <c r="H5" s="1" t="s">
        <v>69</v>
      </c>
      <c r="I5" s="1" t="s">
        <v>33</v>
      </c>
      <c r="J5" s="1" t="s">
        <v>69</v>
      </c>
      <c r="K5" s="40" t="s">
        <v>69</v>
      </c>
      <c r="L5" s="1">
        <v>3</v>
      </c>
    </row>
    <row r="6" spans="1:14" x14ac:dyDescent="0.3">
      <c r="A6" s="1" t="s">
        <v>283</v>
      </c>
      <c r="B6" s="1" t="s">
        <v>284</v>
      </c>
      <c r="C6" s="1" t="s">
        <v>272</v>
      </c>
      <c r="D6" s="1">
        <v>2</v>
      </c>
      <c r="E6" s="1" t="s">
        <v>271</v>
      </c>
      <c r="F6" s="1" t="s">
        <v>285</v>
      </c>
      <c r="G6" s="5" t="s">
        <v>286</v>
      </c>
      <c r="H6" s="39" t="s">
        <v>33</v>
      </c>
      <c r="I6" s="1" t="s">
        <v>69</v>
      </c>
      <c r="J6" s="1" t="s">
        <v>33</v>
      </c>
      <c r="K6" s="40" t="s">
        <v>69</v>
      </c>
      <c r="L6" s="1">
        <v>3</v>
      </c>
      <c r="N6" s="5"/>
    </row>
    <row r="7" spans="1:14" x14ac:dyDescent="0.3">
      <c r="A7" s="1" t="s">
        <v>287</v>
      </c>
      <c r="B7" s="1" t="s">
        <v>288</v>
      </c>
      <c r="C7" s="1" t="s">
        <v>272</v>
      </c>
      <c r="D7" s="1">
        <v>2</v>
      </c>
      <c r="E7" s="1" t="s">
        <v>271</v>
      </c>
      <c r="F7" s="1" t="s">
        <v>289</v>
      </c>
      <c r="G7" s="5" t="s">
        <v>290</v>
      </c>
      <c r="H7" s="1" t="s">
        <v>69</v>
      </c>
      <c r="I7" s="1" t="s">
        <v>69</v>
      </c>
      <c r="J7" s="1" t="s">
        <v>33</v>
      </c>
      <c r="K7" s="40" t="s">
        <v>69</v>
      </c>
      <c r="L7" s="1">
        <v>3</v>
      </c>
    </row>
    <row r="8" spans="1:14" x14ac:dyDescent="0.3">
      <c r="A8" s="1" t="s">
        <v>292</v>
      </c>
      <c r="B8" s="1" t="s">
        <v>293</v>
      </c>
      <c r="C8" s="1" t="s">
        <v>272</v>
      </c>
      <c r="D8" s="1">
        <v>2</v>
      </c>
      <c r="E8" s="1" t="s">
        <v>271</v>
      </c>
      <c r="F8" s="46" t="s">
        <v>294</v>
      </c>
      <c r="G8" s="5" t="s">
        <v>295</v>
      </c>
      <c r="H8" s="1" t="s">
        <v>69</v>
      </c>
      <c r="I8" s="1" t="s">
        <v>33</v>
      </c>
      <c r="J8" s="1" t="s">
        <v>69</v>
      </c>
      <c r="K8" s="40" t="s">
        <v>69</v>
      </c>
      <c r="L8" s="1">
        <v>3</v>
      </c>
    </row>
    <row r="9" spans="1:14" x14ac:dyDescent="0.3">
      <c r="A9" s="1" t="s">
        <v>296</v>
      </c>
      <c r="B9" s="1" t="s">
        <v>297</v>
      </c>
      <c r="C9" s="1" t="s">
        <v>272</v>
      </c>
      <c r="D9" s="1">
        <v>2</v>
      </c>
      <c r="E9" s="1" t="s">
        <v>271</v>
      </c>
      <c r="F9" s="1" t="s">
        <v>298</v>
      </c>
      <c r="G9" s="5" t="s">
        <v>299</v>
      </c>
      <c r="H9" s="39" t="s">
        <v>33</v>
      </c>
      <c r="I9" s="1" t="s">
        <v>33</v>
      </c>
      <c r="J9" s="1" t="s">
        <v>33</v>
      </c>
      <c r="K9" s="1" t="s">
        <v>275</v>
      </c>
      <c r="L9" s="1">
        <v>3</v>
      </c>
    </row>
    <row r="10" spans="1:14" x14ac:dyDescent="0.3">
      <c r="A10" s="1" t="s">
        <v>300</v>
      </c>
      <c r="B10" s="39" t="s">
        <v>624</v>
      </c>
      <c r="C10" s="39" t="s">
        <v>520</v>
      </c>
      <c r="D10" s="39">
        <v>2</v>
      </c>
      <c r="E10" s="39" t="s">
        <v>296</v>
      </c>
      <c r="F10" s="39" t="s">
        <v>625</v>
      </c>
      <c r="G10" s="48" t="s">
        <v>626</v>
      </c>
      <c r="H10" s="39" t="s">
        <v>33</v>
      </c>
      <c r="I10" s="1" t="s">
        <v>69</v>
      </c>
      <c r="J10" s="39" t="s">
        <v>33</v>
      </c>
      <c r="K10" s="40" t="s">
        <v>69</v>
      </c>
      <c r="L10" s="39">
        <v>4</v>
      </c>
    </row>
    <row r="11" spans="1:14" x14ac:dyDescent="0.3">
      <c r="A11" s="1" t="s">
        <v>304</v>
      </c>
      <c r="B11" s="39" t="s">
        <v>635</v>
      </c>
      <c r="C11" s="39" t="s">
        <v>520</v>
      </c>
      <c r="D11" s="39">
        <v>2</v>
      </c>
      <c r="E11" s="39" t="s">
        <v>296</v>
      </c>
      <c r="F11" s="39" t="s">
        <v>627</v>
      </c>
      <c r="G11" s="48" t="s">
        <v>628</v>
      </c>
      <c r="H11" s="39" t="s">
        <v>33</v>
      </c>
      <c r="I11" s="1" t="s">
        <v>33</v>
      </c>
      <c r="J11" s="39" t="s">
        <v>69</v>
      </c>
      <c r="K11" s="39" t="s">
        <v>69</v>
      </c>
      <c r="L11" s="39">
        <v>4</v>
      </c>
    </row>
    <row r="12" spans="1:14" x14ac:dyDescent="0.3">
      <c r="A12" s="1" t="s">
        <v>307</v>
      </c>
      <c r="B12" s="39" t="s">
        <v>631</v>
      </c>
      <c r="C12" s="39" t="s">
        <v>520</v>
      </c>
      <c r="D12" s="39">
        <v>2</v>
      </c>
      <c r="E12" s="39" t="s">
        <v>296</v>
      </c>
      <c r="F12" s="39" t="s">
        <v>629</v>
      </c>
      <c r="G12" s="48" t="s">
        <v>630</v>
      </c>
      <c r="H12" s="39" t="s">
        <v>33</v>
      </c>
      <c r="I12" s="1" t="s">
        <v>69</v>
      </c>
      <c r="J12" s="39" t="s">
        <v>33</v>
      </c>
      <c r="K12" s="39" t="s">
        <v>69</v>
      </c>
      <c r="L12" s="39">
        <v>4</v>
      </c>
    </row>
    <row r="13" spans="1:14" x14ac:dyDescent="0.3">
      <c r="A13" s="1" t="s">
        <v>310</v>
      </c>
      <c r="B13" s="39" t="s">
        <v>634</v>
      </c>
      <c r="C13" s="39" t="s">
        <v>520</v>
      </c>
      <c r="D13" s="39">
        <v>2</v>
      </c>
      <c r="E13" s="39" t="s">
        <v>296</v>
      </c>
      <c r="F13" s="39" t="s">
        <v>632</v>
      </c>
      <c r="G13" s="48" t="s">
        <v>633</v>
      </c>
      <c r="H13" s="39" t="s">
        <v>69</v>
      </c>
      <c r="I13" s="1" t="s">
        <v>69</v>
      </c>
      <c r="J13" s="39" t="s">
        <v>33</v>
      </c>
      <c r="K13" s="39" t="s">
        <v>69</v>
      </c>
      <c r="L13" s="39">
        <v>4</v>
      </c>
    </row>
    <row r="14" spans="1:14" x14ac:dyDescent="0.3">
      <c r="A14" s="1" t="s">
        <v>311</v>
      </c>
      <c r="B14" s="39" t="s">
        <v>636</v>
      </c>
      <c r="C14" s="39" t="s">
        <v>520</v>
      </c>
      <c r="D14" s="39">
        <v>2</v>
      </c>
      <c r="E14" s="39" t="s">
        <v>296</v>
      </c>
      <c r="F14" s="39" t="s">
        <v>637</v>
      </c>
      <c r="G14" s="48" t="s">
        <v>638</v>
      </c>
      <c r="H14" s="39" t="s">
        <v>33</v>
      </c>
      <c r="I14" s="1" t="s">
        <v>33</v>
      </c>
      <c r="J14" s="39" t="s">
        <v>33</v>
      </c>
      <c r="K14" s="39" t="s">
        <v>69</v>
      </c>
      <c r="L14" s="39">
        <v>4</v>
      </c>
    </row>
    <row r="15" spans="1:14" x14ac:dyDescent="0.3">
      <c r="A15" s="1" t="s">
        <v>315</v>
      </c>
      <c r="B15" s="39" t="s">
        <v>641</v>
      </c>
      <c r="C15" s="39" t="s">
        <v>520</v>
      </c>
      <c r="D15" s="39">
        <v>2</v>
      </c>
      <c r="E15" s="39" t="s">
        <v>296</v>
      </c>
      <c r="F15" s="39" t="s">
        <v>640</v>
      </c>
      <c r="G15" s="48" t="s">
        <v>639</v>
      </c>
      <c r="H15" s="39" t="s">
        <v>33</v>
      </c>
      <c r="I15" s="1" t="s">
        <v>69</v>
      </c>
      <c r="J15" s="39" t="s">
        <v>33</v>
      </c>
      <c r="K15" s="39" t="s">
        <v>69</v>
      </c>
      <c r="L15" s="39">
        <v>4</v>
      </c>
    </row>
    <row r="16" spans="1:14" x14ac:dyDescent="0.3">
      <c r="A16" s="1" t="s">
        <v>320</v>
      </c>
      <c r="B16" s="1" t="s">
        <v>301</v>
      </c>
      <c r="C16" s="1" t="s">
        <v>272</v>
      </c>
      <c r="D16" s="1">
        <v>2</v>
      </c>
      <c r="E16" s="1" t="s">
        <v>271</v>
      </c>
      <c r="F16" s="1" t="s">
        <v>302</v>
      </c>
      <c r="G16" s="5" t="s">
        <v>303</v>
      </c>
      <c r="H16" s="1" t="s">
        <v>33</v>
      </c>
      <c r="I16" s="1" t="s">
        <v>33</v>
      </c>
      <c r="J16" s="1" t="s">
        <v>33</v>
      </c>
      <c r="K16" s="40" t="s">
        <v>33</v>
      </c>
      <c r="L16" s="1">
        <v>3</v>
      </c>
    </row>
    <row r="17" spans="1:18" ht="16.2" x14ac:dyDescent="0.35">
      <c r="A17" s="1" t="s">
        <v>324</v>
      </c>
      <c r="B17" s="40" t="s">
        <v>611</v>
      </c>
      <c r="C17" s="40" t="s">
        <v>517</v>
      </c>
      <c r="D17" s="40">
        <v>2</v>
      </c>
      <c r="E17" s="40" t="s">
        <v>320</v>
      </c>
      <c r="F17" s="49" t="s">
        <v>612</v>
      </c>
      <c r="G17" s="41" t="s">
        <v>518</v>
      </c>
      <c r="H17" s="40" t="s">
        <v>33</v>
      </c>
      <c r="I17" s="1" t="s">
        <v>33</v>
      </c>
      <c r="J17" s="40" t="s">
        <v>33</v>
      </c>
      <c r="K17" s="40" t="s">
        <v>33</v>
      </c>
      <c r="L17" s="40">
        <v>4</v>
      </c>
    </row>
    <row r="18" spans="1:18" x14ac:dyDescent="0.3">
      <c r="A18" s="1" t="s">
        <v>328</v>
      </c>
      <c r="B18" s="40" t="s">
        <v>613</v>
      </c>
      <c r="C18" s="40" t="s">
        <v>517</v>
      </c>
      <c r="D18" s="40">
        <v>2</v>
      </c>
      <c r="E18" s="40" t="s">
        <v>320</v>
      </c>
      <c r="F18" s="45" t="s">
        <v>614</v>
      </c>
      <c r="G18" s="48" t="s">
        <v>519</v>
      </c>
      <c r="H18" s="40" t="s">
        <v>33</v>
      </c>
      <c r="I18" s="40" t="s">
        <v>33</v>
      </c>
      <c r="J18" s="40" t="s">
        <v>33</v>
      </c>
      <c r="K18" s="40" t="s">
        <v>33</v>
      </c>
      <c r="L18" s="40">
        <v>4</v>
      </c>
    </row>
    <row r="19" spans="1:18" x14ac:dyDescent="0.3">
      <c r="A19" s="1" t="s">
        <v>332</v>
      </c>
      <c r="B19" s="40" t="s">
        <v>615</v>
      </c>
      <c r="C19" s="40" t="s">
        <v>517</v>
      </c>
      <c r="D19" s="40">
        <v>2</v>
      </c>
      <c r="E19" s="40" t="s">
        <v>320</v>
      </c>
      <c r="F19" s="45" t="s">
        <v>616</v>
      </c>
      <c r="G19" s="48" t="s">
        <v>617</v>
      </c>
      <c r="H19" s="40" t="s">
        <v>69</v>
      </c>
      <c r="I19" s="40" t="s">
        <v>33</v>
      </c>
      <c r="J19" s="40" t="s">
        <v>33</v>
      </c>
      <c r="K19" s="40" t="s">
        <v>69</v>
      </c>
      <c r="L19" s="40">
        <v>4</v>
      </c>
    </row>
    <row r="20" spans="1:18" x14ac:dyDescent="0.3">
      <c r="A20" s="1" t="s">
        <v>333</v>
      </c>
      <c r="B20" s="40" t="s">
        <v>618</v>
      </c>
      <c r="C20" s="40" t="s">
        <v>517</v>
      </c>
      <c r="D20" s="40">
        <v>2</v>
      </c>
      <c r="E20" s="40" t="s">
        <v>320</v>
      </c>
      <c r="F20" s="45" t="s">
        <v>619</v>
      </c>
      <c r="G20" s="48" t="s">
        <v>620</v>
      </c>
      <c r="H20" s="40" t="s">
        <v>69</v>
      </c>
      <c r="I20" s="40" t="s">
        <v>33</v>
      </c>
      <c r="J20" s="40" t="s">
        <v>69</v>
      </c>
      <c r="K20" s="40" t="s">
        <v>33</v>
      </c>
      <c r="L20" s="40">
        <v>4</v>
      </c>
    </row>
    <row r="21" spans="1:18" x14ac:dyDescent="0.3">
      <c r="A21" s="1" t="s">
        <v>337</v>
      </c>
      <c r="B21" s="40" t="s">
        <v>621</v>
      </c>
      <c r="C21" s="40" t="s">
        <v>517</v>
      </c>
      <c r="D21" s="40">
        <v>2</v>
      </c>
      <c r="E21" s="40" t="s">
        <v>320</v>
      </c>
      <c r="F21" s="45" t="s">
        <v>622</v>
      </c>
      <c r="G21" s="48" t="s">
        <v>623</v>
      </c>
      <c r="H21" s="40" t="s">
        <v>33</v>
      </c>
      <c r="I21" s="40" t="s">
        <v>33</v>
      </c>
      <c r="J21" s="40" t="s">
        <v>69</v>
      </c>
      <c r="K21" s="40" t="s">
        <v>69</v>
      </c>
      <c r="L21" s="40">
        <v>4</v>
      </c>
    </row>
    <row r="22" spans="1:18" x14ac:dyDescent="0.3">
      <c r="A22" s="1" t="s">
        <v>341</v>
      </c>
      <c r="B22" s="1" t="s">
        <v>305</v>
      </c>
      <c r="C22" s="1" t="s">
        <v>305</v>
      </c>
      <c r="D22" s="1">
        <v>3</v>
      </c>
      <c r="E22" s="1" t="s">
        <v>269</v>
      </c>
      <c r="F22" s="1" t="s">
        <v>607</v>
      </c>
      <c r="G22" s="5" t="s">
        <v>306</v>
      </c>
      <c r="H22" s="1" t="s">
        <v>33</v>
      </c>
      <c r="I22" s="1" t="s">
        <v>275</v>
      </c>
      <c r="J22" s="1" t="s">
        <v>33</v>
      </c>
      <c r="K22" s="1" t="s">
        <v>33</v>
      </c>
      <c r="L22" s="1">
        <v>2</v>
      </c>
    </row>
    <row r="23" spans="1:18" x14ac:dyDescent="0.3">
      <c r="A23" s="1" t="s">
        <v>344</v>
      </c>
      <c r="B23" s="1" t="s">
        <v>308</v>
      </c>
      <c r="C23" s="1" t="s">
        <v>305</v>
      </c>
      <c r="D23" s="1">
        <v>3</v>
      </c>
      <c r="E23" s="1" t="s">
        <v>341</v>
      </c>
      <c r="F23" s="1" t="s">
        <v>607</v>
      </c>
      <c r="G23" s="5" t="s">
        <v>309</v>
      </c>
      <c r="H23" s="1" t="s">
        <v>33</v>
      </c>
      <c r="I23" s="1" t="s">
        <v>69</v>
      </c>
      <c r="J23" s="1" t="s">
        <v>33</v>
      </c>
      <c r="K23" s="1" t="s">
        <v>291</v>
      </c>
      <c r="L23" s="1">
        <v>3</v>
      </c>
    </row>
    <row r="24" spans="1:18" x14ac:dyDescent="0.3">
      <c r="A24" s="1" t="s">
        <v>347</v>
      </c>
      <c r="B24" s="1" t="s">
        <v>342</v>
      </c>
      <c r="C24" s="1" t="s">
        <v>305</v>
      </c>
      <c r="D24" s="1">
        <v>3</v>
      </c>
      <c r="E24" s="1" t="s">
        <v>344</v>
      </c>
      <c r="F24" s="1" t="s">
        <v>607</v>
      </c>
      <c r="G24" s="5" t="s">
        <v>343</v>
      </c>
      <c r="H24" s="1" t="s">
        <v>33</v>
      </c>
      <c r="I24" s="1" t="s">
        <v>69</v>
      </c>
      <c r="J24" s="1" t="s">
        <v>33</v>
      </c>
      <c r="K24" s="1" t="s">
        <v>291</v>
      </c>
      <c r="L24" s="1">
        <v>4</v>
      </c>
    </row>
    <row r="25" spans="1:18" x14ac:dyDescent="0.3">
      <c r="A25" s="1" t="s">
        <v>348</v>
      </c>
      <c r="B25" s="1" t="s">
        <v>345</v>
      </c>
      <c r="C25" s="1" t="s">
        <v>305</v>
      </c>
      <c r="D25" s="1">
        <v>3</v>
      </c>
      <c r="E25" s="1" t="s">
        <v>344</v>
      </c>
      <c r="F25" s="1" t="s">
        <v>607</v>
      </c>
      <c r="G25" s="5" t="s">
        <v>346</v>
      </c>
      <c r="H25" s="1" t="s">
        <v>33</v>
      </c>
      <c r="I25" s="1" t="s">
        <v>69</v>
      </c>
      <c r="J25" s="1" t="s">
        <v>33</v>
      </c>
      <c r="K25" s="1" t="s">
        <v>291</v>
      </c>
      <c r="L25" s="1">
        <v>4</v>
      </c>
    </row>
    <row r="26" spans="1:18" x14ac:dyDescent="0.3">
      <c r="A26" s="1" t="s">
        <v>349</v>
      </c>
      <c r="B26" s="1" t="s">
        <v>312</v>
      </c>
      <c r="C26" s="1" t="s">
        <v>305</v>
      </c>
      <c r="D26" s="1">
        <v>3</v>
      </c>
      <c r="E26" s="1" t="s">
        <v>341</v>
      </c>
      <c r="F26" s="1" t="s">
        <v>313</v>
      </c>
      <c r="G26" s="5" t="s">
        <v>314</v>
      </c>
      <c r="H26" s="1" t="s">
        <v>69</v>
      </c>
      <c r="I26" s="1" t="s">
        <v>33</v>
      </c>
      <c r="J26" s="1" t="s">
        <v>69</v>
      </c>
      <c r="K26" s="1" t="s">
        <v>291</v>
      </c>
      <c r="L26" s="1">
        <v>3</v>
      </c>
    </row>
    <row r="27" spans="1:18" x14ac:dyDescent="0.3">
      <c r="A27" s="1" t="s">
        <v>350</v>
      </c>
      <c r="B27" s="40" t="s">
        <v>522</v>
      </c>
      <c r="C27" s="40" t="s">
        <v>521</v>
      </c>
      <c r="D27" s="40">
        <v>3</v>
      </c>
      <c r="E27" s="40" t="s">
        <v>341</v>
      </c>
      <c r="F27" s="1" t="s">
        <v>607</v>
      </c>
      <c r="G27" s="41" t="s">
        <v>523</v>
      </c>
      <c r="H27" s="40" t="s">
        <v>69</v>
      </c>
      <c r="I27" s="40" t="s">
        <v>33</v>
      </c>
      <c r="J27" s="40" t="s">
        <v>33</v>
      </c>
      <c r="K27" s="40" t="s">
        <v>33</v>
      </c>
      <c r="L27" s="40">
        <v>3</v>
      </c>
    </row>
    <row r="28" spans="1:18" x14ac:dyDescent="0.3">
      <c r="A28" s="1" t="s">
        <v>353</v>
      </c>
      <c r="B28" s="1" t="s">
        <v>316</v>
      </c>
      <c r="C28" s="1" t="s">
        <v>317</v>
      </c>
      <c r="D28" s="1">
        <v>4</v>
      </c>
      <c r="E28" s="1" t="s">
        <v>269</v>
      </c>
      <c r="F28" s="1" t="s">
        <v>318</v>
      </c>
      <c r="G28" s="5" t="s">
        <v>319</v>
      </c>
      <c r="H28" s="1" t="s">
        <v>275</v>
      </c>
      <c r="I28" s="1" t="s">
        <v>69</v>
      </c>
      <c r="J28" s="1" t="s">
        <v>33</v>
      </c>
      <c r="K28" s="1" t="s">
        <v>69</v>
      </c>
      <c r="L28" s="1">
        <v>2</v>
      </c>
    </row>
    <row r="29" spans="1:18" x14ac:dyDescent="0.3">
      <c r="A29" s="1" t="s">
        <v>357</v>
      </c>
      <c r="B29" s="1" t="s">
        <v>321</v>
      </c>
      <c r="C29" s="1" t="s">
        <v>317</v>
      </c>
      <c r="D29" s="1">
        <v>4</v>
      </c>
      <c r="E29" s="1" t="s">
        <v>353</v>
      </c>
      <c r="F29" s="1" t="s">
        <v>322</v>
      </c>
      <c r="G29" s="5" t="s">
        <v>323</v>
      </c>
      <c r="H29" s="1" t="s">
        <v>33</v>
      </c>
      <c r="I29" s="1" t="s">
        <v>69</v>
      </c>
      <c r="J29" s="1" t="s">
        <v>33</v>
      </c>
      <c r="K29" s="1" t="s">
        <v>291</v>
      </c>
      <c r="L29" s="1">
        <v>3</v>
      </c>
      <c r="R29" s="5"/>
    </row>
    <row r="30" spans="1:18" x14ac:dyDescent="0.3">
      <c r="A30" s="1" t="s">
        <v>361</v>
      </c>
      <c r="B30" s="1" t="s">
        <v>325</v>
      </c>
      <c r="C30" s="1" t="s">
        <v>317</v>
      </c>
      <c r="D30" s="1">
        <v>4</v>
      </c>
      <c r="E30" s="1" t="s">
        <v>357</v>
      </c>
      <c r="F30" s="1" t="s">
        <v>326</v>
      </c>
      <c r="G30" s="5" t="s">
        <v>327</v>
      </c>
      <c r="H30" s="1" t="s">
        <v>33</v>
      </c>
      <c r="I30" s="1" t="s">
        <v>69</v>
      </c>
      <c r="J30" s="1" t="s">
        <v>33</v>
      </c>
      <c r="K30" s="1" t="s">
        <v>291</v>
      </c>
      <c r="L30" s="1">
        <v>4</v>
      </c>
    </row>
    <row r="31" spans="1:18" x14ac:dyDescent="0.3">
      <c r="A31" s="1" t="s">
        <v>362</v>
      </c>
      <c r="B31" s="1" t="s">
        <v>329</v>
      </c>
      <c r="C31" s="1" t="s">
        <v>317</v>
      </c>
      <c r="D31" s="1">
        <v>4</v>
      </c>
      <c r="E31" s="1" t="s">
        <v>357</v>
      </c>
      <c r="F31" s="1" t="s">
        <v>330</v>
      </c>
      <c r="G31" s="5" t="s">
        <v>331</v>
      </c>
      <c r="H31" s="1" t="s">
        <v>69</v>
      </c>
      <c r="I31" s="1" t="s">
        <v>69</v>
      </c>
      <c r="J31" s="1" t="s">
        <v>33</v>
      </c>
      <c r="K31" s="1" t="s">
        <v>291</v>
      </c>
      <c r="L31" s="1">
        <v>4</v>
      </c>
    </row>
    <row r="32" spans="1:18" x14ac:dyDescent="0.3">
      <c r="A32" s="1" t="s">
        <v>367</v>
      </c>
      <c r="B32" s="1" t="s">
        <v>334</v>
      </c>
      <c r="C32" s="1" t="s">
        <v>334</v>
      </c>
      <c r="D32" s="1">
        <v>5</v>
      </c>
      <c r="E32" s="1" t="s">
        <v>269</v>
      </c>
      <c r="F32" s="1" t="s">
        <v>335</v>
      </c>
      <c r="G32" s="5" t="s">
        <v>336</v>
      </c>
      <c r="H32" s="1" t="s">
        <v>69</v>
      </c>
      <c r="I32" s="1" t="s">
        <v>69</v>
      </c>
      <c r="J32" s="1" t="s">
        <v>33</v>
      </c>
      <c r="K32" s="1" t="s">
        <v>33</v>
      </c>
      <c r="L32" s="1">
        <v>2</v>
      </c>
    </row>
    <row r="33" spans="1:14" x14ac:dyDescent="0.3">
      <c r="A33" s="40" t="s">
        <v>368</v>
      </c>
      <c r="B33" s="1" t="s">
        <v>338</v>
      </c>
      <c r="C33" s="1" t="s">
        <v>334</v>
      </c>
      <c r="D33" s="1">
        <v>5</v>
      </c>
      <c r="E33" s="1" t="s">
        <v>367</v>
      </c>
      <c r="F33" s="1" t="s">
        <v>339</v>
      </c>
      <c r="G33" s="5" t="s">
        <v>340</v>
      </c>
      <c r="H33" s="1" t="s">
        <v>69</v>
      </c>
      <c r="I33" s="1" t="s">
        <v>69</v>
      </c>
      <c r="J33" s="1" t="s">
        <v>33</v>
      </c>
      <c r="K33" s="1" t="s">
        <v>33</v>
      </c>
      <c r="L33" s="1">
        <v>3</v>
      </c>
      <c r="M33" s="40"/>
      <c r="N33" s="40"/>
    </row>
    <row r="34" spans="1:14" x14ac:dyDescent="0.3">
      <c r="A34" s="1" t="s">
        <v>372</v>
      </c>
      <c r="B34" s="1" t="s">
        <v>358</v>
      </c>
      <c r="C34" s="1" t="str">
        <f>C32</f>
        <v>Department of Regulatory Agencies</v>
      </c>
      <c r="D34" s="1">
        <f>D32</f>
        <v>5</v>
      </c>
      <c r="E34" s="1" t="s">
        <v>368</v>
      </c>
      <c r="F34" s="1" t="s">
        <v>359</v>
      </c>
      <c r="G34" s="5" t="s">
        <v>360</v>
      </c>
      <c r="H34" s="1" t="s">
        <v>69</v>
      </c>
      <c r="I34" s="1" t="s">
        <v>69</v>
      </c>
      <c r="J34" s="1" t="s">
        <v>33</v>
      </c>
      <c r="K34" s="1" t="s">
        <v>33</v>
      </c>
      <c r="L34" s="1">
        <v>4</v>
      </c>
      <c r="M34" s="40"/>
      <c r="N34" s="40"/>
    </row>
    <row r="35" spans="1:14" x14ac:dyDescent="0.3">
      <c r="A35" s="1" t="s">
        <v>545</v>
      </c>
      <c r="B35" s="1" t="s">
        <v>643</v>
      </c>
      <c r="C35" s="1" t="s">
        <v>643</v>
      </c>
      <c r="D35" s="1">
        <v>6</v>
      </c>
      <c r="E35" s="1" t="s">
        <v>269</v>
      </c>
      <c r="G35" s="5" t="s">
        <v>647</v>
      </c>
      <c r="H35" s="1" t="s">
        <v>69</v>
      </c>
      <c r="I35" s="1" t="s">
        <v>33</v>
      </c>
      <c r="J35" s="1" t="s">
        <v>69</v>
      </c>
      <c r="K35" s="1" t="s">
        <v>33</v>
      </c>
      <c r="L35" s="1">
        <v>2</v>
      </c>
    </row>
    <row r="36" spans="1:14" x14ac:dyDescent="0.3">
      <c r="A36" s="1" t="s">
        <v>546</v>
      </c>
      <c r="B36" s="1" t="s">
        <v>644</v>
      </c>
      <c r="C36" s="1" t="s">
        <v>643</v>
      </c>
      <c r="D36" s="1">
        <v>6</v>
      </c>
      <c r="E36" s="1" t="s">
        <v>545</v>
      </c>
      <c r="F36" s="1" t="s">
        <v>645</v>
      </c>
      <c r="G36" s="5" t="s">
        <v>646</v>
      </c>
      <c r="H36" s="1" t="s">
        <v>69</v>
      </c>
      <c r="I36" s="1" t="s">
        <v>33</v>
      </c>
      <c r="J36" s="1" t="s">
        <v>69</v>
      </c>
      <c r="K36" s="1" t="s">
        <v>33</v>
      </c>
      <c r="L36" s="1">
        <v>3</v>
      </c>
    </row>
    <row r="37" spans="1:14" x14ac:dyDescent="0.3">
      <c r="A37" s="1" t="s">
        <v>547</v>
      </c>
      <c r="B37" s="1" t="s">
        <v>351</v>
      </c>
      <c r="C37" s="1" t="s">
        <v>351</v>
      </c>
      <c r="D37" s="1">
        <v>7</v>
      </c>
      <c r="E37" s="1" t="s">
        <v>269</v>
      </c>
      <c r="F37" s="1" t="s">
        <v>653</v>
      </c>
      <c r="G37" s="5" t="s">
        <v>352</v>
      </c>
      <c r="H37" s="1" t="s">
        <v>69</v>
      </c>
      <c r="I37" s="1" t="s">
        <v>33</v>
      </c>
      <c r="J37" s="1" t="s">
        <v>69</v>
      </c>
      <c r="K37" s="1" t="s">
        <v>275</v>
      </c>
      <c r="L37" s="1">
        <v>2</v>
      </c>
    </row>
    <row r="38" spans="1:14" x14ac:dyDescent="0.3">
      <c r="A38" s="1" t="s">
        <v>548</v>
      </c>
      <c r="B38" s="1" t="s">
        <v>354</v>
      </c>
      <c r="C38" s="1" t="str">
        <f>B37</f>
        <v>Colorado School of Mines</v>
      </c>
      <c r="D38" s="1">
        <v>7</v>
      </c>
      <c r="E38" s="1" t="s">
        <v>547</v>
      </c>
      <c r="F38" s="1" t="s">
        <v>355</v>
      </c>
      <c r="G38" s="5" t="s">
        <v>356</v>
      </c>
      <c r="H38" s="1" t="s">
        <v>69</v>
      </c>
      <c r="I38" s="1" t="s">
        <v>33</v>
      </c>
      <c r="J38" s="1" t="s">
        <v>69</v>
      </c>
      <c r="K38" s="1" t="s">
        <v>275</v>
      </c>
      <c r="L38" s="1">
        <v>3</v>
      </c>
    </row>
    <row r="39" spans="1:14" x14ac:dyDescent="0.3">
      <c r="A39" s="1" t="s">
        <v>601</v>
      </c>
      <c r="B39" s="1" t="s">
        <v>648</v>
      </c>
      <c r="C39" s="1" t="str">
        <f>B38</f>
        <v xml:space="preserve">Colorado Geologic Survey </v>
      </c>
      <c r="D39" s="1">
        <v>7</v>
      </c>
      <c r="E39" s="1" t="s">
        <v>548</v>
      </c>
      <c r="F39" s="1" t="s">
        <v>649</v>
      </c>
      <c r="G39" s="1" t="s">
        <v>650</v>
      </c>
      <c r="H39" s="1" t="s">
        <v>69</v>
      </c>
      <c r="I39" s="1" t="s">
        <v>69</v>
      </c>
      <c r="J39" s="1" t="s">
        <v>69</v>
      </c>
      <c r="K39" s="1" t="s">
        <v>33</v>
      </c>
      <c r="L39" s="1">
        <v>4</v>
      </c>
    </row>
    <row r="40" spans="1:14" x14ac:dyDescent="0.3">
      <c r="A40" s="1" t="s">
        <v>602</v>
      </c>
      <c r="B40" s="1" t="s">
        <v>363</v>
      </c>
      <c r="C40" s="1" t="s">
        <v>364</v>
      </c>
      <c r="D40" s="1">
        <v>8</v>
      </c>
      <c r="E40" s="1" t="s">
        <v>269</v>
      </c>
      <c r="F40" s="1" t="s">
        <v>365</v>
      </c>
      <c r="G40" s="5" t="s">
        <v>366</v>
      </c>
      <c r="H40" s="1" t="s">
        <v>33</v>
      </c>
      <c r="I40" s="1" t="s">
        <v>33</v>
      </c>
      <c r="J40" s="1" t="s">
        <v>33</v>
      </c>
      <c r="K40" s="1" t="s">
        <v>69</v>
      </c>
      <c r="L40" s="1">
        <v>2</v>
      </c>
    </row>
    <row r="41" spans="1:14" x14ac:dyDescent="0.3">
      <c r="A41" s="1" t="s">
        <v>603</v>
      </c>
      <c r="B41" s="1" t="s">
        <v>369</v>
      </c>
      <c r="C41" s="1" t="s">
        <v>364</v>
      </c>
      <c r="D41" s="1">
        <v>8</v>
      </c>
      <c r="E41" s="1" t="s">
        <v>602</v>
      </c>
      <c r="F41" s="1" t="s">
        <v>370</v>
      </c>
      <c r="G41" s="5" t="s">
        <v>371</v>
      </c>
      <c r="H41" s="1" t="s">
        <v>33</v>
      </c>
      <c r="I41" s="1" t="s">
        <v>69</v>
      </c>
      <c r="J41" s="1" t="s">
        <v>69</v>
      </c>
      <c r="K41" s="1" t="s">
        <v>69</v>
      </c>
      <c r="L41" s="1">
        <v>3</v>
      </c>
    </row>
    <row r="42" spans="1:14" x14ac:dyDescent="0.3">
      <c r="A42" s="1" t="s">
        <v>642</v>
      </c>
      <c r="B42" s="1" t="s">
        <v>373</v>
      </c>
      <c r="C42" s="1" t="s">
        <v>364</v>
      </c>
      <c r="D42" s="1">
        <v>8</v>
      </c>
      <c r="E42" s="1" t="s">
        <v>603</v>
      </c>
      <c r="F42" s="1" t="s">
        <v>374</v>
      </c>
      <c r="G42" s="5" t="s">
        <v>375</v>
      </c>
      <c r="H42" s="1" t="s">
        <v>33</v>
      </c>
      <c r="I42" s="1" t="s">
        <v>69</v>
      </c>
      <c r="J42" s="1" t="s">
        <v>69</v>
      </c>
      <c r="K42" s="1" t="s">
        <v>69</v>
      </c>
      <c r="L42" s="1">
        <v>4</v>
      </c>
    </row>
    <row r="43" spans="1:14" x14ac:dyDescent="0.3">
      <c r="A43" s="1" t="s">
        <v>651</v>
      </c>
      <c r="B43" s="1" t="s">
        <v>654</v>
      </c>
      <c r="C43" s="1" t="s">
        <v>364</v>
      </c>
      <c r="D43" s="1">
        <v>8</v>
      </c>
      <c r="E43" s="1" t="s">
        <v>603</v>
      </c>
      <c r="F43" s="1" t="s">
        <v>656</v>
      </c>
      <c r="G43" s="5" t="s">
        <v>655</v>
      </c>
      <c r="H43" s="1" t="s">
        <v>33</v>
      </c>
      <c r="I43" s="1" t="s">
        <v>69</v>
      </c>
      <c r="J43" s="1" t="s">
        <v>69</v>
      </c>
      <c r="K43" s="1" t="s">
        <v>69</v>
      </c>
      <c r="L43" s="1">
        <v>4</v>
      </c>
    </row>
    <row r="44" spans="1:14" x14ac:dyDescent="0.3">
      <c r="A44" s="1" t="s">
        <v>652</v>
      </c>
      <c r="B44" s="1" t="s">
        <v>609</v>
      </c>
      <c r="C44" s="1" t="s">
        <v>608</v>
      </c>
      <c r="D44" s="1">
        <v>9</v>
      </c>
      <c r="E44" s="1" t="s">
        <v>269</v>
      </c>
      <c r="F44" s="1" t="s">
        <v>610</v>
      </c>
      <c r="G44" s="48" t="s">
        <v>419</v>
      </c>
      <c r="H44" s="1" t="s">
        <v>69</v>
      </c>
      <c r="I44" s="1" t="s">
        <v>33</v>
      </c>
      <c r="J44" s="1" t="s">
        <v>69</v>
      </c>
      <c r="K44" s="1" t="s">
        <v>33</v>
      </c>
      <c r="L44" s="1">
        <v>2</v>
      </c>
    </row>
    <row r="53" spans="1:14" x14ac:dyDescent="0.3">
      <c r="M53" s="40"/>
      <c r="N53" s="40"/>
    </row>
    <row r="54" spans="1:14" x14ac:dyDescent="0.3">
      <c r="M54" s="40"/>
      <c r="N54" s="40"/>
    </row>
    <row r="55" spans="1:14" ht="25.05" customHeight="1" x14ac:dyDescent="0.3">
      <c r="A55" s="40"/>
      <c r="B55" s="40"/>
      <c r="C55" s="40"/>
      <c r="D55" s="40"/>
      <c r="E55" s="40"/>
      <c r="F55" s="40"/>
      <c r="G55" s="40"/>
      <c r="H55" s="40"/>
      <c r="I55" s="40"/>
      <c r="J55" s="40"/>
      <c r="K55" s="40"/>
      <c r="L55" s="40"/>
      <c r="M55" s="40"/>
      <c r="N55" s="40"/>
    </row>
    <row r="56" spans="1:14" x14ac:dyDescent="0.3">
      <c r="A56" s="40"/>
      <c r="B56" s="40"/>
      <c r="C56" s="40"/>
      <c r="D56" s="40"/>
      <c r="E56" s="40"/>
      <c r="F56" s="40"/>
      <c r="G56" s="40"/>
      <c r="H56" s="40"/>
      <c r="I56" s="40"/>
      <c r="J56" s="40"/>
      <c r="K56" s="40"/>
      <c r="L56" s="40"/>
      <c r="M56" s="40"/>
      <c r="N56" s="40"/>
    </row>
    <row r="57" spans="1:14" x14ac:dyDescent="0.3">
      <c r="A57" s="40"/>
      <c r="B57" s="40"/>
      <c r="C57" s="40"/>
      <c r="D57" s="40"/>
      <c r="E57" s="40"/>
      <c r="F57" s="40"/>
      <c r="G57" s="41"/>
      <c r="H57" s="40"/>
      <c r="I57" s="40"/>
      <c r="J57" s="40"/>
      <c r="K57" s="40"/>
      <c r="L57" s="40"/>
      <c r="M57" s="40"/>
      <c r="N57" s="40"/>
    </row>
    <row r="58" spans="1:14" x14ac:dyDescent="0.3">
      <c r="A58" s="40"/>
      <c r="B58" s="40"/>
      <c r="C58" s="40"/>
      <c r="D58" s="40"/>
      <c r="E58" s="40"/>
      <c r="F58" s="40"/>
      <c r="G58" s="41"/>
      <c r="H58" s="40"/>
      <c r="I58" s="40"/>
      <c r="J58" s="40"/>
      <c r="K58" s="40"/>
      <c r="L58" s="40"/>
      <c r="M58" s="40"/>
      <c r="N58" s="40"/>
    </row>
  </sheetData>
  <hyperlinks>
    <hyperlink ref="G3" r:id="rId1" location="/start"/>
    <hyperlink ref="G4" r:id="rId2"/>
    <hyperlink ref="G5" r:id="rId3"/>
    <hyperlink ref="G6" r:id="rId4"/>
    <hyperlink ref="G7" r:id="rId5"/>
    <hyperlink ref="G8" r:id="rId6"/>
    <hyperlink ref="G9" r:id="rId7"/>
    <hyperlink ref="G16" r:id="rId8"/>
    <hyperlink ref="G22" r:id="rId9"/>
    <hyperlink ref="G26" r:id="rId10"/>
    <hyperlink ref="G23" r:id="rId11"/>
    <hyperlink ref="G28" r:id="rId12"/>
    <hyperlink ref="G29" r:id="rId13"/>
    <hyperlink ref="G31" r:id="rId14"/>
    <hyperlink ref="G30" r:id="rId15"/>
    <hyperlink ref="G33" r:id="rId16"/>
    <hyperlink ref="G32" r:id="rId17"/>
    <hyperlink ref="G24" r:id="rId18"/>
    <hyperlink ref="G25" r:id="rId19"/>
    <hyperlink ref="G37" r:id="rId20"/>
    <hyperlink ref="G38" r:id="rId21"/>
    <hyperlink ref="G34" r:id="rId22"/>
    <hyperlink ref="G40" r:id="rId23"/>
    <hyperlink ref="G41" r:id="rId24"/>
    <hyperlink ref="G42" r:id="rId25"/>
    <hyperlink ref="G27" r:id="rId26"/>
    <hyperlink ref="G17" r:id="rId27"/>
    <hyperlink ref="G2" r:id="rId28"/>
    <hyperlink ref="G18" r:id="rId29"/>
    <hyperlink ref="G19" r:id="rId30"/>
    <hyperlink ref="G20" r:id="rId31"/>
    <hyperlink ref="G21" r:id="rId32"/>
    <hyperlink ref="G10" r:id="rId33"/>
    <hyperlink ref="G11" r:id="rId34"/>
    <hyperlink ref="G12" r:id="rId35"/>
    <hyperlink ref="G13" r:id="rId36"/>
    <hyperlink ref="G14" r:id="rId37"/>
    <hyperlink ref="G15" r:id="rId38"/>
    <hyperlink ref="G44" r:id="rId39" display="https://cwcb.colorado.gov/ecosystem-health"/>
  </hyperlinks>
  <pageMargins left="0.7" right="0.7" top="0.75" bottom="0.75" header="0.3" footer="0.3"/>
  <pageSetup orientation="portrait" r:id="rId4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45"/>
  <sheetViews>
    <sheetView zoomScale="90" zoomScaleNormal="90" workbookViewId="0">
      <pane xSplit="5" ySplit="1" topLeftCell="Q2" activePane="bottomRight" state="frozen"/>
      <selection pane="topRight" activeCell="E1" sqref="E1"/>
      <selection pane="bottomLeft" activeCell="A2" sqref="A2"/>
      <selection pane="bottomRight" activeCell="U28" sqref="U28"/>
    </sheetView>
  </sheetViews>
  <sheetFormatPr defaultColWidth="8.796875" defaultRowHeight="15.6" x14ac:dyDescent="0.3"/>
  <cols>
    <col min="1" max="1" width="9.796875" style="1" bestFit="1" customWidth="1"/>
    <col min="2" max="2" width="29.19921875" style="1" customWidth="1"/>
    <col min="3" max="3" width="17.296875" style="1" customWidth="1"/>
    <col min="4" max="4" width="8.09765625" style="1" customWidth="1"/>
    <col min="5" max="5" width="18.19921875" style="1" customWidth="1"/>
    <col min="6" max="6" width="23.5" style="1" customWidth="1"/>
    <col min="7" max="7" width="14.796875" style="1" customWidth="1"/>
    <col min="8" max="8" width="9.8984375" style="1" customWidth="1"/>
    <col min="9" max="9" width="46.296875" style="1" customWidth="1"/>
    <col min="10" max="16384" width="8.796875" style="1"/>
  </cols>
  <sheetData>
    <row r="1" spans="1:23" x14ac:dyDescent="0.3">
      <c r="A1" s="3" t="s">
        <v>378</v>
      </c>
      <c r="B1" s="3" t="s">
        <v>379</v>
      </c>
      <c r="C1" s="3" t="s">
        <v>258</v>
      </c>
      <c r="D1" s="3" t="s">
        <v>257</v>
      </c>
      <c r="E1" s="3" t="s">
        <v>380</v>
      </c>
      <c r="F1" s="3" t="s">
        <v>381</v>
      </c>
      <c r="G1" s="3" t="s">
        <v>259</v>
      </c>
      <c r="H1" s="43" t="s">
        <v>260</v>
      </c>
      <c r="I1" s="3" t="s">
        <v>263</v>
      </c>
      <c r="J1" s="3" t="s">
        <v>8</v>
      </c>
      <c r="K1" s="3" t="s">
        <v>15</v>
      </c>
      <c r="L1" s="3" t="s">
        <v>23</v>
      </c>
      <c r="M1" s="3" t="s">
        <v>35</v>
      </c>
      <c r="N1" s="3" t="s">
        <v>662</v>
      </c>
      <c r="O1" s="3" t="s">
        <v>51</v>
      </c>
      <c r="P1" s="3" t="s">
        <v>60</v>
      </c>
      <c r="Q1" s="3" t="s">
        <v>68</v>
      </c>
      <c r="R1" s="3" t="s">
        <v>75</v>
      </c>
      <c r="S1" s="3" t="s">
        <v>382</v>
      </c>
      <c r="T1" s="3" t="s">
        <v>89</v>
      </c>
      <c r="U1" s="3" t="s">
        <v>94</v>
      </c>
      <c r="V1" s="3" t="s">
        <v>107</v>
      </c>
      <c r="W1" s="1" t="s">
        <v>699</v>
      </c>
    </row>
    <row r="2" spans="1:23" x14ac:dyDescent="0.3">
      <c r="A2" s="1" t="s">
        <v>141</v>
      </c>
      <c r="B2" s="1" t="s">
        <v>667</v>
      </c>
      <c r="C2" s="1" t="s">
        <v>277</v>
      </c>
      <c r="D2" s="1" t="s">
        <v>276</v>
      </c>
      <c r="E2" s="1" t="s">
        <v>663</v>
      </c>
      <c r="F2" s="1" t="str">
        <f>CONCATENATE(E2,": ",B2)</f>
        <v>CDNR: Observations Data</v>
      </c>
      <c r="G2" s="1" t="s">
        <v>272</v>
      </c>
      <c r="H2" s="9" t="s">
        <v>271</v>
      </c>
      <c r="I2" s="5" t="s">
        <v>384</v>
      </c>
      <c r="J2" s="1" t="s">
        <v>11</v>
      </c>
      <c r="K2" s="1" t="s">
        <v>664</v>
      </c>
      <c r="L2" s="1" t="s">
        <v>33</v>
      </c>
      <c r="M2" s="1" t="s">
        <v>665</v>
      </c>
      <c r="N2" s="1" t="s">
        <v>96</v>
      </c>
      <c r="O2" s="1" t="s">
        <v>666</v>
      </c>
      <c r="P2" s="1" t="s">
        <v>62</v>
      </c>
      <c r="Q2" s="1" t="s">
        <v>123</v>
      </c>
      <c r="R2" s="1" t="s">
        <v>69</v>
      </c>
      <c r="S2" s="1" t="s">
        <v>85</v>
      </c>
      <c r="T2" s="1" t="s">
        <v>69</v>
      </c>
      <c r="U2" s="1" t="s">
        <v>105</v>
      </c>
      <c r="V2" s="1" t="s">
        <v>112</v>
      </c>
    </row>
    <row r="3" spans="1:23" x14ac:dyDescent="0.3">
      <c r="A3" s="1" t="s">
        <v>143</v>
      </c>
      <c r="B3" s="1" t="s">
        <v>385</v>
      </c>
      <c r="C3" s="1" t="s">
        <v>658</v>
      </c>
      <c r="D3" s="1" t="s">
        <v>287</v>
      </c>
      <c r="E3" s="1" t="s">
        <v>693</v>
      </c>
      <c r="F3" s="1" t="str">
        <f>CONCATENATE(E3,": ",B3)</f>
        <v xml:space="preserve">COGCC: Colorado Oil and Gas Information System </v>
      </c>
      <c r="G3" s="1" t="s">
        <v>272</v>
      </c>
      <c r="H3" s="9" t="s">
        <v>271</v>
      </c>
      <c r="I3" s="5" t="s">
        <v>386</v>
      </c>
      <c r="J3" s="1" t="s">
        <v>13</v>
      </c>
      <c r="K3" s="1" t="s">
        <v>19</v>
      </c>
      <c r="L3" s="1" t="s">
        <v>33</v>
      </c>
      <c r="M3" s="1" t="s">
        <v>670</v>
      </c>
      <c r="N3" s="1" t="s">
        <v>96</v>
      </c>
      <c r="O3" s="1" t="s">
        <v>669</v>
      </c>
      <c r="P3" s="1" t="s">
        <v>62</v>
      </c>
      <c r="Q3" s="1" t="s">
        <v>123</v>
      </c>
      <c r="R3" s="1" t="s">
        <v>69</v>
      </c>
      <c r="S3" s="1" t="s">
        <v>671</v>
      </c>
      <c r="T3" s="1" t="s">
        <v>69</v>
      </c>
      <c r="U3" s="1" t="s">
        <v>103</v>
      </c>
      <c r="V3" s="1" t="s">
        <v>114</v>
      </c>
    </row>
    <row r="4" spans="1:23" x14ac:dyDescent="0.3">
      <c r="A4" s="1" t="s">
        <v>183</v>
      </c>
      <c r="B4" s="1" t="s">
        <v>694</v>
      </c>
      <c r="C4" s="1" t="s">
        <v>658</v>
      </c>
      <c r="D4" s="1" t="s">
        <v>287</v>
      </c>
      <c r="E4" s="1" t="s">
        <v>693</v>
      </c>
      <c r="F4" s="1" t="str">
        <f>CONCATENATE(E4,": ",B4)</f>
        <v>COGCC: Data Downloads</v>
      </c>
      <c r="G4" s="1" t="s">
        <v>517</v>
      </c>
      <c r="H4" s="9" t="s">
        <v>271</v>
      </c>
      <c r="I4" s="5" t="s">
        <v>527</v>
      </c>
      <c r="J4" s="1" t="s">
        <v>13</v>
      </c>
      <c r="K4" s="1" t="s">
        <v>17</v>
      </c>
      <c r="L4" s="1" t="s">
        <v>33</v>
      </c>
      <c r="M4" s="1" t="s">
        <v>45</v>
      </c>
      <c r="N4" s="1" t="s">
        <v>96</v>
      </c>
      <c r="O4" s="1" t="s">
        <v>697</v>
      </c>
      <c r="P4" s="1" t="s">
        <v>66</v>
      </c>
      <c r="Q4" s="1" t="s">
        <v>119</v>
      </c>
      <c r="R4" s="1" t="s">
        <v>33</v>
      </c>
      <c r="S4" s="1" t="s">
        <v>528</v>
      </c>
      <c r="T4" s="1" t="s">
        <v>33</v>
      </c>
      <c r="U4" s="1" t="s">
        <v>103</v>
      </c>
      <c r="V4" s="1" t="s">
        <v>114</v>
      </c>
      <c r="W4" s="1" t="s">
        <v>700</v>
      </c>
    </row>
    <row r="5" spans="1:23" x14ac:dyDescent="0.3">
      <c r="A5" s="1" t="s">
        <v>185</v>
      </c>
      <c r="B5" s="1" t="s">
        <v>695</v>
      </c>
      <c r="C5" s="1" t="s">
        <v>658</v>
      </c>
      <c r="D5" s="1" t="s">
        <v>287</v>
      </c>
      <c r="E5" s="1" t="s">
        <v>693</v>
      </c>
      <c r="F5" s="1" t="str">
        <f>CONCATENATE(E5,": ",B5)</f>
        <v>COGCC: Reports Portal</v>
      </c>
      <c r="G5" s="1" t="s">
        <v>517</v>
      </c>
      <c r="H5" s="9" t="s">
        <v>271</v>
      </c>
      <c r="I5" s="5" t="s">
        <v>533</v>
      </c>
      <c r="J5" s="1" t="s">
        <v>13</v>
      </c>
      <c r="K5" s="1" t="s">
        <v>19</v>
      </c>
      <c r="L5" s="1" t="s">
        <v>33</v>
      </c>
      <c r="M5" s="1" t="s">
        <v>41</v>
      </c>
      <c r="N5" s="1" t="s">
        <v>96</v>
      </c>
      <c r="O5" s="1" t="s">
        <v>701</v>
      </c>
      <c r="P5" s="1" t="s">
        <v>66</v>
      </c>
      <c r="Q5" s="1" t="s">
        <v>698</v>
      </c>
      <c r="R5" s="1" t="s">
        <v>33</v>
      </c>
      <c r="S5" s="1" t="s">
        <v>83</v>
      </c>
      <c r="T5" s="1" t="s">
        <v>69</v>
      </c>
      <c r="U5" s="1" t="s">
        <v>103</v>
      </c>
      <c r="V5" s="1" t="s">
        <v>114</v>
      </c>
    </row>
    <row r="6" spans="1:23" x14ac:dyDescent="0.3">
      <c r="A6" s="1" t="s">
        <v>145</v>
      </c>
      <c r="B6" s="1" t="s">
        <v>659</v>
      </c>
      <c r="C6" s="1" t="s">
        <v>297</v>
      </c>
      <c r="D6" s="1" t="s">
        <v>296</v>
      </c>
      <c r="E6" s="1" t="s">
        <v>696</v>
      </c>
      <c r="F6" s="1" t="str">
        <f>CONCATENATE(E6,": ",B6)</f>
        <v xml:space="preserve">CDWR: CDSS Data and Tools </v>
      </c>
      <c r="G6" s="1" t="s">
        <v>272</v>
      </c>
      <c r="H6" s="9" t="s">
        <v>271</v>
      </c>
      <c r="I6" s="5" t="s">
        <v>388</v>
      </c>
      <c r="J6" s="1" t="s">
        <v>11</v>
      </c>
      <c r="K6" s="1" t="s">
        <v>672</v>
      </c>
      <c r="L6" s="1" t="s">
        <v>33</v>
      </c>
      <c r="M6" s="1" t="s">
        <v>673</v>
      </c>
      <c r="N6" s="1" t="s">
        <v>96</v>
      </c>
      <c r="O6" s="1" t="s">
        <v>675</v>
      </c>
      <c r="P6" s="1" t="s">
        <v>62</v>
      </c>
      <c r="Q6" s="1" t="s">
        <v>118</v>
      </c>
      <c r="R6" s="1" t="s">
        <v>69</v>
      </c>
      <c r="S6" s="1" t="s">
        <v>674</v>
      </c>
      <c r="T6" s="1" t="s">
        <v>6</v>
      </c>
      <c r="U6" s="1" t="s">
        <v>98</v>
      </c>
      <c r="V6" s="1" t="s">
        <v>98</v>
      </c>
      <c r="W6" s="1" t="s">
        <v>535</v>
      </c>
    </row>
    <row r="7" spans="1:23" x14ac:dyDescent="0.3">
      <c r="A7" s="1" t="s">
        <v>147</v>
      </c>
      <c r="B7" s="1" t="s">
        <v>677</v>
      </c>
      <c r="C7" s="1" t="s">
        <v>297</v>
      </c>
      <c r="D7" s="1" t="s">
        <v>296</v>
      </c>
      <c r="E7" s="1" t="s">
        <v>696</v>
      </c>
      <c r="F7" s="1" t="str">
        <f>CONCATENATE(E7,": ",B7)</f>
        <v>CDWR: Imaged Documents</v>
      </c>
      <c r="G7" s="1" t="s">
        <v>272</v>
      </c>
      <c r="H7" s="9" t="s">
        <v>271</v>
      </c>
      <c r="I7" s="5" t="s">
        <v>390</v>
      </c>
      <c r="J7" s="1" t="s">
        <v>11</v>
      </c>
      <c r="K7" s="1" t="s">
        <v>19</v>
      </c>
      <c r="L7" s="1" t="s">
        <v>33</v>
      </c>
      <c r="M7" s="1" t="s">
        <v>41</v>
      </c>
      <c r="N7" s="1" t="s">
        <v>96</v>
      </c>
      <c r="O7" s="1" t="s">
        <v>119</v>
      </c>
      <c r="P7" s="1" t="s">
        <v>66</v>
      </c>
      <c r="Q7" s="1" t="s">
        <v>123</v>
      </c>
      <c r="R7" s="1" t="s">
        <v>78</v>
      </c>
      <c r="S7" s="1" t="s">
        <v>85</v>
      </c>
      <c r="T7" s="1" t="s">
        <v>69</v>
      </c>
      <c r="U7" s="1" t="s">
        <v>98</v>
      </c>
      <c r="V7" s="1" t="s">
        <v>114</v>
      </c>
    </row>
    <row r="8" spans="1:23" x14ac:dyDescent="0.3">
      <c r="A8" s="1" t="s">
        <v>239</v>
      </c>
      <c r="B8" s="1" t="s">
        <v>678</v>
      </c>
      <c r="C8" s="1" t="s">
        <v>297</v>
      </c>
      <c r="D8" s="1" t="s">
        <v>296</v>
      </c>
      <c r="E8" s="1" t="s">
        <v>696</v>
      </c>
      <c r="F8" s="1" t="str">
        <f>CONCATENATE(E8,": ",B8)</f>
        <v>CDWR: GIS Data</v>
      </c>
      <c r="G8" s="1" t="s">
        <v>272</v>
      </c>
      <c r="H8" s="9" t="s">
        <v>271</v>
      </c>
      <c r="I8" s="5" t="s">
        <v>679</v>
      </c>
      <c r="J8" s="1" t="s">
        <v>11</v>
      </c>
      <c r="K8" s="1" t="s">
        <v>17</v>
      </c>
      <c r="L8" s="1" t="s">
        <v>33</v>
      </c>
      <c r="M8" s="1" t="s">
        <v>45</v>
      </c>
      <c r="N8" s="1" t="s">
        <v>96</v>
      </c>
      <c r="O8" s="1" t="s">
        <v>680</v>
      </c>
      <c r="P8" s="1" t="s">
        <v>62</v>
      </c>
      <c r="Q8" s="1" t="s">
        <v>682</v>
      </c>
      <c r="R8" s="1" t="s">
        <v>69</v>
      </c>
      <c r="S8" s="1" t="s">
        <v>537</v>
      </c>
      <c r="T8" s="1" t="s">
        <v>33</v>
      </c>
      <c r="U8" s="1" t="s">
        <v>98</v>
      </c>
      <c r="V8" s="1" t="s">
        <v>681</v>
      </c>
    </row>
    <row r="9" spans="1:23" x14ac:dyDescent="0.3">
      <c r="A9" s="1" t="s">
        <v>241</v>
      </c>
      <c r="B9" s="1" t="s">
        <v>688</v>
      </c>
      <c r="C9" s="1" t="s">
        <v>297</v>
      </c>
      <c r="D9" s="1" t="s">
        <v>296</v>
      </c>
      <c r="E9" s="1" t="s">
        <v>696</v>
      </c>
      <c r="F9" s="1" t="str">
        <f>CONCATENATE(E9,": ",B9)</f>
        <v>CDWR: Modeling Data</v>
      </c>
      <c r="G9" s="1" t="s">
        <v>272</v>
      </c>
      <c r="H9" s="9" t="s">
        <v>271</v>
      </c>
      <c r="I9" s="5" t="s">
        <v>689</v>
      </c>
      <c r="J9" s="1" t="s">
        <v>11</v>
      </c>
      <c r="K9" s="1" t="s">
        <v>17</v>
      </c>
      <c r="L9" s="1" t="s">
        <v>33</v>
      </c>
      <c r="M9" s="1" t="s">
        <v>45</v>
      </c>
      <c r="N9" s="1" t="s">
        <v>96</v>
      </c>
      <c r="O9" s="1" t="s">
        <v>690</v>
      </c>
      <c r="P9" s="1" t="s">
        <v>62</v>
      </c>
      <c r="Q9" s="1" t="s">
        <v>119</v>
      </c>
      <c r="R9" s="1" t="s">
        <v>78</v>
      </c>
      <c r="S9" s="1" t="s">
        <v>537</v>
      </c>
      <c r="T9" s="1" t="s">
        <v>69</v>
      </c>
      <c r="U9" s="1" t="s">
        <v>98</v>
      </c>
      <c r="V9" s="1" t="s">
        <v>114</v>
      </c>
    </row>
    <row r="10" spans="1:23" x14ac:dyDescent="0.3">
      <c r="A10" s="1" t="s">
        <v>179</v>
      </c>
      <c r="B10" s="1" t="s">
        <v>422</v>
      </c>
      <c r="C10" s="1" t="s">
        <v>297</v>
      </c>
      <c r="D10" s="1" t="s">
        <v>296</v>
      </c>
      <c r="E10" s="1" t="s">
        <v>696</v>
      </c>
      <c r="F10" s="1" t="str">
        <f>CONCATENATE(E10,": ",B10)</f>
        <v xml:space="preserve">CDWR: Surface Water Conditions </v>
      </c>
      <c r="G10" s="1" t="s">
        <v>272</v>
      </c>
      <c r="H10" s="9" t="s">
        <v>271</v>
      </c>
      <c r="I10" s="5" t="s">
        <v>423</v>
      </c>
      <c r="J10" s="1" t="s">
        <v>11</v>
      </c>
      <c r="K10" s="1" t="s">
        <v>19</v>
      </c>
      <c r="L10" s="1" t="s">
        <v>33</v>
      </c>
      <c r="M10" s="1" t="s">
        <v>702</v>
      </c>
      <c r="N10" s="1" t="s">
        <v>703</v>
      </c>
      <c r="O10" s="1" t="s">
        <v>134</v>
      </c>
      <c r="P10" s="1" t="s">
        <v>62</v>
      </c>
      <c r="Q10" s="1" t="s">
        <v>123</v>
      </c>
      <c r="R10" s="1" t="s">
        <v>69</v>
      </c>
      <c r="S10" s="1" t="s">
        <v>83</v>
      </c>
      <c r="T10" s="1" t="s">
        <v>69</v>
      </c>
      <c r="U10" s="1" t="s">
        <v>105</v>
      </c>
      <c r="V10" s="1" t="s">
        <v>112</v>
      </c>
      <c r="W10" s="1" t="s">
        <v>704</v>
      </c>
    </row>
    <row r="11" spans="1:23" x14ac:dyDescent="0.3">
      <c r="A11" s="1" t="s">
        <v>149</v>
      </c>
      <c r="B11" s="1" t="s">
        <v>705</v>
      </c>
      <c r="C11" s="1" t="s">
        <v>660</v>
      </c>
      <c r="D11" s="1" t="s">
        <v>341</v>
      </c>
      <c r="E11" s="1" t="s">
        <v>405</v>
      </c>
      <c r="F11" s="1" t="str">
        <f>CONCATENATE(E11,": ",B11)</f>
        <v xml:space="preserve">CDPHE: Open Data </v>
      </c>
      <c r="G11" s="1" t="s">
        <v>660</v>
      </c>
      <c r="H11" s="9" t="s">
        <v>341</v>
      </c>
      <c r="I11" s="5" t="s">
        <v>392</v>
      </c>
      <c r="J11" s="1" t="s">
        <v>11</v>
      </c>
      <c r="K11" s="1" t="s">
        <v>19</v>
      </c>
      <c r="L11" s="1" t="s">
        <v>33</v>
      </c>
      <c r="M11" s="1" t="s">
        <v>45</v>
      </c>
      <c r="N11" s="1" t="s">
        <v>96</v>
      </c>
      <c r="O11" s="1" t="s">
        <v>706</v>
      </c>
      <c r="P11" s="1" t="s">
        <v>62</v>
      </c>
      <c r="Q11" s="1" t="s">
        <v>707</v>
      </c>
      <c r="R11" s="1" t="s">
        <v>33</v>
      </c>
      <c r="S11" s="1" t="s">
        <v>674</v>
      </c>
      <c r="T11" s="1" t="s">
        <v>33</v>
      </c>
      <c r="U11" s="1" t="s">
        <v>98</v>
      </c>
      <c r="V11" s="1" t="s">
        <v>98</v>
      </c>
    </row>
    <row r="12" spans="1:23" x14ac:dyDescent="0.3">
      <c r="A12" s="1" t="s">
        <v>151</v>
      </c>
      <c r="B12" s="1" t="s">
        <v>393</v>
      </c>
      <c r="C12" s="1" t="s">
        <v>342</v>
      </c>
      <c r="D12" s="1" t="s">
        <v>347</v>
      </c>
      <c r="E12" s="1" t="s">
        <v>405</v>
      </c>
      <c r="F12" s="1" t="str">
        <f>CONCATENATE(E12,": ",B12)</f>
        <v xml:space="preserve">CDPHE: Clean Water - GIS Maps </v>
      </c>
      <c r="G12" s="1" t="s">
        <v>660</v>
      </c>
      <c r="H12" s="9" t="s">
        <v>341</v>
      </c>
      <c r="I12" s="5" t="s">
        <v>394</v>
      </c>
      <c r="J12" s="1" t="s">
        <v>11</v>
      </c>
      <c r="K12" s="1" t="s">
        <v>17</v>
      </c>
      <c r="L12" s="1" t="s">
        <v>33</v>
      </c>
      <c r="M12" s="1" t="s">
        <v>41</v>
      </c>
      <c r="N12" s="1" t="s">
        <v>96</v>
      </c>
      <c r="O12" s="1" t="s">
        <v>708</v>
      </c>
      <c r="P12" s="1" t="s">
        <v>62</v>
      </c>
      <c r="Q12" s="1" t="s">
        <v>128</v>
      </c>
      <c r="R12" s="1" t="s">
        <v>33</v>
      </c>
      <c r="S12" s="1" t="s">
        <v>537</v>
      </c>
      <c r="T12" s="1" t="s">
        <v>33</v>
      </c>
      <c r="U12" s="1" t="s">
        <v>6</v>
      </c>
      <c r="V12" s="1" t="s">
        <v>110</v>
      </c>
    </row>
    <row r="13" spans="1:23" x14ac:dyDescent="0.3">
      <c r="A13" s="1" t="s">
        <v>153</v>
      </c>
      <c r="B13" s="1" t="s">
        <v>395</v>
      </c>
      <c r="C13" s="1" t="s">
        <v>342</v>
      </c>
      <c r="D13" s="1" t="s">
        <v>347</v>
      </c>
      <c r="E13" s="1" t="s">
        <v>405</v>
      </c>
      <c r="F13" s="1" t="str">
        <f>CONCATENATE(E13,": ",B13)</f>
        <v>CDPHE: Watershed Rapid Assessment Program</v>
      </c>
      <c r="G13" s="1" t="s">
        <v>660</v>
      </c>
      <c r="H13" s="9" t="s">
        <v>341</v>
      </c>
      <c r="I13" s="5" t="s">
        <v>396</v>
      </c>
      <c r="J13" s="1" t="s">
        <v>11</v>
      </c>
      <c r="K13" s="1" t="s">
        <v>21</v>
      </c>
      <c r="L13" s="1" t="s">
        <v>33</v>
      </c>
      <c r="M13" s="1" t="s">
        <v>43</v>
      </c>
      <c r="N13" s="1" t="s">
        <v>96</v>
      </c>
      <c r="O13" s="1" t="s">
        <v>709</v>
      </c>
      <c r="P13" s="1" t="s">
        <v>62</v>
      </c>
      <c r="Q13" s="1" t="s">
        <v>130</v>
      </c>
      <c r="R13" s="1" t="s">
        <v>69</v>
      </c>
      <c r="S13" s="1" t="s">
        <v>537</v>
      </c>
      <c r="T13" s="1" t="s">
        <v>33</v>
      </c>
      <c r="U13" s="1" t="s">
        <v>105</v>
      </c>
      <c r="V13" s="1" t="s">
        <v>98</v>
      </c>
      <c r="W13" s="1" t="s">
        <v>710</v>
      </c>
    </row>
    <row r="14" spans="1:23" x14ac:dyDescent="0.3">
      <c r="A14" s="1" t="s">
        <v>157</v>
      </c>
      <c r="B14" s="1" t="s">
        <v>397</v>
      </c>
      <c r="C14" s="1" t="s">
        <v>398</v>
      </c>
      <c r="D14" s="1" t="s">
        <v>347</v>
      </c>
      <c r="E14" s="1" t="s">
        <v>405</v>
      </c>
      <c r="F14" s="1" t="str">
        <f>CONCATENATE(E14,": ",B14)</f>
        <v>CDPHE: Water Quality Planning</v>
      </c>
      <c r="G14" s="1" t="s">
        <v>660</v>
      </c>
      <c r="H14" s="9" t="s">
        <v>341</v>
      </c>
      <c r="I14" s="5" t="s">
        <v>399</v>
      </c>
      <c r="J14" s="1" t="s">
        <v>11</v>
      </c>
      <c r="K14" s="1" t="s">
        <v>17</v>
      </c>
      <c r="L14" s="1" t="s">
        <v>33</v>
      </c>
      <c r="M14" s="1" t="s">
        <v>41</v>
      </c>
      <c r="N14" s="1" t="s">
        <v>96</v>
      </c>
      <c r="O14" s="1" t="s">
        <v>119</v>
      </c>
      <c r="P14" s="1" t="s">
        <v>62</v>
      </c>
      <c r="Q14" s="1" t="s">
        <v>123</v>
      </c>
      <c r="R14" s="1" t="s">
        <v>69</v>
      </c>
      <c r="S14" s="1" t="s">
        <v>83</v>
      </c>
      <c r="T14" s="1" t="s">
        <v>69</v>
      </c>
      <c r="U14" s="1" t="s">
        <v>6</v>
      </c>
      <c r="V14" s="1" t="s">
        <v>112</v>
      </c>
    </row>
    <row r="15" spans="1:23" x14ac:dyDescent="0.3">
      <c r="A15" s="1" t="s">
        <v>159</v>
      </c>
      <c r="B15" s="1" t="s">
        <v>400</v>
      </c>
      <c r="C15" s="1" t="s">
        <v>325</v>
      </c>
      <c r="D15" s="1" t="s">
        <v>361</v>
      </c>
      <c r="E15" s="1" t="s">
        <v>719</v>
      </c>
      <c r="F15" s="1" t="str">
        <f>CONCATENATE(E15,": ",B15)</f>
        <v xml:space="preserve">CDA: Agricultural Water Quality Database </v>
      </c>
      <c r="G15" s="1" t="s">
        <v>401</v>
      </c>
      <c r="H15" s="9" t="s">
        <v>353</v>
      </c>
      <c r="I15" s="5" t="s">
        <v>402</v>
      </c>
      <c r="J15" s="1" t="s">
        <v>13</v>
      </c>
      <c r="K15" s="1" t="s">
        <v>17</v>
      </c>
      <c r="L15" s="1" t="s">
        <v>33</v>
      </c>
      <c r="M15" s="1" t="s">
        <v>41</v>
      </c>
      <c r="N15" s="1" t="s">
        <v>96</v>
      </c>
      <c r="O15" s="1" t="s">
        <v>135</v>
      </c>
      <c r="P15" s="1" t="s">
        <v>64</v>
      </c>
      <c r="Q15" s="1" t="s">
        <v>64</v>
      </c>
      <c r="R15" s="1" t="s">
        <v>69</v>
      </c>
      <c r="S15" s="1" t="s">
        <v>69</v>
      </c>
      <c r="T15" s="1" t="s">
        <v>69</v>
      </c>
      <c r="U15" s="1" t="s">
        <v>6</v>
      </c>
      <c r="V15" s="1" t="s">
        <v>114</v>
      </c>
    </row>
    <row r="16" spans="1:23" x14ac:dyDescent="0.3">
      <c r="A16" s="1" t="s">
        <v>163</v>
      </c>
      <c r="B16" s="1" t="s">
        <v>404</v>
      </c>
      <c r="C16" s="1" t="s">
        <v>403</v>
      </c>
      <c r="D16" s="1" t="s">
        <v>348</v>
      </c>
      <c r="E16" s="1" t="s">
        <v>405</v>
      </c>
      <c r="F16" s="1" t="str">
        <f>CONCATENATE(E16,": ",B16)</f>
        <v>CDPHE: Drinking water compliance assurance</v>
      </c>
      <c r="G16" s="1" t="s">
        <v>660</v>
      </c>
      <c r="H16" s="9" t="s">
        <v>341</v>
      </c>
      <c r="I16" s="5" t="s">
        <v>720</v>
      </c>
      <c r="J16" s="1" t="s">
        <v>11</v>
      </c>
      <c r="K16" s="1" t="s">
        <v>664</v>
      </c>
      <c r="L16" s="1" t="s">
        <v>33</v>
      </c>
      <c r="M16" s="1" t="s">
        <v>721</v>
      </c>
      <c r="N16" s="1" t="s">
        <v>96</v>
      </c>
      <c r="O16" s="1" t="s">
        <v>722</v>
      </c>
      <c r="P16" s="1" t="s">
        <v>66</v>
      </c>
      <c r="Q16" s="1" t="s">
        <v>119</v>
      </c>
      <c r="R16" s="1" t="s">
        <v>33</v>
      </c>
      <c r="S16" s="1" t="s">
        <v>83</v>
      </c>
      <c r="T16" s="1" t="s">
        <v>69</v>
      </c>
      <c r="U16" s="1" t="s">
        <v>103</v>
      </c>
      <c r="V16" s="1" t="s">
        <v>114</v>
      </c>
    </row>
    <row r="17" spans="1:23" x14ac:dyDescent="0.3">
      <c r="A17" s="1" t="s">
        <v>165</v>
      </c>
      <c r="B17" s="1" t="s">
        <v>406</v>
      </c>
      <c r="C17" s="1" t="s">
        <v>660</v>
      </c>
      <c r="D17" s="1" t="s">
        <v>341</v>
      </c>
      <c r="E17" s="1" t="s">
        <v>405</v>
      </c>
      <c r="F17" s="1" t="str">
        <f>CONCATENATE(E17,": ",B17)</f>
        <v>CDPHE: Colorado Environmental Records</v>
      </c>
      <c r="G17" s="1" t="s">
        <v>660</v>
      </c>
      <c r="H17" s="9" t="s">
        <v>341</v>
      </c>
      <c r="I17" s="5" t="s">
        <v>408</v>
      </c>
      <c r="J17" s="1" t="s">
        <v>11</v>
      </c>
      <c r="K17" s="1" t="s">
        <v>19</v>
      </c>
      <c r="L17" s="1" t="s">
        <v>33</v>
      </c>
      <c r="M17" s="1" t="s">
        <v>41</v>
      </c>
      <c r="N17" s="1" t="s">
        <v>96</v>
      </c>
      <c r="O17" s="1" t="s">
        <v>119</v>
      </c>
      <c r="P17" s="1" t="s">
        <v>62</v>
      </c>
      <c r="Q17" s="1" t="s">
        <v>123</v>
      </c>
      <c r="R17" s="1" t="s">
        <v>69</v>
      </c>
      <c r="S17" s="1" t="s">
        <v>83</v>
      </c>
      <c r="T17" s="1" t="s">
        <v>33</v>
      </c>
      <c r="U17" s="1" t="s">
        <v>6</v>
      </c>
      <c r="V17" s="1" t="s">
        <v>114</v>
      </c>
    </row>
    <row r="18" spans="1:23" x14ac:dyDescent="0.3">
      <c r="A18" s="1" t="s">
        <v>167</v>
      </c>
      <c r="B18" s="1" t="s">
        <v>409</v>
      </c>
      <c r="C18" s="1" t="s">
        <v>342</v>
      </c>
      <c r="D18" s="1" t="s">
        <v>347</v>
      </c>
      <c r="E18" s="1" t="s">
        <v>405</v>
      </c>
      <c r="F18" s="1" t="str">
        <f>CONCATENATE(E18,": ",B18)</f>
        <v>CDPHE: Water quality 10-year roadmap</v>
      </c>
      <c r="G18" s="1" t="s">
        <v>660</v>
      </c>
      <c r="H18" s="9" t="s">
        <v>341</v>
      </c>
      <c r="I18" s="5" t="s">
        <v>410</v>
      </c>
      <c r="J18" s="1" t="s">
        <v>11</v>
      </c>
      <c r="K18" s="1" t="s">
        <v>17</v>
      </c>
      <c r="L18" s="1" t="s">
        <v>33</v>
      </c>
      <c r="M18" s="1" t="s">
        <v>41</v>
      </c>
      <c r="N18" s="1" t="s">
        <v>96</v>
      </c>
      <c r="O18" s="1" t="s">
        <v>119</v>
      </c>
      <c r="P18" s="1" t="s">
        <v>62</v>
      </c>
      <c r="Q18" s="1" t="s">
        <v>123</v>
      </c>
      <c r="R18" s="1" t="s">
        <v>69</v>
      </c>
      <c r="S18" s="1" t="s">
        <v>734</v>
      </c>
      <c r="T18" s="1" t="s">
        <v>69</v>
      </c>
      <c r="U18" s="1" t="s">
        <v>6</v>
      </c>
      <c r="V18" s="1" t="s">
        <v>110</v>
      </c>
    </row>
    <row r="19" spans="1:23" x14ac:dyDescent="0.3">
      <c r="A19" s="1" t="s">
        <v>169</v>
      </c>
      <c r="B19" s="1" t="s">
        <v>411</v>
      </c>
      <c r="C19" s="1" t="s">
        <v>342</v>
      </c>
      <c r="D19" s="1" t="s">
        <v>347</v>
      </c>
      <c r="E19" s="1" t="s">
        <v>405</v>
      </c>
      <c r="F19" s="1" t="str">
        <f>CONCATENATE(E19,": ",B19)</f>
        <v>CDPHE: Animas River reports, data and maps</v>
      </c>
      <c r="G19" s="1" t="s">
        <v>660</v>
      </c>
      <c r="H19" s="9" t="s">
        <v>341</v>
      </c>
      <c r="I19" s="5" t="s">
        <v>412</v>
      </c>
      <c r="J19" s="1" t="s">
        <v>11</v>
      </c>
      <c r="K19" s="1" t="s">
        <v>17</v>
      </c>
      <c r="L19" s="1" t="s">
        <v>33</v>
      </c>
      <c r="M19" s="1" t="s">
        <v>41</v>
      </c>
      <c r="N19" s="1" t="s">
        <v>96</v>
      </c>
      <c r="O19" s="1" t="s">
        <v>726</v>
      </c>
      <c r="P19" s="1" t="s">
        <v>62</v>
      </c>
      <c r="Q19" s="1" t="s">
        <v>123</v>
      </c>
      <c r="R19" s="1" t="s">
        <v>66</v>
      </c>
      <c r="S19" s="1" t="s">
        <v>85</v>
      </c>
      <c r="T19" s="1" t="s">
        <v>69</v>
      </c>
      <c r="U19" s="1" t="s">
        <v>6</v>
      </c>
      <c r="V19" s="1" t="s">
        <v>114</v>
      </c>
    </row>
    <row r="20" spans="1:23" x14ac:dyDescent="0.3">
      <c r="A20" s="1" t="s">
        <v>171</v>
      </c>
      <c r="B20" s="1" t="s">
        <v>728</v>
      </c>
      <c r="C20" s="1" t="str">
        <f>orgNodes!B38</f>
        <v xml:space="preserve">Colorado Geologic Survey </v>
      </c>
      <c r="D20" s="1" t="s">
        <v>548</v>
      </c>
      <c r="E20" s="1" t="s">
        <v>727</v>
      </c>
      <c r="F20" s="1" t="str">
        <f>CONCATENATE(E20,": ",B20)</f>
        <v>CGS: Publications</v>
      </c>
      <c r="G20" s="1" t="s">
        <v>351</v>
      </c>
      <c r="H20" s="9" t="s">
        <v>547</v>
      </c>
      <c r="I20" s="5" t="s">
        <v>414</v>
      </c>
      <c r="J20" s="1" t="s">
        <v>11</v>
      </c>
      <c r="K20" s="1" t="s">
        <v>17</v>
      </c>
      <c r="L20" s="1" t="s">
        <v>33</v>
      </c>
      <c r="M20" s="1" t="s">
        <v>41</v>
      </c>
      <c r="N20" s="1" t="s">
        <v>96</v>
      </c>
      <c r="O20" s="1" t="s">
        <v>133</v>
      </c>
      <c r="P20" s="1" t="s">
        <v>66</v>
      </c>
      <c r="Q20" s="1" t="s">
        <v>128</v>
      </c>
      <c r="R20" s="1" t="s">
        <v>69</v>
      </c>
      <c r="S20" s="1" t="s">
        <v>83</v>
      </c>
      <c r="T20" s="1" t="s">
        <v>69</v>
      </c>
      <c r="U20" s="1" t="s">
        <v>6</v>
      </c>
      <c r="V20" s="1" t="s">
        <v>6</v>
      </c>
    </row>
    <row r="21" spans="1:23" x14ac:dyDescent="0.3">
      <c r="A21" s="1" t="s">
        <v>173</v>
      </c>
      <c r="B21" s="1" t="s">
        <v>415</v>
      </c>
      <c r="C21" s="1" t="s">
        <v>342</v>
      </c>
      <c r="D21" s="1" t="s">
        <v>347</v>
      </c>
      <c r="E21" s="1" t="s">
        <v>405</v>
      </c>
      <c r="F21" s="1" t="str">
        <f>CONCATENATE(E21,": ",B21)</f>
        <v>CDPHE: Total Maximum Daily Loads (TMDLs)</v>
      </c>
      <c r="G21" s="1" t="s">
        <v>660</v>
      </c>
      <c r="H21" s="9" t="s">
        <v>341</v>
      </c>
      <c r="I21" s="5" t="s">
        <v>416</v>
      </c>
      <c r="J21" s="1" t="s">
        <v>11</v>
      </c>
      <c r="K21" s="1" t="s">
        <v>17</v>
      </c>
      <c r="L21" s="1" t="s">
        <v>33</v>
      </c>
      <c r="M21" s="1" t="s">
        <v>41</v>
      </c>
      <c r="N21" s="1" t="s">
        <v>96</v>
      </c>
      <c r="O21" s="1" t="s">
        <v>119</v>
      </c>
      <c r="P21" s="1" t="s">
        <v>62</v>
      </c>
      <c r="Q21" s="1" t="s">
        <v>123</v>
      </c>
      <c r="R21" s="1" t="s">
        <v>69</v>
      </c>
      <c r="S21" s="1" t="s">
        <v>85</v>
      </c>
      <c r="T21" s="1" t="s">
        <v>6</v>
      </c>
      <c r="U21" s="1" t="s">
        <v>6</v>
      </c>
      <c r="V21" s="1" t="s">
        <v>114</v>
      </c>
    </row>
    <row r="22" spans="1:23" x14ac:dyDescent="0.3">
      <c r="A22" s="1" t="s">
        <v>175</v>
      </c>
      <c r="B22" s="1" t="s">
        <v>417</v>
      </c>
      <c r="C22" s="1" t="s">
        <v>270</v>
      </c>
      <c r="D22" s="1" t="s">
        <v>652</v>
      </c>
      <c r="E22" s="1" t="s">
        <v>418</v>
      </c>
      <c r="F22" s="1" t="str">
        <f>CONCATENATE(E22,": ",B22)</f>
        <v xml:space="preserve">CO: Colorado Information Marketplace </v>
      </c>
      <c r="G22" s="1" t="s">
        <v>270</v>
      </c>
      <c r="H22" s="9" t="s">
        <v>651</v>
      </c>
      <c r="I22" s="5" t="s">
        <v>419</v>
      </c>
      <c r="J22" s="1" t="s">
        <v>11</v>
      </c>
      <c r="K22" s="1" t="s">
        <v>19</v>
      </c>
      <c r="L22" s="1" t="s">
        <v>33</v>
      </c>
      <c r="M22" s="1" t="s">
        <v>729</v>
      </c>
      <c r="N22" s="1" t="s">
        <v>96</v>
      </c>
      <c r="O22" s="1" t="s">
        <v>550</v>
      </c>
      <c r="P22" s="1" t="s">
        <v>62</v>
      </c>
      <c r="Q22" s="1" t="s">
        <v>130</v>
      </c>
      <c r="R22" s="1" t="s">
        <v>33</v>
      </c>
      <c r="S22" s="1" t="s">
        <v>730</v>
      </c>
      <c r="T22" s="1" t="s">
        <v>33</v>
      </c>
      <c r="U22" s="1" t="s">
        <v>98</v>
      </c>
      <c r="V22" s="1" t="s">
        <v>98</v>
      </c>
      <c r="W22" s="1" t="s">
        <v>551</v>
      </c>
    </row>
    <row r="23" spans="1:23" x14ac:dyDescent="0.3">
      <c r="A23" s="1" t="s">
        <v>177</v>
      </c>
      <c r="B23" s="1" t="s">
        <v>420</v>
      </c>
      <c r="C23" s="1" t="s">
        <v>301</v>
      </c>
      <c r="D23" s="1" t="s">
        <v>271</v>
      </c>
      <c r="E23" s="1" t="s">
        <v>696</v>
      </c>
      <c r="F23" s="1" t="str">
        <f>CONCATENATE(E23,": ",B23)</f>
        <v>CDWR: Colorado's Water Plan</v>
      </c>
      <c r="G23" s="1" t="s">
        <v>272</v>
      </c>
      <c r="H23" s="9" t="s">
        <v>271</v>
      </c>
      <c r="I23" s="5" t="s">
        <v>421</v>
      </c>
      <c r="J23" s="1" t="s">
        <v>11</v>
      </c>
      <c r="K23" s="1" t="s">
        <v>17</v>
      </c>
      <c r="L23" s="1" t="s">
        <v>33</v>
      </c>
      <c r="M23" s="1" t="s">
        <v>41</v>
      </c>
      <c r="N23" s="1" t="s">
        <v>96</v>
      </c>
      <c r="O23" s="1" t="s">
        <v>733</v>
      </c>
      <c r="P23" s="1" t="s">
        <v>62</v>
      </c>
      <c r="Q23" s="1" t="s">
        <v>123</v>
      </c>
      <c r="R23" s="1" t="s">
        <v>66</v>
      </c>
      <c r="S23" s="1" t="s">
        <v>734</v>
      </c>
      <c r="T23" s="1" t="s">
        <v>33</v>
      </c>
      <c r="U23" s="1" t="s">
        <v>105</v>
      </c>
      <c r="V23" s="1" t="s">
        <v>98</v>
      </c>
    </row>
    <row r="24" spans="1:23" x14ac:dyDescent="0.3">
      <c r="A24" s="1" t="s">
        <v>189</v>
      </c>
      <c r="B24" s="1" t="s">
        <v>554</v>
      </c>
      <c r="C24" s="1" t="s">
        <v>522</v>
      </c>
      <c r="D24" s="1" t="s">
        <v>350</v>
      </c>
      <c r="E24" s="1" t="s">
        <v>405</v>
      </c>
      <c r="F24" s="1" t="str">
        <f>CONCATENATE(E24,": ",B24)</f>
        <v>CDPHE: Colorado hazadous waste site assessments</v>
      </c>
      <c r="G24" s="1" t="s">
        <v>521</v>
      </c>
      <c r="H24" s="9" t="s">
        <v>341</v>
      </c>
      <c r="I24" s="5" t="s">
        <v>555</v>
      </c>
      <c r="J24" s="1" t="s">
        <v>11</v>
      </c>
      <c r="K24" s="1" t="s">
        <v>17</v>
      </c>
      <c r="L24" s="1" t="s">
        <v>33</v>
      </c>
      <c r="M24" s="1" t="s">
        <v>41</v>
      </c>
      <c r="N24" s="1" t="s">
        <v>96</v>
      </c>
      <c r="O24" s="1" t="s">
        <v>119</v>
      </c>
      <c r="P24" s="1" t="s">
        <v>64</v>
      </c>
      <c r="Q24" s="1" t="s">
        <v>64</v>
      </c>
      <c r="R24" s="1" t="s">
        <v>64</v>
      </c>
      <c r="S24" s="1" t="s">
        <v>64</v>
      </c>
      <c r="T24" s="1" t="s">
        <v>64</v>
      </c>
      <c r="U24" s="1" t="s">
        <v>98</v>
      </c>
      <c r="V24" s="1" t="s">
        <v>114</v>
      </c>
    </row>
    <row r="25" spans="1:23" x14ac:dyDescent="0.3">
      <c r="A25" s="1" t="s">
        <v>191</v>
      </c>
      <c r="B25" s="1" t="s">
        <v>556</v>
      </c>
      <c r="C25" s="1" t="s">
        <v>342</v>
      </c>
      <c r="D25" s="1" t="s">
        <v>347</v>
      </c>
      <c r="E25" s="1" t="s">
        <v>405</v>
      </c>
      <c r="F25" s="1" t="str">
        <f>CONCATENATE(E25,": ",B25)</f>
        <v>CDPHE: Clean water active permits</v>
      </c>
      <c r="G25" s="1" t="s">
        <v>521</v>
      </c>
      <c r="H25" s="9" t="s">
        <v>341</v>
      </c>
      <c r="I25" s="5" t="s">
        <v>557</v>
      </c>
      <c r="J25" s="1" t="s">
        <v>11</v>
      </c>
      <c r="K25" s="1" t="s">
        <v>17</v>
      </c>
      <c r="L25" s="1" t="s">
        <v>33</v>
      </c>
      <c r="M25" s="1" t="s">
        <v>45</v>
      </c>
      <c r="N25" s="1" t="s">
        <v>96</v>
      </c>
      <c r="O25" s="1" t="s">
        <v>125</v>
      </c>
      <c r="P25" s="1" t="s">
        <v>64</v>
      </c>
      <c r="Q25" s="1" t="s">
        <v>64</v>
      </c>
      <c r="R25" s="1" t="s">
        <v>64</v>
      </c>
      <c r="S25" s="1" t="s">
        <v>64</v>
      </c>
      <c r="T25" s="1" t="s">
        <v>64</v>
      </c>
      <c r="U25" s="1" t="s">
        <v>6</v>
      </c>
      <c r="V25" s="1" t="s">
        <v>110</v>
      </c>
    </row>
    <row r="26" spans="1:23" x14ac:dyDescent="0.3">
      <c r="A26" s="1" t="s">
        <v>193</v>
      </c>
      <c r="B26" s="1" t="s">
        <v>562</v>
      </c>
      <c r="C26" s="1" t="s">
        <v>342</v>
      </c>
      <c r="D26" s="1" t="s">
        <v>347</v>
      </c>
      <c r="E26" s="1" t="s">
        <v>405</v>
      </c>
      <c r="F26" s="1" t="str">
        <f>CONCATENATE(E26,": ",B26)</f>
        <v>CDPHE: Abandoned Mines Water Quality Study</v>
      </c>
      <c r="G26" s="1" t="s">
        <v>521</v>
      </c>
      <c r="H26" s="9" t="s">
        <v>341</v>
      </c>
      <c r="I26" s="5" t="s">
        <v>561</v>
      </c>
      <c r="J26" s="1" t="s">
        <v>11</v>
      </c>
      <c r="K26" s="1" t="s">
        <v>17</v>
      </c>
      <c r="L26" s="1" t="s">
        <v>33</v>
      </c>
      <c r="M26" s="1" t="s">
        <v>41</v>
      </c>
      <c r="N26" s="1" t="s">
        <v>96</v>
      </c>
      <c r="O26" s="1" t="s">
        <v>567</v>
      </c>
      <c r="P26" s="1" t="s">
        <v>66</v>
      </c>
      <c r="Q26" s="1" t="s">
        <v>123</v>
      </c>
      <c r="R26" s="1" t="s">
        <v>78</v>
      </c>
      <c r="S26" s="1" t="s">
        <v>85</v>
      </c>
      <c r="T26" s="1" t="s">
        <v>33</v>
      </c>
      <c r="U26" s="1" t="s">
        <v>98</v>
      </c>
      <c r="V26" s="1" t="s">
        <v>112</v>
      </c>
    </row>
    <row r="27" spans="1:23" x14ac:dyDescent="0.3">
      <c r="A27" s="1" t="s">
        <v>195</v>
      </c>
      <c r="B27" s="1" t="s">
        <v>565</v>
      </c>
      <c r="C27" s="1" t="s">
        <v>342</v>
      </c>
      <c r="D27" s="1" t="s">
        <v>347</v>
      </c>
      <c r="E27" s="1" t="s">
        <v>405</v>
      </c>
      <c r="F27" s="1" t="str">
        <f>CONCATENATE(E27,": ",B27)</f>
        <v>CDPHE: Aquatic pesticides permit</v>
      </c>
      <c r="G27" s="1" t="s">
        <v>521</v>
      </c>
      <c r="H27" s="9" t="s">
        <v>341</v>
      </c>
      <c r="I27" s="5" t="s">
        <v>566</v>
      </c>
      <c r="J27" s="1" t="s">
        <v>11</v>
      </c>
      <c r="K27" s="1" t="s">
        <v>17</v>
      </c>
      <c r="L27" s="1" t="s">
        <v>33</v>
      </c>
      <c r="M27" s="1" t="s">
        <v>41</v>
      </c>
      <c r="N27" s="1" t="s">
        <v>96</v>
      </c>
      <c r="O27" s="1" t="s">
        <v>567</v>
      </c>
      <c r="P27" s="1" t="s">
        <v>66</v>
      </c>
      <c r="Q27" s="1" t="s">
        <v>123</v>
      </c>
      <c r="R27" s="1" t="s">
        <v>69</v>
      </c>
      <c r="S27" s="1" t="s">
        <v>85</v>
      </c>
      <c r="T27" s="1" t="s">
        <v>33</v>
      </c>
      <c r="U27" s="1" t="s">
        <v>98</v>
      </c>
      <c r="V27" s="1" t="s">
        <v>98</v>
      </c>
    </row>
    <row r="28" spans="1:23" x14ac:dyDescent="0.3">
      <c r="A28" s="1" t="s">
        <v>197</v>
      </c>
      <c r="B28" s="1" t="s">
        <v>569</v>
      </c>
      <c r="C28" s="1" t="s">
        <v>342</v>
      </c>
      <c r="D28" s="1" t="s">
        <v>347</v>
      </c>
      <c r="E28" s="1" t="s">
        <v>405</v>
      </c>
      <c r="F28" s="1" t="str">
        <f>CONCATENATE(E28,": ",B28)</f>
        <v>CDPHE: Measurable Results Program</v>
      </c>
      <c r="G28" s="1" t="s">
        <v>521</v>
      </c>
      <c r="H28" s="9" t="s">
        <v>341</v>
      </c>
      <c r="I28" s="5" t="s">
        <v>570</v>
      </c>
      <c r="J28" s="1" t="s">
        <v>11</v>
      </c>
      <c r="K28" s="1" t="s">
        <v>17</v>
      </c>
      <c r="L28" s="1" t="s">
        <v>33</v>
      </c>
      <c r="M28" s="1" t="s">
        <v>41</v>
      </c>
      <c r="N28" s="1" t="s">
        <v>96</v>
      </c>
      <c r="O28" s="1" t="s">
        <v>119</v>
      </c>
      <c r="P28" s="1" t="s">
        <v>66</v>
      </c>
      <c r="Q28" s="1" t="s">
        <v>123</v>
      </c>
      <c r="R28" s="1" t="s">
        <v>69</v>
      </c>
      <c r="S28" s="1" t="s">
        <v>85</v>
      </c>
      <c r="T28" s="1" t="s">
        <v>33</v>
      </c>
      <c r="U28" s="1" t="s">
        <v>6</v>
      </c>
      <c r="V28" s="1" t="s">
        <v>98</v>
      </c>
    </row>
    <row r="29" spans="1:23" x14ac:dyDescent="0.3">
      <c r="A29" s="1" t="s">
        <v>199</v>
      </c>
      <c r="B29" s="1" t="s">
        <v>573</v>
      </c>
      <c r="C29" s="1" t="s">
        <v>342</v>
      </c>
      <c r="D29" s="1" t="s">
        <v>347</v>
      </c>
      <c r="E29" s="1" t="s">
        <v>405</v>
      </c>
      <c r="F29" s="1" t="str">
        <f>CONCATENATE(E29,": ",B29)</f>
        <v>CDPHE: On Site Wastewater treatment systems</v>
      </c>
      <c r="G29" s="1" t="s">
        <v>521</v>
      </c>
      <c r="H29" s="9" t="s">
        <v>341</v>
      </c>
      <c r="I29" s="5" t="s">
        <v>572</v>
      </c>
      <c r="J29" s="1" t="s">
        <v>11</v>
      </c>
      <c r="K29" s="1" t="s">
        <v>17</v>
      </c>
      <c r="L29" s="1" t="s">
        <v>33</v>
      </c>
      <c r="M29" s="1" t="s">
        <v>41</v>
      </c>
      <c r="N29" s="1" t="s">
        <v>96</v>
      </c>
      <c r="O29" s="1" t="s">
        <v>119</v>
      </c>
      <c r="P29" s="1" t="s">
        <v>66</v>
      </c>
      <c r="Q29" s="1" t="s">
        <v>123</v>
      </c>
      <c r="R29" s="1" t="s">
        <v>69</v>
      </c>
      <c r="S29" s="1" t="s">
        <v>85</v>
      </c>
      <c r="T29" s="1" t="s">
        <v>33</v>
      </c>
      <c r="U29" s="1" t="s">
        <v>99</v>
      </c>
      <c r="V29" s="1" t="s">
        <v>112</v>
      </c>
    </row>
    <row r="30" spans="1:23" x14ac:dyDescent="0.3">
      <c r="A30" s="1" t="s">
        <v>201</v>
      </c>
      <c r="B30" s="1" t="s">
        <v>576</v>
      </c>
      <c r="C30" s="1" t="s">
        <v>345</v>
      </c>
      <c r="D30" s="1" t="s">
        <v>348</v>
      </c>
      <c r="E30" s="1" t="s">
        <v>405</v>
      </c>
      <c r="F30" s="1" t="str">
        <f>CONCATENATE(E30,": ",B30)</f>
        <v>CDPHE: PFAS 2020 Sampling Project</v>
      </c>
      <c r="G30" s="1" t="s">
        <v>521</v>
      </c>
      <c r="H30" s="9" t="s">
        <v>341</v>
      </c>
      <c r="I30" s="5" t="s">
        <v>661</v>
      </c>
      <c r="J30" s="1" t="s">
        <v>11</v>
      </c>
      <c r="K30" s="1" t="s">
        <v>21</v>
      </c>
      <c r="L30" s="1" t="s">
        <v>33</v>
      </c>
      <c r="M30" s="1" t="s">
        <v>737</v>
      </c>
      <c r="N30" s="1" t="s">
        <v>96</v>
      </c>
      <c r="O30" s="1" t="s">
        <v>736</v>
      </c>
      <c r="P30" s="1" t="s">
        <v>64</v>
      </c>
      <c r="Q30" s="1" t="s">
        <v>64</v>
      </c>
      <c r="R30" s="1" t="s">
        <v>64</v>
      </c>
      <c r="S30" s="1" t="s">
        <v>64</v>
      </c>
      <c r="T30" s="1" t="s">
        <v>64</v>
      </c>
      <c r="U30" s="1" t="s">
        <v>103</v>
      </c>
      <c r="V30" s="1" t="s">
        <v>114</v>
      </c>
      <c r="W30" s="1" t="s">
        <v>735</v>
      </c>
    </row>
    <row r="31" spans="1:23" x14ac:dyDescent="0.3">
      <c r="A31" s="1" t="s">
        <v>203</v>
      </c>
      <c r="B31" s="1" t="s">
        <v>579</v>
      </c>
      <c r="C31" s="1" t="s">
        <v>345</v>
      </c>
      <c r="D31" s="1" t="s">
        <v>348</v>
      </c>
      <c r="E31" s="1" t="s">
        <v>405</v>
      </c>
      <c r="F31" s="1" t="str">
        <f>CONCATENATE(E31,": ",B31)</f>
        <v>CDPHE: Consumer Confidence Rule</v>
      </c>
      <c r="G31" s="1" t="s">
        <v>521</v>
      </c>
      <c r="H31" s="9" t="s">
        <v>341</v>
      </c>
      <c r="I31" s="5" t="s">
        <v>580</v>
      </c>
      <c r="J31" s="1" t="s">
        <v>11</v>
      </c>
      <c r="K31" s="1" t="s">
        <v>17</v>
      </c>
      <c r="L31" s="1" t="s">
        <v>33</v>
      </c>
      <c r="M31" s="1" t="s">
        <v>581</v>
      </c>
      <c r="N31" s="1" t="s">
        <v>96</v>
      </c>
      <c r="O31" s="1" t="s">
        <v>126</v>
      </c>
      <c r="P31" s="1" t="s">
        <v>62</v>
      </c>
      <c r="Q31" s="1" t="s">
        <v>123</v>
      </c>
      <c r="R31" s="1" t="s">
        <v>33</v>
      </c>
      <c r="S31" s="1" t="s">
        <v>85</v>
      </c>
      <c r="T31" s="1" t="s">
        <v>33</v>
      </c>
      <c r="U31" s="1" t="s">
        <v>6</v>
      </c>
      <c r="V31" s="1" t="s">
        <v>114</v>
      </c>
    </row>
    <row r="32" spans="1:23" x14ac:dyDescent="0.3">
      <c r="A32" s="1" t="s">
        <v>205</v>
      </c>
      <c r="B32" s="1" t="s">
        <v>583</v>
      </c>
      <c r="C32" s="1" t="s">
        <v>345</v>
      </c>
      <c r="D32" s="1" t="s">
        <v>348</v>
      </c>
      <c r="E32" s="1" t="s">
        <v>405</v>
      </c>
      <c r="F32" s="1" t="str">
        <f>CONCATENATE(E32,": ",B32)</f>
        <v>CDPHE: Web Public Water System and Violation</v>
      </c>
      <c r="G32" s="1" t="s">
        <v>521</v>
      </c>
      <c r="H32" s="9" t="s">
        <v>341</v>
      </c>
      <c r="I32" s="5" t="s">
        <v>584</v>
      </c>
      <c r="J32" s="1" t="s">
        <v>11</v>
      </c>
      <c r="K32" s="1" t="s">
        <v>19</v>
      </c>
      <c r="L32" s="1" t="s">
        <v>33</v>
      </c>
      <c r="M32" s="1" t="s">
        <v>673</v>
      </c>
      <c r="N32" s="1" t="s">
        <v>96</v>
      </c>
      <c r="O32" s="1" t="s">
        <v>738</v>
      </c>
      <c r="P32" s="1" t="s">
        <v>62</v>
      </c>
      <c r="Q32" s="1" t="s">
        <v>123</v>
      </c>
      <c r="R32" s="1" t="s">
        <v>33</v>
      </c>
      <c r="S32" s="1" t="s">
        <v>730</v>
      </c>
      <c r="T32" s="1" t="s">
        <v>62</v>
      </c>
      <c r="U32" s="1" t="s">
        <v>103</v>
      </c>
      <c r="V32" s="1" t="s">
        <v>114</v>
      </c>
    </row>
    <row r="33" spans="1:36" x14ac:dyDescent="0.3">
      <c r="A33" s="1" t="s">
        <v>209</v>
      </c>
      <c r="B33" s="1" t="s">
        <v>740</v>
      </c>
      <c r="C33" s="1" t="s">
        <v>660</v>
      </c>
      <c r="D33" s="1" t="s">
        <v>341</v>
      </c>
      <c r="E33" s="1" t="s">
        <v>405</v>
      </c>
      <c r="F33" s="1" t="str">
        <f>CONCATENATE(E33,": ",B33)</f>
        <v>CDPHE: Environmental Data</v>
      </c>
      <c r="G33" s="1" t="s">
        <v>521</v>
      </c>
      <c r="H33" s="9" t="s">
        <v>341</v>
      </c>
      <c r="I33" s="5" t="s">
        <v>739</v>
      </c>
      <c r="J33" s="1" t="s">
        <v>11</v>
      </c>
      <c r="K33" s="1" t="s">
        <v>17</v>
      </c>
      <c r="L33" s="1" t="s">
        <v>33</v>
      </c>
      <c r="M33" s="1" t="s">
        <v>41</v>
      </c>
      <c r="N33" s="1" t="s">
        <v>96</v>
      </c>
      <c r="O33" s="1" t="s">
        <v>567</v>
      </c>
      <c r="P33" s="1" t="s">
        <v>33</v>
      </c>
      <c r="Q33" s="1" t="s">
        <v>698</v>
      </c>
      <c r="R33" s="1" t="s">
        <v>69</v>
      </c>
      <c r="S33" s="1" t="s">
        <v>741</v>
      </c>
      <c r="T33" s="1" t="s">
        <v>33</v>
      </c>
      <c r="U33" s="1" t="s">
        <v>98</v>
      </c>
      <c r="V33" s="1" t="s">
        <v>112</v>
      </c>
    </row>
    <row r="34" spans="1:36" x14ac:dyDescent="0.3">
      <c r="A34" s="1" t="s">
        <v>217</v>
      </c>
      <c r="B34" s="1" t="s">
        <v>590</v>
      </c>
      <c r="C34" s="1" t="s">
        <v>358</v>
      </c>
      <c r="D34" s="1" t="s">
        <v>372</v>
      </c>
      <c r="E34" s="1" t="s">
        <v>746</v>
      </c>
      <c r="F34" s="1" t="str">
        <f>CONCATENATE(E34,": ",B34)</f>
        <v>PUC: Utility Providers</v>
      </c>
      <c r="G34" s="1" t="s">
        <v>334</v>
      </c>
      <c r="H34" s="9" t="s">
        <v>367</v>
      </c>
      <c r="I34" s="5" t="s">
        <v>591</v>
      </c>
      <c r="J34" s="1" t="s">
        <v>11</v>
      </c>
      <c r="K34" s="1" t="s">
        <v>17</v>
      </c>
      <c r="L34" s="1" t="s">
        <v>33</v>
      </c>
      <c r="M34" s="1" t="s">
        <v>45</v>
      </c>
      <c r="N34" s="1" t="s">
        <v>96</v>
      </c>
      <c r="O34" s="1" t="s">
        <v>119</v>
      </c>
      <c r="P34" s="1" t="s">
        <v>64</v>
      </c>
      <c r="Q34" s="1" t="s">
        <v>64</v>
      </c>
      <c r="R34" s="1" t="s">
        <v>69</v>
      </c>
      <c r="S34" s="1" t="s">
        <v>69</v>
      </c>
      <c r="T34" s="1" t="s">
        <v>69</v>
      </c>
      <c r="U34" s="1" t="s">
        <v>103</v>
      </c>
      <c r="V34" s="1" t="s">
        <v>110</v>
      </c>
    </row>
    <row r="35" spans="1:36" x14ac:dyDescent="0.3">
      <c r="A35" s="1" t="s">
        <v>219</v>
      </c>
      <c r="B35" s="1" t="s">
        <v>593</v>
      </c>
      <c r="C35" s="1" t="s">
        <v>373</v>
      </c>
      <c r="D35" s="1" t="s">
        <v>642</v>
      </c>
      <c r="E35" s="1" t="s">
        <v>747</v>
      </c>
      <c r="F35" s="1" t="str">
        <f>CONCATENATE(E35,": ",B35)</f>
        <v>DOT: Regions Single POA Reports</v>
      </c>
      <c r="G35" s="1" t="s">
        <v>363</v>
      </c>
      <c r="H35" s="9" t="s">
        <v>602</v>
      </c>
      <c r="I35" s="5" t="s">
        <v>594</v>
      </c>
      <c r="J35" s="1" t="s">
        <v>9</v>
      </c>
      <c r="K35" s="1" t="s">
        <v>17</v>
      </c>
      <c r="L35" s="1" t="s">
        <v>33</v>
      </c>
      <c r="M35" s="1" t="s">
        <v>41</v>
      </c>
      <c r="N35" s="1" t="s">
        <v>96</v>
      </c>
      <c r="O35" s="1" t="s">
        <v>119</v>
      </c>
      <c r="P35" s="1" t="s">
        <v>66</v>
      </c>
      <c r="Q35" s="1" t="s">
        <v>123</v>
      </c>
      <c r="R35" s="1" t="s">
        <v>69</v>
      </c>
      <c r="S35" s="1" t="s">
        <v>85</v>
      </c>
      <c r="T35" s="1" t="s">
        <v>78</v>
      </c>
      <c r="U35" s="1" t="s">
        <v>98</v>
      </c>
      <c r="V35" s="1" t="s">
        <v>112</v>
      </c>
    </row>
    <row r="36" spans="1:36" x14ac:dyDescent="0.3">
      <c r="A36" s="1" t="s">
        <v>223</v>
      </c>
      <c r="B36" s="1" t="s">
        <v>595</v>
      </c>
      <c r="C36" s="1" t="s">
        <v>373</v>
      </c>
      <c r="D36" s="1" t="s">
        <v>642</v>
      </c>
      <c r="E36" s="1" t="s">
        <v>747</v>
      </c>
      <c r="F36" s="1" t="str">
        <f>CONCATENATE(E36,": ",B36)</f>
        <v>DOT: Wet Weather Monitoring Program</v>
      </c>
      <c r="G36" s="1" t="s">
        <v>363</v>
      </c>
      <c r="H36" s="9" t="s">
        <v>602</v>
      </c>
      <c r="I36" s="5" t="s">
        <v>596</v>
      </c>
      <c r="J36" s="1" t="s">
        <v>9</v>
      </c>
      <c r="K36" s="1" t="s">
        <v>17</v>
      </c>
      <c r="L36" s="1" t="s">
        <v>33</v>
      </c>
      <c r="M36" s="1" t="s">
        <v>45</v>
      </c>
      <c r="N36" s="1" t="s">
        <v>96</v>
      </c>
      <c r="O36" s="1" t="s">
        <v>567</v>
      </c>
      <c r="P36" s="1" t="s">
        <v>66</v>
      </c>
      <c r="Q36" s="1" t="s">
        <v>123</v>
      </c>
      <c r="R36" s="1" t="s">
        <v>69</v>
      </c>
      <c r="S36" s="1" t="s">
        <v>69</v>
      </c>
      <c r="T36" s="1" t="s">
        <v>78</v>
      </c>
      <c r="U36" s="1" t="s">
        <v>98</v>
      </c>
      <c r="V36" s="1" t="s">
        <v>98</v>
      </c>
    </row>
    <row r="37" spans="1:36" x14ac:dyDescent="0.3">
      <c r="A37" s="40" t="s">
        <v>235</v>
      </c>
      <c r="B37" s="50" t="s">
        <v>587</v>
      </c>
      <c r="C37" s="40" t="s">
        <v>588</v>
      </c>
      <c r="D37" s="40" t="s">
        <v>372</v>
      </c>
      <c r="E37" s="40" t="s">
        <v>746</v>
      </c>
      <c r="F37" s="1" t="str">
        <f>CONCATENATE(E37,": ",B37)</f>
        <v>PUC: Energy and Water Reports to the Legislature</v>
      </c>
      <c r="G37" s="40" t="s">
        <v>334</v>
      </c>
      <c r="H37" s="40" t="s">
        <v>367</v>
      </c>
      <c r="I37" s="41" t="s">
        <v>589</v>
      </c>
      <c r="J37" s="40" t="s">
        <v>11</v>
      </c>
      <c r="K37" s="40" t="s">
        <v>17</v>
      </c>
      <c r="L37" s="40" t="s">
        <v>33</v>
      </c>
      <c r="M37" s="40" t="s">
        <v>41</v>
      </c>
      <c r="N37" s="40"/>
      <c r="O37" s="40" t="s">
        <v>119</v>
      </c>
      <c r="P37" s="40" t="s">
        <v>66</v>
      </c>
      <c r="Q37" s="40" t="s">
        <v>123</v>
      </c>
      <c r="R37" s="40" t="s">
        <v>69</v>
      </c>
      <c r="S37" s="40" t="s">
        <v>85</v>
      </c>
      <c r="T37" s="40" t="s">
        <v>78</v>
      </c>
      <c r="U37" s="40" t="s">
        <v>99</v>
      </c>
      <c r="V37" s="40" t="s">
        <v>112</v>
      </c>
      <c r="W37" s="40"/>
      <c r="X37" s="40"/>
      <c r="Y37" s="40"/>
      <c r="Z37" s="40"/>
      <c r="AA37" s="40"/>
      <c r="AB37" s="40"/>
      <c r="AC37" s="40"/>
      <c r="AD37" s="40"/>
      <c r="AE37" s="40"/>
      <c r="AF37" s="40"/>
      <c r="AG37" s="40"/>
      <c r="AH37" s="40"/>
      <c r="AI37" s="40"/>
      <c r="AJ37" s="40"/>
    </row>
    <row r="43" spans="1:36" x14ac:dyDescent="0.3">
      <c r="H43" s="9"/>
      <c r="I43" s="5"/>
    </row>
    <row r="44" spans="1:36" x14ac:dyDescent="0.3">
      <c r="H44" s="9"/>
      <c r="I44" s="5"/>
    </row>
    <row r="45" spans="1:36" x14ac:dyDescent="0.3">
      <c r="H45" s="9"/>
      <c r="I45" s="5"/>
    </row>
  </sheetData>
  <phoneticPr fontId="11" type="noConversion"/>
  <hyperlinks>
    <hyperlink ref="I2" r:id="rId1"/>
    <hyperlink ref="I3" r:id="rId2"/>
    <hyperlink ref="I6" r:id="rId3"/>
    <hyperlink ref="I11" r:id="rId4"/>
    <hyperlink ref="I12" r:id="rId5"/>
    <hyperlink ref="I7" r:id="rId6"/>
    <hyperlink ref="I13" r:id="rId7"/>
    <hyperlink ref="I14" r:id="rId8"/>
    <hyperlink ref="I15" r:id="rId9"/>
    <hyperlink ref="I17" r:id="rId10"/>
    <hyperlink ref="I18" r:id="rId11"/>
    <hyperlink ref="I20" r:id="rId12"/>
    <hyperlink ref="I22" r:id="rId13"/>
    <hyperlink ref="I19" r:id="rId14"/>
    <hyperlink ref="I21" r:id="rId15"/>
    <hyperlink ref="I23" r:id="rId16"/>
    <hyperlink ref="I10" r:id="rId17"/>
    <hyperlink ref="I4" r:id="rId18" location="/downloads" display="https://cogcc.state.co.us/data2.html - /downloads"/>
    <hyperlink ref="I5" r:id="rId19"/>
    <hyperlink ref="I24" r:id="rId20"/>
    <hyperlink ref="I25" r:id="rId21"/>
    <hyperlink ref="I26" r:id="rId22"/>
    <hyperlink ref="I27" r:id="rId23"/>
    <hyperlink ref="I28" r:id="rId24"/>
    <hyperlink ref="I29" r:id="rId25"/>
    <hyperlink ref="I30" r:id="rId26" display="https://cohealthviz.dphe.state.co.us/t/EnvironmentalEpidemiologyPublic/views/PFAS_PWS_ParticipationDash/PFAS_Sampling_Participation?:origin=card_share_link&amp;:embed=y&amp;:isGuestRedirectFromVizportal=y"/>
    <hyperlink ref="I31" r:id="rId27"/>
    <hyperlink ref="I32" r:id="rId28"/>
    <hyperlink ref="I37" r:id="rId29"/>
    <hyperlink ref="I34" r:id="rId30"/>
    <hyperlink ref="I35" r:id="rId31"/>
    <hyperlink ref="I36" r:id="rId32"/>
  </hyperlinks>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54"/>
  <sheetViews>
    <sheetView topLeftCell="D1" zoomScale="90" zoomScaleNormal="90" workbookViewId="0">
      <pane ySplit="1" topLeftCell="A79" activePane="bottomLeft" state="frozen"/>
      <selection pane="bottomLeft" sqref="A1:N1048576"/>
    </sheetView>
  </sheetViews>
  <sheetFormatPr defaultColWidth="8.796875" defaultRowHeight="15.6" x14ac:dyDescent="0.3"/>
  <cols>
    <col min="1" max="1" width="5.5" style="1" bestFit="1" customWidth="1"/>
    <col min="2" max="2" width="42.19921875" style="1" customWidth="1"/>
    <col min="3" max="4" width="19.796875" style="1" customWidth="1"/>
    <col min="5" max="5" width="13.69921875" style="1" customWidth="1"/>
    <col min="6" max="6" width="14.69921875" style="1" bestFit="1" customWidth="1"/>
    <col min="7" max="7" width="16.796875" style="1" customWidth="1"/>
    <col min="8" max="8" width="13.5" style="1" bestFit="1" customWidth="1"/>
    <col min="9" max="9" width="9.5" style="1" bestFit="1" customWidth="1"/>
    <col min="10" max="12" width="8.796875" style="1"/>
    <col min="13" max="13" width="16.796875" style="1" customWidth="1"/>
    <col min="14" max="16384" width="8.796875" style="1"/>
  </cols>
  <sheetData>
    <row r="1" spans="1:14" x14ac:dyDescent="0.3">
      <c r="A1" s="3" t="s">
        <v>378</v>
      </c>
      <c r="B1" s="7" t="s">
        <v>379</v>
      </c>
      <c r="C1" s="6" t="s">
        <v>258</v>
      </c>
      <c r="D1" s="6" t="s">
        <v>259</v>
      </c>
      <c r="E1" s="7" t="s">
        <v>263</v>
      </c>
      <c r="F1" s="6" t="s">
        <v>466</v>
      </c>
      <c r="G1" s="6" t="s">
        <v>426</v>
      </c>
      <c r="H1" s="6" t="s">
        <v>427</v>
      </c>
      <c r="I1" s="8" t="s">
        <v>425</v>
      </c>
      <c r="J1" s="6" t="s">
        <v>467</v>
      </c>
      <c r="M1" s="1" t="s">
        <v>468</v>
      </c>
      <c r="N1" s="1" t="s">
        <v>469</v>
      </c>
    </row>
    <row r="2" spans="1:14" x14ac:dyDescent="0.3">
      <c r="A2" s="1" t="s">
        <v>141</v>
      </c>
      <c r="B2" s="1" t="s">
        <v>383</v>
      </c>
      <c r="C2" s="1" t="s">
        <v>277</v>
      </c>
      <c r="D2" s="1" t="s">
        <v>272</v>
      </c>
      <c r="E2" s="5" t="s">
        <v>384</v>
      </c>
      <c r="F2" s="1" t="s">
        <v>470</v>
      </c>
      <c r="G2" s="1" t="s">
        <v>449</v>
      </c>
      <c r="H2" s="1" t="str">
        <f>VLOOKUP(G2,dataNodes!$B$2:$C$19,2,FALSE)</f>
        <v>Quantity</v>
      </c>
      <c r="I2" s="1" t="str">
        <f>VLOOKUP(G2,$M$2:$N$20,2,FALSE)</f>
        <v>d10</v>
      </c>
      <c r="M2" s="1" t="str">
        <f>dataNodes!B2</f>
        <v>Built</v>
      </c>
      <c r="N2" s="9" t="str">
        <f>dataNodes!A2</f>
        <v>d01</v>
      </c>
    </row>
    <row r="3" spans="1:14" x14ac:dyDescent="0.3">
      <c r="A3" s="1" t="s">
        <v>141</v>
      </c>
      <c r="B3" s="1" t="s">
        <v>383</v>
      </c>
      <c r="C3" s="1" t="s">
        <v>277</v>
      </c>
      <c r="D3" s="1" t="s">
        <v>272</v>
      </c>
      <c r="E3" s="5" t="s">
        <v>384</v>
      </c>
      <c r="F3" s="1" t="s">
        <v>471</v>
      </c>
      <c r="G3" s="1" t="s">
        <v>447</v>
      </c>
      <c r="H3" s="1" t="str">
        <f>VLOOKUP(G3,dataNodes!$B$2:$C$19,2,FALSE)</f>
        <v>Quantity</v>
      </c>
      <c r="I3" s="1" t="str">
        <f t="shared" ref="I3:I31" si="0">VLOOKUP(G3,$M$2:$N$20,2,FALSE)</f>
        <v>d09</v>
      </c>
      <c r="M3" s="1" t="str">
        <f>dataNodes!B3</f>
        <v>Natural</v>
      </c>
      <c r="N3" s="9" t="str">
        <f>dataNodes!A3</f>
        <v>d02</v>
      </c>
    </row>
    <row r="4" spans="1:14" x14ac:dyDescent="0.3">
      <c r="A4" s="1" t="s">
        <v>141</v>
      </c>
      <c r="B4" s="1" t="s">
        <v>383</v>
      </c>
      <c r="C4" s="1" t="s">
        <v>277</v>
      </c>
      <c r="D4" s="1" t="s">
        <v>272</v>
      </c>
      <c r="E4" s="5" t="s">
        <v>384</v>
      </c>
      <c r="F4" s="1" t="s">
        <v>472</v>
      </c>
      <c r="G4" s="1" t="s">
        <v>443</v>
      </c>
      <c r="H4" s="1" t="str">
        <f>VLOOKUP(G4,dataNodes!$B$2:$C$19,2,FALSE)</f>
        <v>Quantity</v>
      </c>
      <c r="I4" s="1" t="str">
        <f t="shared" si="0"/>
        <v>d07</v>
      </c>
      <c r="M4" s="1" t="str">
        <f>dataNodes!B4</f>
        <v>Quality</v>
      </c>
      <c r="N4" s="9" t="str">
        <f>dataNodes!A4</f>
        <v>d03</v>
      </c>
    </row>
    <row r="5" spans="1:14" x14ac:dyDescent="0.3">
      <c r="A5" s="1" t="s">
        <v>143</v>
      </c>
      <c r="B5" s="1" t="s">
        <v>385</v>
      </c>
      <c r="C5" s="1" t="s">
        <v>288</v>
      </c>
      <c r="D5" s="1" t="s">
        <v>272</v>
      </c>
      <c r="E5" s="5" t="s">
        <v>386</v>
      </c>
      <c r="F5" s="1" t="s">
        <v>473</v>
      </c>
      <c r="G5" s="1" t="s">
        <v>458</v>
      </c>
      <c r="H5" s="1" t="str">
        <f>VLOOKUP(G5,dataNodes!$B$2:$C$19,2,FALSE)</f>
        <v>Use</v>
      </c>
      <c r="I5" s="1" t="str">
        <f t="shared" si="0"/>
        <v>d16</v>
      </c>
      <c r="M5" s="1" t="str">
        <f>dataNodes!B5</f>
        <v>Regulatory</v>
      </c>
      <c r="N5" s="9" t="str">
        <f>dataNodes!A5</f>
        <v>d04</v>
      </c>
    </row>
    <row r="6" spans="1:14" x14ac:dyDescent="0.3">
      <c r="A6" s="1" t="s">
        <v>143</v>
      </c>
      <c r="B6" s="1" t="s">
        <v>385</v>
      </c>
      <c r="C6" s="1" t="s">
        <v>288</v>
      </c>
      <c r="D6" s="1" t="s">
        <v>272</v>
      </c>
      <c r="E6" s="5" t="s">
        <v>386</v>
      </c>
      <c r="F6" s="1" t="s">
        <v>473</v>
      </c>
      <c r="G6" s="1" t="s">
        <v>445</v>
      </c>
      <c r="H6" s="1" t="str">
        <f>VLOOKUP(G6,dataNodes!$B$2:$C$19,2,FALSE)</f>
        <v>Quantity</v>
      </c>
      <c r="I6" s="1" t="str">
        <f t="shared" si="0"/>
        <v>d08</v>
      </c>
      <c r="M6" s="1" t="str">
        <f>dataNodes!B6</f>
        <v>Evapotranspiration</v>
      </c>
      <c r="N6" s="9" t="str">
        <f>dataNodes!A6</f>
        <v>d05</v>
      </c>
    </row>
    <row r="7" spans="1:14" x14ac:dyDescent="0.3">
      <c r="A7" s="1" t="s">
        <v>143</v>
      </c>
      <c r="B7" s="1" t="s">
        <v>385</v>
      </c>
      <c r="C7" s="1" t="s">
        <v>288</v>
      </c>
      <c r="D7" s="1" t="s">
        <v>272</v>
      </c>
      <c r="E7" s="5" t="s">
        <v>386</v>
      </c>
      <c r="F7" s="1" t="s">
        <v>524</v>
      </c>
      <c r="G7" s="1" t="s">
        <v>436</v>
      </c>
      <c r="H7" s="1" t="str">
        <f>VLOOKUP(G7,dataNodes!$B$2:$C$19,2,FALSE)</f>
        <v>Quality</v>
      </c>
      <c r="I7" s="1" t="str">
        <f t="shared" si="0"/>
        <v>d04</v>
      </c>
      <c r="M7" s="1" t="str">
        <f>dataNodes!B7</f>
        <v>Extreme Events</v>
      </c>
      <c r="N7" s="9" t="str">
        <f>dataNodes!A7</f>
        <v>d06</v>
      </c>
    </row>
    <row r="8" spans="1:14" x14ac:dyDescent="0.3">
      <c r="A8" s="1" t="s">
        <v>183</v>
      </c>
      <c r="B8" s="1" t="s">
        <v>526</v>
      </c>
      <c r="C8" s="1" t="s">
        <v>288</v>
      </c>
      <c r="D8" s="1" t="s">
        <v>272</v>
      </c>
      <c r="E8" s="5" t="s">
        <v>527</v>
      </c>
      <c r="F8" s="1" t="s">
        <v>529</v>
      </c>
      <c r="G8" s="1" t="s">
        <v>429</v>
      </c>
      <c r="H8" s="1" t="str">
        <f>VLOOKUP(G8,dataNodes!$B$2:$C$19,2,FALSE)</f>
        <v>Infrastructure</v>
      </c>
      <c r="I8" s="1" t="str">
        <f t="shared" si="0"/>
        <v>d01</v>
      </c>
      <c r="M8" s="1" t="str">
        <f>dataNodes!B8</f>
        <v>Glacial and Snow</v>
      </c>
      <c r="N8" s="9" t="str">
        <f>dataNodes!A8</f>
        <v>d07</v>
      </c>
    </row>
    <row r="9" spans="1:14" x14ac:dyDescent="0.3">
      <c r="A9" s="1" t="s">
        <v>183</v>
      </c>
      <c r="B9" s="1" t="s">
        <v>526</v>
      </c>
      <c r="C9" s="1" t="s">
        <v>288</v>
      </c>
      <c r="D9" s="1" t="s">
        <v>272</v>
      </c>
      <c r="E9" s="5" t="s">
        <v>527</v>
      </c>
      <c r="F9" s="1" t="s">
        <v>530</v>
      </c>
      <c r="G9" s="1" t="s">
        <v>445</v>
      </c>
      <c r="H9" s="1" t="str">
        <f>VLOOKUP(G9,dataNodes!$B$2:$C$19,2,FALSE)</f>
        <v>Quantity</v>
      </c>
      <c r="I9" s="1" t="str">
        <f t="shared" si="0"/>
        <v>d08</v>
      </c>
      <c r="M9" s="1" t="str">
        <f>dataNodes!B9</f>
        <v>Groundwater</v>
      </c>
      <c r="N9" s="9" t="str">
        <f>dataNodes!A9</f>
        <v>d08</v>
      </c>
    </row>
    <row r="10" spans="1:14" x14ac:dyDescent="0.3">
      <c r="A10" s="1" t="s">
        <v>183</v>
      </c>
      <c r="B10" s="1" t="s">
        <v>526</v>
      </c>
      <c r="C10" s="1" t="s">
        <v>288</v>
      </c>
      <c r="D10" s="1" t="s">
        <v>272</v>
      </c>
      <c r="E10" s="5" t="s">
        <v>527</v>
      </c>
      <c r="F10" s="1" t="s">
        <v>524</v>
      </c>
      <c r="G10" s="1" t="s">
        <v>436</v>
      </c>
      <c r="H10" s="1" t="str">
        <f>VLOOKUP(G10,dataNodes!$B$2:$C$19,2,FALSE)</f>
        <v>Quality</v>
      </c>
      <c r="I10" s="1" t="str">
        <f t="shared" si="0"/>
        <v>d04</v>
      </c>
      <c r="M10" s="1" t="str">
        <f>dataNodes!B10</f>
        <v>Meteorology</v>
      </c>
      <c r="N10" s="9" t="str">
        <f>dataNodes!A10</f>
        <v>d09</v>
      </c>
    </row>
    <row r="11" spans="1:14" x14ac:dyDescent="0.3">
      <c r="A11" s="1" t="s">
        <v>183</v>
      </c>
      <c r="B11" s="1" t="s">
        <v>526</v>
      </c>
      <c r="C11" s="1" t="s">
        <v>288</v>
      </c>
      <c r="D11" s="1" t="s">
        <v>272</v>
      </c>
      <c r="E11" s="5" t="s">
        <v>527</v>
      </c>
      <c r="F11" s="1" t="s">
        <v>525</v>
      </c>
      <c r="G11" s="1" t="s">
        <v>458</v>
      </c>
      <c r="H11" s="1" t="str">
        <f>VLOOKUP(G11,dataNodes!$B$2:$C$19,2,FALSE)</f>
        <v>Use</v>
      </c>
      <c r="I11" s="1" t="str">
        <f t="shared" si="0"/>
        <v>d16</v>
      </c>
      <c r="M11" s="1" t="str">
        <f>dataNodes!B11</f>
        <v>Precipitation</v>
      </c>
      <c r="N11" s="9" t="str">
        <f>dataNodes!A11</f>
        <v>d10</v>
      </c>
    </row>
    <row r="12" spans="1:14" x14ac:dyDescent="0.3">
      <c r="A12" s="1" t="s">
        <v>185</v>
      </c>
      <c r="B12" s="1" t="s">
        <v>532</v>
      </c>
      <c r="C12" s="1" t="s">
        <v>288</v>
      </c>
      <c r="D12" s="1" t="s">
        <v>517</v>
      </c>
      <c r="E12" s="5" t="s">
        <v>533</v>
      </c>
      <c r="F12" s="1" t="s">
        <v>534</v>
      </c>
      <c r="G12" s="1" t="s">
        <v>458</v>
      </c>
      <c r="H12" s="1" t="str">
        <f>VLOOKUP(G12,dataNodes!$B$2:$C$19,2,FALSE)</f>
        <v>Use</v>
      </c>
      <c r="I12" s="1" t="str">
        <f t="shared" si="0"/>
        <v>d16</v>
      </c>
      <c r="M12" s="1" t="str">
        <f>dataNodes!B12</f>
        <v>Reservoir</v>
      </c>
      <c r="N12" s="9" t="str">
        <f>dataNodes!A12</f>
        <v>d11</v>
      </c>
    </row>
    <row r="13" spans="1:14" x14ac:dyDescent="0.3">
      <c r="A13" s="1" t="s">
        <v>145</v>
      </c>
      <c r="B13" s="1" t="s">
        <v>387</v>
      </c>
      <c r="C13" s="1" t="s">
        <v>297</v>
      </c>
      <c r="D13" s="1" t="s">
        <v>272</v>
      </c>
      <c r="E13" s="5" t="s">
        <v>474</v>
      </c>
      <c r="F13" s="1" t="s">
        <v>475</v>
      </c>
      <c r="G13" s="1" t="s">
        <v>447</v>
      </c>
      <c r="H13" s="1" t="str">
        <f>VLOOKUP(G13,dataNodes!$B$2:$C$19,2,FALSE)</f>
        <v>Quantity</v>
      </c>
      <c r="I13" s="1" t="str">
        <f t="shared" si="0"/>
        <v>d09</v>
      </c>
      <c r="M13" s="1" t="str">
        <f>dataNodes!B13</f>
        <v>Soil</v>
      </c>
      <c r="N13" s="9" t="str">
        <f>dataNodes!A13</f>
        <v>d12</v>
      </c>
    </row>
    <row r="14" spans="1:14" x14ac:dyDescent="0.3">
      <c r="A14" s="1" t="s">
        <v>145</v>
      </c>
      <c r="B14" s="1" t="s">
        <v>387</v>
      </c>
      <c r="C14" s="1" t="s">
        <v>297</v>
      </c>
      <c r="D14" s="1" t="s">
        <v>272</v>
      </c>
      <c r="E14" s="5" t="s">
        <v>474</v>
      </c>
      <c r="F14" s="1" t="s">
        <v>476</v>
      </c>
      <c r="G14" s="1" t="s">
        <v>429</v>
      </c>
      <c r="H14" s="1" t="str">
        <f>VLOOKUP(G14,dataNodes!$B$2:$C$19,2,FALSE)</f>
        <v>Infrastructure</v>
      </c>
      <c r="I14" s="1" t="str">
        <f t="shared" si="0"/>
        <v>d01</v>
      </c>
      <c r="M14" s="1" t="str">
        <f>dataNodes!B14</f>
        <v>Surface Water</v>
      </c>
      <c r="N14" s="9" t="str">
        <f>dataNodes!A14</f>
        <v>d13</v>
      </c>
    </row>
    <row r="15" spans="1:14" x14ac:dyDescent="0.3">
      <c r="A15" s="1" t="s">
        <v>145</v>
      </c>
      <c r="B15" s="1" t="s">
        <v>387</v>
      </c>
      <c r="C15" s="1" t="s">
        <v>297</v>
      </c>
      <c r="D15" s="1" t="s">
        <v>272</v>
      </c>
      <c r="E15" s="5" t="s">
        <v>474</v>
      </c>
      <c r="F15" s="1" t="s">
        <v>477</v>
      </c>
      <c r="G15" s="1" t="s">
        <v>455</v>
      </c>
      <c r="H15" s="1" t="str">
        <f>VLOOKUP(G15,dataNodes!$B$2:$C$19,2,FALSE)</f>
        <v>Quantity</v>
      </c>
      <c r="I15" s="1" t="str">
        <f t="shared" si="0"/>
        <v>d13</v>
      </c>
      <c r="M15" s="1" t="str">
        <f>dataNodes!B15</f>
        <v>Hydropower</v>
      </c>
      <c r="N15" s="9" t="str">
        <f>dataNodes!A15</f>
        <v>d14</v>
      </c>
    </row>
    <row r="16" spans="1:14" x14ac:dyDescent="0.3">
      <c r="A16" s="1" t="s">
        <v>145</v>
      </c>
      <c r="B16" s="1" t="s">
        <v>387</v>
      </c>
      <c r="C16" s="1" t="s">
        <v>297</v>
      </c>
      <c r="D16" s="1" t="s">
        <v>272</v>
      </c>
      <c r="E16" s="5" t="s">
        <v>474</v>
      </c>
      <c r="F16" s="1" t="s">
        <v>478</v>
      </c>
      <c r="G16" s="1" t="s">
        <v>445</v>
      </c>
      <c r="H16" s="1" t="str">
        <f>VLOOKUP(G16,dataNodes!$B$2:$C$19,2,FALSE)</f>
        <v>Quantity</v>
      </c>
      <c r="I16" s="1" t="str">
        <f t="shared" si="0"/>
        <v>d08</v>
      </c>
      <c r="M16" s="1" t="str">
        <f>dataNodes!B16</f>
        <v>Irrigation</v>
      </c>
      <c r="N16" s="9" t="str">
        <f>dataNodes!A16</f>
        <v>d15</v>
      </c>
    </row>
    <row r="17" spans="1:14" x14ac:dyDescent="0.3">
      <c r="A17" s="1" t="s">
        <v>145</v>
      </c>
      <c r="B17" s="1" t="s">
        <v>387</v>
      </c>
      <c r="C17" s="1" t="s">
        <v>297</v>
      </c>
      <c r="D17" s="1" t="s">
        <v>272</v>
      </c>
      <c r="E17" s="5" t="s">
        <v>474</v>
      </c>
      <c r="F17" s="1" t="s">
        <v>479</v>
      </c>
      <c r="G17" s="1" t="s">
        <v>443</v>
      </c>
      <c r="H17" s="1" t="str">
        <f>VLOOKUP(G17,dataNodes!$B$2:$C$19,2,FALSE)</f>
        <v>Quantity</v>
      </c>
      <c r="I17" s="1" t="str">
        <f t="shared" si="0"/>
        <v>d07</v>
      </c>
      <c r="M17" s="1" t="str">
        <f>dataNodes!B17</f>
        <v>Use</v>
      </c>
      <c r="N17" s="9" t="str">
        <f>dataNodes!A17</f>
        <v>d16</v>
      </c>
    </row>
    <row r="18" spans="1:14" x14ac:dyDescent="0.3">
      <c r="A18" s="1" t="s">
        <v>145</v>
      </c>
      <c r="B18" s="1" t="s">
        <v>387</v>
      </c>
      <c r="C18" s="1" t="s">
        <v>297</v>
      </c>
      <c r="D18" s="1" t="s">
        <v>272</v>
      </c>
      <c r="E18" s="5" t="s">
        <v>474</v>
      </c>
      <c r="F18" s="1" t="s">
        <v>480</v>
      </c>
      <c r="G18" s="1" t="s">
        <v>449</v>
      </c>
      <c r="H18" s="1" t="str">
        <f>VLOOKUP(G18,dataNodes!$B$2:$C$19,2,FALSE)</f>
        <v>Quantity</v>
      </c>
      <c r="I18" s="1" t="str">
        <f t="shared" si="0"/>
        <v>d10</v>
      </c>
      <c r="M18" s="1" t="str">
        <f>dataNodes!B18</f>
        <v>Utilities</v>
      </c>
      <c r="N18" s="9" t="str">
        <f>dataNodes!A18</f>
        <v>d17</v>
      </c>
    </row>
    <row r="19" spans="1:14" x14ac:dyDescent="0.3">
      <c r="A19" s="1" t="s">
        <v>145</v>
      </c>
      <c r="B19" s="1" t="s">
        <v>387</v>
      </c>
      <c r="C19" s="1" t="s">
        <v>297</v>
      </c>
      <c r="D19" s="1" t="s">
        <v>272</v>
      </c>
      <c r="E19" s="5" t="s">
        <v>474</v>
      </c>
      <c r="F19" s="1" t="s">
        <v>481</v>
      </c>
      <c r="G19" s="1" t="s">
        <v>460</v>
      </c>
      <c r="H19" s="1" t="str">
        <f>VLOOKUP(G19,dataNodes!$B$2:$C$19,2,FALSE)</f>
        <v>Use</v>
      </c>
      <c r="I19" s="1" t="str">
        <f t="shared" si="0"/>
        <v>d15</v>
      </c>
      <c r="M19" s="1" t="str">
        <f>dataNodes!B19</f>
        <v>Management Plans</v>
      </c>
      <c r="N19" s="9" t="str">
        <f>dataNodes!A19</f>
        <v>d18</v>
      </c>
    </row>
    <row r="20" spans="1:14" x14ac:dyDescent="0.3">
      <c r="A20" s="1" t="s">
        <v>145</v>
      </c>
      <c r="B20" s="1" t="s">
        <v>387</v>
      </c>
      <c r="C20" s="1" t="s">
        <v>297</v>
      </c>
      <c r="D20" s="1" t="s">
        <v>272</v>
      </c>
      <c r="E20" s="5" t="s">
        <v>474</v>
      </c>
      <c r="F20" s="1" t="s">
        <v>482</v>
      </c>
      <c r="G20" s="1" t="s">
        <v>438</v>
      </c>
      <c r="H20" s="1" t="str">
        <f>VLOOKUP(G20,dataNodes!$B$2:$C$19,2,FALSE)</f>
        <v>Quantity</v>
      </c>
      <c r="I20" s="1" t="str">
        <f t="shared" si="0"/>
        <v>d05</v>
      </c>
      <c r="N20" s="9"/>
    </row>
    <row r="21" spans="1:14" x14ac:dyDescent="0.3">
      <c r="A21" s="1" t="s">
        <v>145</v>
      </c>
      <c r="B21" s="1" t="s">
        <v>387</v>
      </c>
      <c r="C21" s="1" t="s">
        <v>297</v>
      </c>
      <c r="D21" s="1" t="s">
        <v>272</v>
      </c>
      <c r="E21" s="5" t="s">
        <v>474</v>
      </c>
      <c r="F21" s="1" t="s">
        <v>676</v>
      </c>
      <c r="G21" s="1" t="s">
        <v>432</v>
      </c>
      <c r="H21" s="1" t="str">
        <f>VLOOKUP(G21,dataNodes!$B$2:$C$19,2,FALSE)</f>
        <v>Infrastructure</v>
      </c>
      <c r="I21" s="1" t="str">
        <f t="shared" si="0"/>
        <v>d02</v>
      </c>
    </row>
    <row r="22" spans="1:14" x14ac:dyDescent="0.3">
      <c r="A22" s="1" t="s">
        <v>145</v>
      </c>
      <c r="B22" s="1" t="s">
        <v>387</v>
      </c>
      <c r="C22" s="1" t="s">
        <v>297</v>
      </c>
      <c r="D22" s="1" t="s">
        <v>272</v>
      </c>
      <c r="E22" s="5" t="s">
        <v>474</v>
      </c>
      <c r="F22" s="1" t="s">
        <v>536</v>
      </c>
      <c r="G22" s="1" t="s">
        <v>436</v>
      </c>
      <c r="H22" s="1" t="str">
        <f>VLOOKUP(G22,dataNodes!$B$2:$C$19,2,FALSE)</f>
        <v>Quality</v>
      </c>
      <c r="I22" s="1" t="str">
        <f t="shared" si="0"/>
        <v>d04</v>
      </c>
    </row>
    <row r="23" spans="1:14" x14ac:dyDescent="0.3">
      <c r="A23" s="1" t="s">
        <v>147</v>
      </c>
      <c r="B23" s="1" t="s">
        <v>389</v>
      </c>
      <c r="C23" s="1" t="s">
        <v>301</v>
      </c>
      <c r="D23" s="1" t="s">
        <v>272</v>
      </c>
      <c r="E23" s="5" t="s">
        <v>390</v>
      </c>
      <c r="F23" s="1" t="s">
        <v>485</v>
      </c>
      <c r="G23" s="1" t="s">
        <v>465</v>
      </c>
      <c r="H23" s="1" t="str">
        <f>VLOOKUP(G23,dataNodes!$B$2:$C$19,2,FALSE)</f>
        <v>Use</v>
      </c>
      <c r="I23" s="1" t="str">
        <f t="shared" si="0"/>
        <v>d18</v>
      </c>
    </row>
    <row r="24" spans="1:14" x14ac:dyDescent="0.3">
      <c r="A24" s="1" t="s">
        <v>147</v>
      </c>
      <c r="B24" s="1" t="s">
        <v>389</v>
      </c>
      <c r="C24" s="1" t="s">
        <v>301</v>
      </c>
      <c r="D24" s="1" t="s">
        <v>272</v>
      </c>
      <c r="E24" s="5" t="s">
        <v>390</v>
      </c>
      <c r="F24" s="1" t="s">
        <v>478</v>
      </c>
      <c r="G24" s="1" t="s">
        <v>445</v>
      </c>
      <c r="H24" s="1" t="str">
        <f>VLOOKUP(G24,dataNodes!$B$2:$C$19,2,FALSE)</f>
        <v>Quantity</v>
      </c>
      <c r="I24" s="1" t="str">
        <f t="shared" si="0"/>
        <v>d08</v>
      </c>
    </row>
    <row r="25" spans="1:14" x14ac:dyDescent="0.3">
      <c r="A25" s="1" t="s">
        <v>147</v>
      </c>
      <c r="B25" s="1" t="s">
        <v>389</v>
      </c>
      <c r="C25" s="1" t="s">
        <v>301</v>
      </c>
      <c r="D25" s="1" t="s">
        <v>272</v>
      </c>
      <c r="E25" s="5" t="s">
        <v>390</v>
      </c>
      <c r="F25" s="1" t="s">
        <v>486</v>
      </c>
      <c r="G25" s="1" t="s">
        <v>458</v>
      </c>
      <c r="H25" s="1" t="str">
        <f>VLOOKUP(G25,dataNodes!$B$2:$C$19,2,FALSE)</f>
        <v>Use</v>
      </c>
      <c r="I25" s="1" t="str">
        <f t="shared" si="0"/>
        <v>d16</v>
      </c>
    </row>
    <row r="26" spans="1:14" x14ac:dyDescent="0.3">
      <c r="A26" s="1" t="s">
        <v>179</v>
      </c>
      <c r="B26" s="1" t="s">
        <v>422</v>
      </c>
      <c r="C26" s="1" t="s">
        <v>297</v>
      </c>
      <c r="D26" s="1" t="s">
        <v>272</v>
      </c>
      <c r="E26" s="5" t="s">
        <v>511</v>
      </c>
      <c r="F26" s="1" t="s">
        <v>512</v>
      </c>
      <c r="G26" s="1" t="s">
        <v>455</v>
      </c>
      <c r="H26" s="1" t="str">
        <f>VLOOKUP(G26,dataNodes!$B$2:$C$19,2,FALSE)</f>
        <v>Quantity</v>
      </c>
      <c r="I26" s="1" t="str">
        <f t="shared" si="0"/>
        <v>d13</v>
      </c>
    </row>
    <row r="27" spans="1:14" x14ac:dyDescent="0.3">
      <c r="A27" s="1" t="s">
        <v>179</v>
      </c>
      <c r="B27" s="1" t="s">
        <v>422</v>
      </c>
      <c r="C27" s="1" t="s">
        <v>297</v>
      </c>
      <c r="D27" s="1" t="s">
        <v>272</v>
      </c>
      <c r="E27" s="5" t="s">
        <v>511</v>
      </c>
      <c r="F27" s="1" t="s">
        <v>512</v>
      </c>
      <c r="G27" s="1" t="s">
        <v>451</v>
      </c>
      <c r="H27" s="1" t="str">
        <f>VLOOKUP(G27,dataNodes!$B$2:$C$19,2,FALSE)</f>
        <v>Quantity</v>
      </c>
      <c r="I27" s="1" t="str">
        <f t="shared" si="0"/>
        <v>d11</v>
      </c>
    </row>
    <row r="28" spans="1:14" x14ac:dyDescent="0.3">
      <c r="A28" s="1" t="s">
        <v>181</v>
      </c>
      <c r="B28" s="1" t="s">
        <v>424</v>
      </c>
      <c r="C28" s="1" t="s">
        <v>297</v>
      </c>
      <c r="D28" s="1" t="s">
        <v>272</v>
      </c>
      <c r="E28" s="5" t="s">
        <v>513</v>
      </c>
      <c r="F28" s="1" t="s">
        <v>514</v>
      </c>
      <c r="G28" s="1" t="s">
        <v>455</v>
      </c>
      <c r="H28" s="1" t="str">
        <f>VLOOKUP(G28,dataNodes!$B$2:$C$19,2,FALSE)</f>
        <v>Quantity</v>
      </c>
      <c r="I28" s="1" t="str">
        <f t="shared" si="0"/>
        <v>d13</v>
      </c>
    </row>
    <row r="29" spans="1:14" x14ac:dyDescent="0.3">
      <c r="A29" s="1" t="s">
        <v>181</v>
      </c>
      <c r="B29" s="1" t="s">
        <v>424</v>
      </c>
      <c r="C29" s="1" t="s">
        <v>297</v>
      </c>
      <c r="D29" s="1" t="s">
        <v>272</v>
      </c>
      <c r="E29" s="5" t="s">
        <v>513</v>
      </c>
      <c r="F29" s="1" t="s">
        <v>515</v>
      </c>
      <c r="G29" s="1" t="s">
        <v>458</v>
      </c>
      <c r="H29" s="1" t="str">
        <f>VLOOKUP(G29,dataNodes!$B$2:$C$19,2,FALSE)</f>
        <v>Use</v>
      </c>
      <c r="I29" s="1" t="str">
        <f t="shared" si="0"/>
        <v>d16</v>
      </c>
    </row>
    <row r="30" spans="1:14" x14ac:dyDescent="0.3">
      <c r="A30" s="1" t="s">
        <v>181</v>
      </c>
      <c r="B30" s="1" t="s">
        <v>424</v>
      </c>
      <c r="C30" s="1" t="s">
        <v>297</v>
      </c>
      <c r="D30" s="1" t="s">
        <v>272</v>
      </c>
      <c r="E30" s="5" t="s">
        <v>513</v>
      </c>
      <c r="F30" s="1" t="s">
        <v>516</v>
      </c>
      <c r="G30" s="1" t="s">
        <v>445</v>
      </c>
      <c r="H30" s="1" t="str">
        <f>VLOOKUP(G30,dataNodes!$B$2:$C$19,2,FALSE)</f>
        <v>Quantity</v>
      </c>
      <c r="I30" s="1" t="str">
        <f t="shared" si="0"/>
        <v>d08</v>
      </c>
    </row>
    <row r="31" spans="1:14" x14ac:dyDescent="0.3">
      <c r="A31" s="1" t="s">
        <v>149</v>
      </c>
      <c r="B31" s="1" t="s">
        <v>391</v>
      </c>
      <c r="C31" s="1" t="s">
        <v>305</v>
      </c>
      <c r="D31" s="1" t="s">
        <v>305</v>
      </c>
      <c r="E31" s="5" t="s">
        <v>392</v>
      </c>
      <c r="F31" s="1" t="s">
        <v>480</v>
      </c>
      <c r="G31" s="1" t="s">
        <v>449</v>
      </c>
      <c r="H31" s="1" t="str">
        <f>VLOOKUP(G31,dataNodes!$B$2:$C$19,2,FALSE)</f>
        <v>Quantity</v>
      </c>
      <c r="I31" s="1" t="str">
        <f>VLOOKUP(G31,$M$2:$N$20,2,FALSE)</f>
        <v>d10</v>
      </c>
    </row>
    <row r="32" spans="1:14" x14ac:dyDescent="0.3">
      <c r="A32" s="1" t="s">
        <v>151</v>
      </c>
      <c r="B32" s="1" t="s">
        <v>393</v>
      </c>
      <c r="C32" s="1" t="s">
        <v>342</v>
      </c>
      <c r="D32" s="1" t="s">
        <v>305</v>
      </c>
      <c r="E32" s="5" t="s">
        <v>394</v>
      </c>
      <c r="F32" s="1" t="s">
        <v>538</v>
      </c>
      <c r="G32" s="1" t="s">
        <v>432</v>
      </c>
      <c r="H32" s="1" t="str">
        <f>VLOOKUP(G32,dataNodes!$B$2:$C$19,2,FALSE)</f>
        <v>Infrastructure</v>
      </c>
      <c r="I32" s="1" t="str">
        <f>VLOOKUP(G32,$M$2:$N$20,2,FALSE)</f>
        <v>d02</v>
      </c>
      <c r="N32" s="9"/>
    </row>
    <row r="33" spans="1:14" x14ac:dyDescent="0.3">
      <c r="A33" s="1" t="s">
        <v>151</v>
      </c>
      <c r="B33" s="1" t="s">
        <v>393</v>
      </c>
      <c r="C33" s="1" t="s">
        <v>342</v>
      </c>
      <c r="D33" s="1" t="s">
        <v>305</v>
      </c>
      <c r="E33" s="5" t="s">
        <v>394</v>
      </c>
      <c r="F33" s="1" t="s">
        <v>483</v>
      </c>
      <c r="G33" s="1" t="s">
        <v>434</v>
      </c>
      <c r="H33" s="1" t="str">
        <f>VLOOKUP(G33,dataNodes!$B$2:$C$19,2,FALSE)</f>
        <v>Quality</v>
      </c>
      <c r="I33" s="1" t="str">
        <f>VLOOKUP(G33,$M$2:$N$20,2,FALSE)</f>
        <v>d03</v>
      </c>
      <c r="N33" s="9"/>
    </row>
    <row r="34" spans="1:14" x14ac:dyDescent="0.3">
      <c r="A34" s="1" t="s">
        <v>151</v>
      </c>
      <c r="B34" s="1" t="s">
        <v>393</v>
      </c>
      <c r="C34" s="1" t="s">
        <v>342</v>
      </c>
      <c r="D34" s="1" t="s">
        <v>305</v>
      </c>
      <c r="E34" s="5" t="s">
        <v>394</v>
      </c>
      <c r="F34" s="1" t="s">
        <v>484</v>
      </c>
      <c r="G34" s="1" t="s">
        <v>455</v>
      </c>
      <c r="H34" s="1" t="str">
        <f>VLOOKUP(G34,dataNodes!$B$2:$C$19,2,FALSE)</f>
        <v>Quantity</v>
      </c>
      <c r="I34" s="1" t="str">
        <f t="shared" ref="I34:I45" si="1">VLOOKUP(G34,$M$2:$N$20,2,FALSE)</f>
        <v>d13</v>
      </c>
      <c r="N34" s="9"/>
    </row>
    <row r="35" spans="1:14" x14ac:dyDescent="0.3">
      <c r="A35" s="1" t="s">
        <v>153</v>
      </c>
      <c r="B35" s="1" t="s">
        <v>395</v>
      </c>
      <c r="C35" s="1" t="str">
        <f>platformNodes!$C$13</f>
        <v>Clean Water Program</v>
      </c>
      <c r="D35" s="1" t="str">
        <f>$D$31</f>
        <v xml:space="preserve">Department of Public Health &amp; Environment </v>
      </c>
      <c r="E35" s="5" t="s">
        <v>487</v>
      </c>
      <c r="F35" s="1" t="s">
        <v>488</v>
      </c>
      <c r="G35" s="1" t="s">
        <v>453</v>
      </c>
      <c r="H35" s="1" t="str">
        <f>VLOOKUP(G35,dataNodes!$B$2:$C$19,2,FALSE)</f>
        <v>Quantity</v>
      </c>
      <c r="I35" s="1" t="str">
        <f t="shared" si="1"/>
        <v>d12</v>
      </c>
      <c r="N35" s="9"/>
    </row>
    <row r="36" spans="1:14" x14ac:dyDescent="0.3">
      <c r="A36" s="1" t="s">
        <v>153</v>
      </c>
      <c r="B36" s="1" t="s">
        <v>395</v>
      </c>
      <c r="C36" s="1" t="str">
        <f>platformNodes!$C$13</f>
        <v>Clean Water Program</v>
      </c>
      <c r="D36" s="1" t="str">
        <f>$D$31</f>
        <v xml:space="preserve">Department of Public Health &amp; Environment </v>
      </c>
      <c r="E36" s="5" t="s">
        <v>487</v>
      </c>
      <c r="F36" s="1" t="s">
        <v>489</v>
      </c>
      <c r="G36" s="1" t="s">
        <v>429</v>
      </c>
      <c r="H36" s="1" t="str">
        <f>VLOOKUP(G36,dataNodes!$B$2:$C$19,2,FALSE)</f>
        <v>Infrastructure</v>
      </c>
      <c r="I36" s="1" t="str">
        <f t="shared" si="1"/>
        <v>d01</v>
      </c>
      <c r="N36" s="9"/>
    </row>
    <row r="37" spans="1:14" x14ac:dyDescent="0.3">
      <c r="A37" s="1" t="s">
        <v>153</v>
      </c>
      <c r="B37" s="1" t="s">
        <v>395</v>
      </c>
      <c r="C37" s="1" t="str">
        <f>platformNodes!$C$13</f>
        <v>Clean Water Program</v>
      </c>
      <c r="D37" s="1" t="str">
        <f>$D$31</f>
        <v xml:space="preserve">Department of Public Health &amp; Environment </v>
      </c>
      <c r="E37" s="5" t="s">
        <v>487</v>
      </c>
      <c r="F37" s="1" t="s">
        <v>713</v>
      </c>
      <c r="G37" s="1" t="s">
        <v>458</v>
      </c>
      <c r="H37" s="1" t="str">
        <f>VLOOKUP(G37,dataNodes!$B$2:$C$19,2,FALSE)</f>
        <v>Use</v>
      </c>
      <c r="I37" s="1" t="str">
        <f t="shared" si="1"/>
        <v>d16</v>
      </c>
      <c r="N37" s="9"/>
    </row>
    <row r="38" spans="1:14" x14ac:dyDescent="0.3">
      <c r="A38" s="1" t="s">
        <v>153</v>
      </c>
      <c r="B38" s="1" t="s">
        <v>395</v>
      </c>
      <c r="C38" s="1" t="str">
        <f>platformNodes!$C$13</f>
        <v>Clean Water Program</v>
      </c>
      <c r="D38" s="1" t="str">
        <f>$D$31</f>
        <v xml:space="preserve">Department of Public Health &amp; Environment </v>
      </c>
      <c r="E38" s="5" t="s">
        <v>487</v>
      </c>
      <c r="F38" s="1" t="s">
        <v>715</v>
      </c>
      <c r="G38" s="1" t="s">
        <v>432</v>
      </c>
      <c r="H38" s="1" t="str">
        <f>VLOOKUP(G38,dataNodes!$B$2:$C$19,2,FALSE)</f>
        <v>Infrastructure</v>
      </c>
      <c r="I38" s="1" t="str">
        <f t="shared" si="1"/>
        <v>d02</v>
      </c>
    </row>
    <row r="39" spans="1:14" x14ac:dyDescent="0.3">
      <c r="A39" s="1" t="s">
        <v>153</v>
      </c>
      <c r="B39" s="1" t="s">
        <v>395</v>
      </c>
      <c r="C39" s="1" t="str">
        <f>platformNodes!$C$13</f>
        <v>Clean Water Program</v>
      </c>
      <c r="D39" s="1" t="str">
        <f>$D$31</f>
        <v xml:space="preserve">Department of Public Health &amp; Environment </v>
      </c>
      <c r="E39" s="5" t="s">
        <v>487</v>
      </c>
      <c r="F39" s="1" t="s">
        <v>539</v>
      </c>
      <c r="G39" s="1" t="s">
        <v>434</v>
      </c>
      <c r="H39" s="1" t="str">
        <f>VLOOKUP(G39,dataNodes!$B$2:$C$19,2,FALSE)</f>
        <v>Quality</v>
      </c>
      <c r="I39" s="1" t="str">
        <f t="shared" si="1"/>
        <v>d03</v>
      </c>
    </row>
    <row r="40" spans="1:14" x14ac:dyDescent="0.3">
      <c r="A40" s="1" t="s">
        <v>153</v>
      </c>
      <c r="B40" s="1" t="s">
        <v>395</v>
      </c>
      <c r="C40" s="1" t="str">
        <f>platformNodes!$C$13</f>
        <v>Clean Water Program</v>
      </c>
      <c r="D40" s="1" t="str">
        <f>$D$31</f>
        <v xml:space="preserve">Department of Public Health &amp; Environment </v>
      </c>
      <c r="E40" s="5" t="s">
        <v>487</v>
      </c>
      <c r="F40" s="1" t="s">
        <v>711</v>
      </c>
      <c r="G40" s="1" t="s">
        <v>455</v>
      </c>
      <c r="H40" s="1" t="str">
        <f>VLOOKUP(G40,dataNodes!$B$2:$C$19,2,FALSE)</f>
        <v>Quantity</v>
      </c>
      <c r="I40" s="1" t="str">
        <f t="shared" si="1"/>
        <v>d13</v>
      </c>
    </row>
    <row r="41" spans="1:14" x14ac:dyDescent="0.3">
      <c r="A41" s="1" t="s">
        <v>153</v>
      </c>
      <c r="B41" s="1" t="s">
        <v>395</v>
      </c>
      <c r="C41" s="1" t="str">
        <f>platformNodes!$C$13</f>
        <v>Clean Water Program</v>
      </c>
      <c r="D41" s="1" t="str">
        <f>$D$31</f>
        <v xml:space="preserve">Department of Public Health &amp; Environment </v>
      </c>
      <c r="E41" s="5" t="s">
        <v>487</v>
      </c>
      <c r="F41" s="1" t="s">
        <v>712</v>
      </c>
      <c r="G41" s="1" t="s">
        <v>441</v>
      </c>
      <c r="H41" s="1" t="str">
        <f>VLOOKUP(G41,dataNodes!$B$2:$C$19,2,FALSE)</f>
        <v>Quantity</v>
      </c>
      <c r="I41" s="1" t="str">
        <f t="shared" si="1"/>
        <v>d06</v>
      </c>
    </row>
    <row r="42" spans="1:14" x14ac:dyDescent="0.3">
      <c r="A42" s="1" t="s">
        <v>153</v>
      </c>
      <c r="B42" s="1" t="s">
        <v>395</v>
      </c>
      <c r="C42" s="1" t="str">
        <f>platformNodes!$C$13</f>
        <v>Clean Water Program</v>
      </c>
      <c r="D42" s="1" t="str">
        <f>$D$31</f>
        <v xml:space="preserve">Department of Public Health &amp; Environment </v>
      </c>
      <c r="E42" s="5" t="s">
        <v>487</v>
      </c>
      <c r="F42" s="1" t="s">
        <v>714</v>
      </c>
      <c r="G42" s="1" t="s">
        <v>436</v>
      </c>
      <c r="H42" s="1" t="str">
        <f>VLOOKUP(G42,dataNodes!$B$2:$C$19,2,FALSE)</f>
        <v>Quality</v>
      </c>
      <c r="I42" s="1" t="str">
        <f t="shared" si="1"/>
        <v>d04</v>
      </c>
    </row>
    <row r="43" spans="1:14" x14ac:dyDescent="0.3">
      <c r="A43" s="1" t="s">
        <v>153</v>
      </c>
      <c r="B43" s="1" t="s">
        <v>395</v>
      </c>
      <c r="C43" s="1" t="str">
        <f>platformNodes!$C$13</f>
        <v>Clean Water Program</v>
      </c>
      <c r="D43" s="1" t="str">
        <f>$D$31</f>
        <v xml:space="preserve">Department of Public Health &amp; Environment </v>
      </c>
      <c r="E43" s="5" t="s">
        <v>487</v>
      </c>
      <c r="F43" s="1" t="s">
        <v>716</v>
      </c>
      <c r="G43" s="1" t="s">
        <v>443</v>
      </c>
      <c r="H43" s="1" t="str">
        <f>VLOOKUP(G43,dataNodes!$B$2:$C$19,2,FALSE)</f>
        <v>Quantity</v>
      </c>
      <c r="I43" s="1" t="str">
        <f t="shared" si="1"/>
        <v>d07</v>
      </c>
    </row>
    <row r="44" spans="1:14" x14ac:dyDescent="0.3">
      <c r="A44" s="1" t="s">
        <v>153</v>
      </c>
      <c r="B44" s="1" t="s">
        <v>395</v>
      </c>
      <c r="C44" s="1" t="str">
        <f>platformNodes!$C$13</f>
        <v>Clean Water Program</v>
      </c>
      <c r="D44" s="1" t="str">
        <f>$D$31</f>
        <v xml:space="preserve">Department of Public Health &amp; Environment </v>
      </c>
      <c r="E44" s="5" t="s">
        <v>487</v>
      </c>
      <c r="F44" s="1" t="s">
        <v>717</v>
      </c>
      <c r="G44" s="1" t="s">
        <v>449</v>
      </c>
      <c r="H44" s="1" t="str">
        <f>VLOOKUP(G44,dataNodes!$B$2:$C$19,2,FALSE)</f>
        <v>Quantity</v>
      </c>
      <c r="I44" s="1" t="str">
        <f t="shared" si="1"/>
        <v>d10</v>
      </c>
    </row>
    <row r="45" spans="1:14" x14ac:dyDescent="0.3">
      <c r="A45" s="1" t="s">
        <v>153</v>
      </c>
      <c r="B45" s="1" t="s">
        <v>395</v>
      </c>
      <c r="C45" s="1" t="str">
        <f>platformNodes!$C$13</f>
        <v>Clean Water Program</v>
      </c>
      <c r="D45" s="1" t="str">
        <f>$D$31</f>
        <v xml:space="preserve">Department of Public Health &amp; Environment </v>
      </c>
      <c r="E45" s="5" t="s">
        <v>487</v>
      </c>
      <c r="F45" s="1" t="s">
        <v>718</v>
      </c>
      <c r="G45" s="1" t="s">
        <v>447</v>
      </c>
      <c r="H45" s="1" t="str">
        <f>VLOOKUP(G45,dataNodes!$B$2:$C$19,2,FALSE)</f>
        <v>Quantity</v>
      </c>
      <c r="I45" s="1" t="str">
        <f t="shared" si="1"/>
        <v>d09</v>
      </c>
    </row>
    <row r="46" spans="1:14" x14ac:dyDescent="0.3">
      <c r="A46" s="1" t="s">
        <v>157</v>
      </c>
      <c r="B46" s="1" t="s">
        <v>397</v>
      </c>
      <c r="C46" s="1" t="s">
        <v>342</v>
      </c>
      <c r="D46" s="1" t="str">
        <f>$D$31</f>
        <v xml:space="preserve">Department of Public Health &amp; Environment </v>
      </c>
      <c r="E46" s="5" t="s">
        <v>399</v>
      </c>
      <c r="F46" s="1" t="s">
        <v>491</v>
      </c>
      <c r="G46" s="1" t="s">
        <v>465</v>
      </c>
      <c r="H46" s="1" t="str">
        <f>VLOOKUP(G46,dataNodes!$B$2:$C$19,2,FALSE)</f>
        <v>Use</v>
      </c>
      <c r="I46" s="1" t="str">
        <f>VLOOKUP(G46,$M$2:$N$20,2,FALSE)</f>
        <v>d18</v>
      </c>
    </row>
    <row r="47" spans="1:14" x14ac:dyDescent="0.3">
      <c r="A47" s="1" t="s">
        <v>159</v>
      </c>
      <c r="B47" s="1" t="s">
        <v>400</v>
      </c>
      <c r="C47" s="1" t="s">
        <v>325</v>
      </c>
      <c r="D47" s="1" t="s">
        <v>401</v>
      </c>
      <c r="E47" s="5" t="s">
        <v>402</v>
      </c>
      <c r="F47" s="1" t="s">
        <v>490</v>
      </c>
      <c r="G47" s="1" t="s">
        <v>434</v>
      </c>
      <c r="H47" s="1" t="str">
        <f>VLOOKUP(G47,dataNodes!$B$2:$C$19,2,FALSE)</f>
        <v>Quality</v>
      </c>
      <c r="I47" s="1" t="str">
        <f>VLOOKUP(G47,$M$2:$N$20,2,FALSE)</f>
        <v>d03</v>
      </c>
    </row>
    <row r="48" spans="1:14" x14ac:dyDescent="0.3">
      <c r="A48" s="1" t="s">
        <v>163</v>
      </c>
      <c r="B48" s="1" t="s">
        <v>404</v>
      </c>
      <c r="C48" s="1" t="s">
        <v>403</v>
      </c>
      <c r="D48" s="1" t="str">
        <f>$D$31</f>
        <v xml:space="preserve">Department of Public Health &amp; Environment </v>
      </c>
      <c r="E48" s="5"/>
      <c r="F48" s="1" t="s">
        <v>492</v>
      </c>
      <c r="G48" s="1" t="s">
        <v>436</v>
      </c>
      <c r="H48" s="1" t="str">
        <f>VLOOKUP(G48,dataNodes!$B$2:$C$19,2,FALSE)</f>
        <v>Quality</v>
      </c>
      <c r="I48" s="1" t="str">
        <f>VLOOKUP(G48,$M$2:$N$20,2,FALSE)</f>
        <v>d04</v>
      </c>
    </row>
    <row r="49" spans="1:9" x14ac:dyDescent="0.3">
      <c r="A49" s="1" t="s">
        <v>163</v>
      </c>
      <c r="B49" s="1" t="s">
        <v>404</v>
      </c>
      <c r="C49" s="1" t="s">
        <v>403</v>
      </c>
      <c r="D49" s="1" t="str">
        <f>$D$31</f>
        <v xml:space="preserve">Department of Public Health &amp; Environment </v>
      </c>
      <c r="E49" s="5"/>
      <c r="F49" s="1" t="s">
        <v>492</v>
      </c>
      <c r="G49" s="1" t="s">
        <v>463</v>
      </c>
      <c r="H49" s="1" t="str">
        <f>VLOOKUP(G49,dataNodes!$B$2:$C$19,2,FALSE)</f>
        <v>Use</v>
      </c>
      <c r="I49" s="1" t="str">
        <f>VLOOKUP(G49,$M$2:$N$20,2,FALSE)</f>
        <v>d17</v>
      </c>
    </row>
    <row r="50" spans="1:9" x14ac:dyDescent="0.3">
      <c r="A50" s="1" t="s">
        <v>163</v>
      </c>
      <c r="B50" s="1" t="s">
        <v>404</v>
      </c>
      <c r="C50" s="1" t="s">
        <v>403</v>
      </c>
      <c r="D50" s="1" t="str">
        <f>$D$31</f>
        <v xml:space="preserve">Department of Public Health &amp; Environment </v>
      </c>
      <c r="E50" s="5"/>
      <c r="F50" s="1" t="s">
        <v>723</v>
      </c>
      <c r="G50" s="1" t="s">
        <v>434</v>
      </c>
      <c r="H50" s="1" t="str">
        <f>VLOOKUP(G50,dataNodes!$B$2:$C$19,2,FALSE)</f>
        <v>Quality</v>
      </c>
      <c r="I50" s="1" t="str">
        <f>VLOOKUP(G50,$M$2:$N$20,2,FALSE)</f>
        <v>d03</v>
      </c>
    </row>
    <row r="51" spans="1:9" x14ac:dyDescent="0.3">
      <c r="A51" s="1" t="s">
        <v>165</v>
      </c>
      <c r="B51" s="1" t="s">
        <v>406</v>
      </c>
      <c r="C51" s="1" t="s">
        <v>407</v>
      </c>
      <c r="D51" s="1" t="str">
        <f>$D$31</f>
        <v xml:space="preserve">Department of Public Health &amp; Environment </v>
      </c>
      <c r="E51" s="5" t="s">
        <v>408</v>
      </c>
      <c r="F51" s="1" t="s">
        <v>493</v>
      </c>
      <c r="G51" s="1" t="s">
        <v>434</v>
      </c>
      <c r="H51" s="1" t="str">
        <f>VLOOKUP(G51,dataNodes!$B$2:$C$19,2,FALSE)</f>
        <v>Quality</v>
      </c>
      <c r="I51" s="1" t="str">
        <f>VLOOKUP(G51,$M$2:$N$20,2,FALSE)</f>
        <v>d03</v>
      </c>
    </row>
    <row r="52" spans="1:9" x14ac:dyDescent="0.3">
      <c r="A52" s="1" t="s">
        <v>165</v>
      </c>
      <c r="B52" s="1" t="s">
        <v>406</v>
      </c>
      <c r="C52" s="1" t="s">
        <v>407</v>
      </c>
      <c r="D52" s="1" t="str">
        <f>$D$31</f>
        <v xml:space="preserve">Department of Public Health &amp; Environment </v>
      </c>
      <c r="E52" s="5" t="s">
        <v>408</v>
      </c>
      <c r="F52" s="1" t="s">
        <v>494</v>
      </c>
      <c r="G52" s="1" t="s">
        <v>436</v>
      </c>
      <c r="H52" s="1" t="str">
        <f>VLOOKUP(G52,dataNodes!$B$2:$C$19,2,FALSE)</f>
        <v>Quality</v>
      </c>
      <c r="I52" s="1" t="str">
        <f>VLOOKUP(G52,$M$2:$N$20,2,FALSE)</f>
        <v>d04</v>
      </c>
    </row>
    <row r="53" spans="1:9" x14ac:dyDescent="0.3">
      <c r="A53" s="1" t="s">
        <v>167</v>
      </c>
      <c r="B53" s="1" t="s">
        <v>409</v>
      </c>
      <c r="C53" s="1" t="s">
        <v>342</v>
      </c>
      <c r="D53" s="1" t="s">
        <v>305</v>
      </c>
      <c r="E53" s="5" t="s">
        <v>410</v>
      </c>
      <c r="F53" s="1" t="s">
        <v>506</v>
      </c>
      <c r="G53" s="1" t="s">
        <v>465</v>
      </c>
      <c r="H53" s="1" t="str">
        <f>VLOOKUP(G53,dataNodes!$B$2:$C$19,2,FALSE)</f>
        <v>Use</v>
      </c>
      <c r="I53" s="1" t="str">
        <f>VLOOKUP(G53,$M$2:$N$20,2,FALSE)</f>
        <v>d18</v>
      </c>
    </row>
    <row r="54" spans="1:9" x14ac:dyDescent="0.3">
      <c r="A54" s="1" t="s">
        <v>169</v>
      </c>
      <c r="B54" s="1" t="s">
        <v>411</v>
      </c>
      <c r="C54" s="1" t="s">
        <v>342</v>
      </c>
      <c r="D54" s="1" t="s">
        <v>305</v>
      </c>
      <c r="E54" s="5" t="s">
        <v>540</v>
      </c>
      <c r="F54" s="1" t="s">
        <v>541</v>
      </c>
      <c r="G54" s="1" t="s">
        <v>542</v>
      </c>
      <c r="H54" s="1" t="str">
        <f>VLOOKUP(G54,dataNodes!$B$2:$C$19,2,FALSE)</f>
        <v>Quality</v>
      </c>
      <c r="I54" s="1" t="str">
        <f>VLOOKUP(G54,$M$2:$N$20,2,FALSE)</f>
        <v>d03</v>
      </c>
    </row>
    <row r="55" spans="1:9" x14ac:dyDescent="0.3">
      <c r="A55" s="1" t="s">
        <v>169</v>
      </c>
      <c r="B55" s="1" t="s">
        <v>411</v>
      </c>
      <c r="C55" s="1" t="s">
        <v>342</v>
      </c>
      <c r="D55" s="1" t="s">
        <v>305</v>
      </c>
      <c r="E55" s="5" t="s">
        <v>540</v>
      </c>
      <c r="F55" s="1" t="s">
        <v>724</v>
      </c>
      <c r="G55" s="1" t="s">
        <v>463</v>
      </c>
      <c r="H55" s="1" t="str">
        <f>VLOOKUP(G55,dataNodes!$B$2:$C$19,2,FALSE)</f>
        <v>Use</v>
      </c>
      <c r="I55" s="1" t="str">
        <f>VLOOKUP(G55,$M$2:$N$20,2,FALSE)</f>
        <v>d17</v>
      </c>
    </row>
    <row r="56" spans="1:9" x14ac:dyDescent="0.3">
      <c r="A56" s="1" t="s">
        <v>169</v>
      </c>
      <c r="B56" s="1" t="s">
        <v>411</v>
      </c>
      <c r="C56" s="1" t="s">
        <v>342</v>
      </c>
      <c r="D56" s="1" t="s">
        <v>305</v>
      </c>
      <c r="E56" s="5" t="s">
        <v>540</v>
      </c>
      <c r="F56" s="1" t="s">
        <v>725</v>
      </c>
      <c r="G56" s="1" t="s">
        <v>453</v>
      </c>
      <c r="H56" s="1" t="str">
        <f>VLOOKUP(G56,dataNodes!$B$2:$C$19,2,FALSE)</f>
        <v>Quantity</v>
      </c>
      <c r="I56" s="1" t="str">
        <f>VLOOKUP(G56,$M$2:$N$20,2,FALSE)</f>
        <v>d12</v>
      </c>
    </row>
    <row r="57" spans="1:9" x14ac:dyDescent="0.3">
      <c r="A57" s="1" t="s">
        <v>171</v>
      </c>
      <c r="B57" s="1" t="s">
        <v>413</v>
      </c>
      <c r="C57" s="1" t="s">
        <v>354</v>
      </c>
      <c r="D57" s="1" t="s">
        <v>351</v>
      </c>
      <c r="E57" s="5" t="s">
        <v>414</v>
      </c>
      <c r="F57" s="1" t="s">
        <v>495</v>
      </c>
      <c r="G57" s="1" t="s">
        <v>445</v>
      </c>
      <c r="H57" s="1" t="str">
        <f>VLOOKUP(G57,dataNodes!$B$2:$C$19,2,FALSE)</f>
        <v>Quantity</v>
      </c>
      <c r="I57" s="1" t="str">
        <f>VLOOKUP(G57,$M$2:$N$20,2,FALSE)</f>
        <v>d08</v>
      </c>
    </row>
    <row r="58" spans="1:9" x14ac:dyDescent="0.3">
      <c r="A58" s="1" t="s">
        <v>171</v>
      </c>
      <c r="B58" s="1" t="s">
        <v>413</v>
      </c>
      <c r="C58" s="1" t="s">
        <v>354</v>
      </c>
      <c r="D58" s="1" t="s">
        <v>351</v>
      </c>
      <c r="E58" s="5" t="s">
        <v>414</v>
      </c>
      <c r="F58" s="1" t="s">
        <v>496</v>
      </c>
      <c r="G58" s="1" t="s">
        <v>458</v>
      </c>
      <c r="H58" s="1" t="str">
        <f>VLOOKUP(G58,dataNodes!$B$2:$C$19,2,FALSE)</f>
        <v>Use</v>
      </c>
      <c r="I58" s="1" t="str">
        <f>VLOOKUP(G58,$M$2:$N$20,2,FALSE)</f>
        <v>d16</v>
      </c>
    </row>
    <row r="59" spans="1:9" x14ac:dyDescent="0.3">
      <c r="A59" s="1" t="s">
        <v>173</v>
      </c>
      <c r="B59" s="1" t="s">
        <v>415</v>
      </c>
      <c r="C59" s="1" t="s">
        <v>342</v>
      </c>
      <c r="D59" s="1" t="s">
        <v>305</v>
      </c>
      <c r="E59" s="5" t="s">
        <v>416</v>
      </c>
      <c r="F59" s="1" t="s">
        <v>507</v>
      </c>
      <c r="G59" s="1" t="s">
        <v>465</v>
      </c>
      <c r="H59" s="1" t="str">
        <f>VLOOKUP(G59,dataNodes!$B$2:$C$19,2,FALSE)</f>
        <v>Use</v>
      </c>
      <c r="I59" s="1" t="str">
        <f>VLOOKUP(G59,$M$2:$N$20,2,FALSE)</f>
        <v>d18</v>
      </c>
    </row>
    <row r="60" spans="1:9" x14ac:dyDescent="0.3">
      <c r="A60" s="1" t="s">
        <v>173</v>
      </c>
      <c r="B60" s="1" t="s">
        <v>415</v>
      </c>
      <c r="C60" s="1" t="s">
        <v>342</v>
      </c>
      <c r="D60" s="1" t="s">
        <v>305</v>
      </c>
      <c r="E60" s="5" t="s">
        <v>416</v>
      </c>
      <c r="F60" s="1" t="s">
        <v>507</v>
      </c>
      <c r="G60" s="1" t="s">
        <v>436</v>
      </c>
      <c r="H60" s="1" t="str">
        <f>VLOOKUP(G60,dataNodes!$B$2:$C$19,2,FALSE)</f>
        <v>Quality</v>
      </c>
      <c r="I60" s="1" t="str">
        <f>VLOOKUP(G60,$M$2:$N$20,2,FALSE)</f>
        <v>d04</v>
      </c>
    </row>
    <row r="61" spans="1:9" x14ac:dyDescent="0.3">
      <c r="A61" s="1" t="s">
        <v>175</v>
      </c>
      <c r="B61" s="1" t="s">
        <v>417</v>
      </c>
      <c r="C61" s="1" t="s">
        <v>270</v>
      </c>
      <c r="D61" s="1" t="s">
        <v>270</v>
      </c>
      <c r="E61" s="5" t="s">
        <v>497</v>
      </c>
      <c r="F61" s="1" t="s">
        <v>498</v>
      </c>
      <c r="G61" s="1" t="s">
        <v>436</v>
      </c>
      <c r="H61" s="1" t="str">
        <f>VLOOKUP(G61,dataNodes!$B$2:$C$19,2,FALSE)</f>
        <v>Quality</v>
      </c>
      <c r="I61" s="1" t="str">
        <f>VLOOKUP(G61,$M$2:$N$20,2,FALSE)</f>
        <v>d04</v>
      </c>
    </row>
    <row r="62" spans="1:9" x14ac:dyDescent="0.3">
      <c r="A62" s="1" t="s">
        <v>175</v>
      </c>
      <c r="B62" s="1" t="s">
        <v>417</v>
      </c>
      <c r="C62" s="1" t="s">
        <v>270</v>
      </c>
      <c r="D62" s="1" t="s">
        <v>270</v>
      </c>
      <c r="E62" s="5" t="s">
        <v>497</v>
      </c>
      <c r="F62" s="1" t="s">
        <v>499</v>
      </c>
      <c r="G62" s="1" t="s">
        <v>445</v>
      </c>
      <c r="H62" s="1" t="str">
        <f>VLOOKUP(G62,dataNodes!$B$2:$C$19,2,FALSE)</f>
        <v>Quantity</v>
      </c>
      <c r="I62" s="1" t="str">
        <f>VLOOKUP(G62,$M$2:$N$20,2,FALSE)</f>
        <v>d08</v>
      </c>
    </row>
    <row r="63" spans="1:9" x14ac:dyDescent="0.3">
      <c r="A63" s="1" t="s">
        <v>175</v>
      </c>
      <c r="B63" s="1" t="s">
        <v>417</v>
      </c>
      <c r="C63" s="1" t="s">
        <v>270</v>
      </c>
      <c r="D63" s="1" t="s">
        <v>270</v>
      </c>
      <c r="E63" s="5" t="s">
        <v>497</v>
      </c>
      <c r="F63" s="1" t="s">
        <v>500</v>
      </c>
      <c r="G63" s="1" t="s">
        <v>455</v>
      </c>
      <c r="H63" s="1" t="str">
        <f>VLOOKUP(G63,dataNodes!$B$2:$C$19,2,FALSE)</f>
        <v>Quantity</v>
      </c>
      <c r="I63" s="1" t="str">
        <f>VLOOKUP(G63,$M$2:$N$20,2,FALSE)</f>
        <v>d13</v>
      </c>
    </row>
    <row r="64" spans="1:9" x14ac:dyDescent="0.3">
      <c r="A64" s="1" t="s">
        <v>175</v>
      </c>
      <c r="B64" s="1" t="s">
        <v>417</v>
      </c>
      <c r="C64" s="1" t="s">
        <v>270</v>
      </c>
      <c r="D64" s="1" t="s">
        <v>270</v>
      </c>
      <c r="E64" s="5" t="s">
        <v>497</v>
      </c>
      <c r="F64" s="1" t="s">
        <v>501</v>
      </c>
      <c r="G64" s="1" t="s">
        <v>429</v>
      </c>
      <c r="H64" s="1" t="str">
        <f>VLOOKUP(G64,dataNodes!$B$2:$C$19,2,FALSE)</f>
        <v>Infrastructure</v>
      </c>
      <c r="I64" s="1" t="str">
        <f>VLOOKUP(G64,$M$2:$N$20,2,FALSE)</f>
        <v>d01</v>
      </c>
    </row>
    <row r="65" spans="1:9" x14ac:dyDescent="0.3">
      <c r="A65" s="1" t="s">
        <v>175</v>
      </c>
      <c r="B65" s="1" t="s">
        <v>417</v>
      </c>
      <c r="C65" s="1" t="s">
        <v>270</v>
      </c>
      <c r="D65" s="1" t="s">
        <v>270</v>
      </c>
      <c r="E65" s="5" t="s">
        <v>497</v>
      </c>
      <c r="F65" s="1" t="s">
        <v>502</v>
      </c>
      <c r="G65" s="1" t="s">
        <v>451</v>
      </c>
      <c r="H65" s="1" t="str">
        <f>VLOOKUP(G65,dataNodes!$B$2:$C$19,2,FALSE)</f>
        <v>Quantity</v>
      </c>
      <c r="I65" s="1" t="str">
        <f>VLOOKUP(G65,$M$2:$N$20,2,FALSE)</f>
        <v>d11</v>
      </c>
    </row>
    <row r="66" spans="1:9" x14ac:dyDescent="0.3">
      <c r="A66" s="1" t="s">
        <v>175</v>
      </c>
      <c r="B66" s="1" t="s">
        <v>417</v>
      </c>
      <c r="C66" s="1" t="s">
        <v>270</v>
      </c>
      <c r="D66" s="1" t="s">
        <v>270</v>
      </c>
      <c r="E66" s="5" t="s">
        <v>497</v>
      </c>
      <c r="F66" s="1" t="s">
        <v>479</v>
      </c>
      <c r="G66" s="1" t="s">
        <v>443</v>
      </c>
      <c r="H66" s="1" t="str">
        <f>VLOOKUP(G66,dataNodes!$B$2:$C$19,2,FALSE)</f>
        <v>Quantity</v>
      </c>
      <c r="I66" s="1" t="str">
        <f>VLOOKUP(G66,$M$2:$N$20,2,FALSE)</f>
        <v>d07</v>
      </c>
    </row>
    <row r="67" spans="1:9" x14ac:dyDescent="0.3">
      <c r="A67" s="1" t="s">
        <v>175</v>
      </c>
      <c r="B67" s="1" t="s">
        <v>417</v>
      </c>
      <c r="C67" s="1" t="s">
        <v>270</v>
      </c>
      <c r="D67" s="1" t="s">
        <v>270</v>
      </c>
      <c r="E67" s="5" t="s">
        <v>497</v>
      </c>
      <c r="F67" s="1" t="s">
        <v>503</v>
      </c>
      <c r="G67" s="1" t="s">
        <v>460</v>
      </c>
      <c r="H67" s="1" t="str">
        <f>VLOOKUP(G67,dataNodes!$B$2:$C$19,2,FALSE)</f>
        <v>Use</v>
      </c>
      <c r="I67" s="1" t="str">
        <f>VLOOKUP(G67,$M$2:$N$20,2,FALSE)</f>
        <v>d15</v>
      </c>
    </row>
    <row r="68" spans="1:9" x14ac:dyDescent="0.3">
      <c r="A68" s="1" t="s">
        <v>175</v>
      </c>
      <c r="B68" s="1" t="s">
        <v>417</v>
      </c>
      <c r="C68" s="1" t="s">
        <v>270</v>
      </c>
      <c r="D68" s="1" t="s">
        <v>270</v>
      </c>
      <c r="E68" s="5" t="s">
        <v>497</v>
      </c>
      <c r="F68" s="1" t="s">
        <v>480</v>
      </c>
      <c r="G68" s="1" t="s">
        <v>449</v>
      </c>
      <c r="H68" s="1" t="str">
        <f>VLOOKUP(G68,dataNodes!$B$2:$C$19,2,FALSE)</f>
        <v>Quantity</v>
      </c>
      <c r="I68" s="1" t="str">
        <f>VLOOKUP(G68,$M$2:$N$20,2,FALSE)</f>
        <v>d10</v>
      </c>
    </row>
    <row r="69" spans="1:9" x14ac:dyDescent="0.3">
      <c r="A69" s="1" t="s">
        <v>175</v>
      </c>
      <c r="B69" s="1" t="s">
        <v>417</v>
      </c>
      <c r="C69" s="1" t="s">
        <v>270</v>
      </c>
      <c r="D69" s="1" t="s">
        <v>270</v>
      </c>
      <c r="E69" s="5" t="s">
        <v>497</v>
      </c>
      <c r="F69" s="1" t="s">
        <v>504</v>
      </c>
      <c r="G69" s="1" t="s">
        <v>465</v>
      </c>
      <c r="H69" s="1" t="str">
        <f>VLOOKUP(G69,dataNodes!$B$2:$C$19,2,FALSE)</f>
        <v>Use</v>
      </c>
      <c r="I69" s="1" t="str">
        <f>VLOOKUP(G69,$M$2:$N$20,2,FALSE)</f>
        <v>d18</v>
      </c>
    </row>
    <row r="70" spans="1:9" x14ac:dyDescent="0.3">
      <c r="A70" s="1" t="s">
        <v>175</v>
      </c>
      <c r="B70" s="1" t="s">
        <v>417</v>
      </c>
      <c r="C70" s="1" t="s">
        <v>270</v>
      </c>
      <c r="D70" s="1" t="s">
        <v>270</v>
      </c>
      <c r="E70" s="5" t="s">
        <v>497</v>
      </c>
      <c r="F70" s="1" t="s">
        <v>505</v>
      </c>
      <c r="G70" s="1" t="s">
        <v>432</v>
      </c>
      <c r="H70" s="1" t="str">
        <f>VLOOKUP(G70,dataNodes!$B$2:$C$19,2,FALSE)</f>
        <v>Infrastructure</v>
      </c>
      <c r="I70" s="1" t="str">
        <f>VLOOKUP(G70,$M$2:$N$20,2,FALSE)</f>
        <v>d02</v>
      </c>
    </row>
    <row r="71" spans="1:9" x14ac:dyDescent="0.3">
      <c r="A71" s="1" t="s">
        <v>177</v>
      </c>
      <c r="B71" s="1" t="s">
        <v>420</v>
      </c>
      <c r="C71" s="1" t="s">
        <v>301</v>
      </c>
      <c r="D71" s="1" t="s">
        <v>272</v>
      </c>
      <c r="E71" s="5" t="s">
        <v>421</v>
      </c>
      <c r="F71" s="1" t="s">
        <v>507</v>
      </c>
      <c r="G71" s="1" t="s">
        <v>465</v>
      </c>
      <c r="H71" s="1" t="str">
        <f>VLOOKUP(G71,dataNodes!$B$2:$C$19,2,FALSE)</f>
        <v>Use</v>
      </c>
      <c r="I71" s="1" t="str">
        <f>VLOOKUP(G71,$M$2:$N$20,2,FALSE)</f>
        <v>d18</v>
      </c>
    </row>
    <row r="72" spans="1:9" x14ac:dyDescent="0.3">
      <c r="A72" s="1" t="s">
        <v>177</v>
      </c>
      <c r="B72" s="1" t="s">
        <v>420</v>
      </c>
      <c r="C72" s="1" t="s">
        <v>301</v>
      </c>
      <c r="D72" s="1" t="s">
        <v>272</v>
      </c>
      <c r="E72" s="5" t="s">
        <v>421</v>
      </c>
      <c r="F72" s="1" t="s">
        <v>508</v>
      </c>
      <c r="G72" s="1" t="s">
        <v>460</v>
      </c>
      <c r="H72" s="1" t="str">
        <f>VLOOKUP(G72,dataNodes!$B$2:$C$19,2,FALSE)</f>
        <v>Use</v>
      </c>
      <c r="I72" s="1" t="str">
        <f>VLOOKUP(G72,$M$2:$N$20,2,FALSE)</f>
        <v>d15</v>
      </c>
    </row>
    <row r="73" spans="1:9" x14ac:dyDescent="0.3">
      <c r="A73" s="1" t="s">
        <v>177</v>
      </c>
      <c r="B73" s="1" t="s">
        <v>420</v>
      </c>
      <c r="C73" s="1" t="s">
        <v>301</v>
      </c>
      <c r="D73" s="1" t="s">
        <v>272</v>
      </c>
      <c r="E73" s="5" t="s">
        <v>421</v>
      </c>
      <c r="F73" s="1" t="s">
        <v>509</v>
      </c>
      <c r="G73" s="1" t="s">
        <v>458</v>
      </c>
      <c r="H73" s="1" t="str">
        <f>VLOOKUP(G73,dataNodes!$B$2:$C$19,2,FALSE)</f>
        <v>Use</v>
      </c>
      <c r="I73" s="1" t="str">
        <f>VLOOKUP(G73,$M$2:$N$20,2,FALSE)</f>
        <v>d16</v>
      </c>
    </row>
    <row r="74" spans="1:9" x14ac:dyDescent="0.3">
      <c r="A74" s="1" t="s">
        <v>177</v>
      </c>
      <c r="B74" s="1" t="s">
        <v>420</v>
      </c>
      <c r="C74" s="1" t="s">
        <v>301</v>
      </c>
      <c r="D74" s="1" t="s">
        <v>272</v>
      </c>
      <c r="E74" s="5" t="s">
        <v>421</v>
      </c>
      <c r="F74" s="1" t="s">
        <v>510</v>
      </c>
      <c r="G74" s="1" t="s">
        <v>455</v>
      </c>
      <c r="H74" s="1" t="str">
        <f>VLOOKUP(G74,dataNodes!$B$2:$C$19,2,FALSE)</f>
        <v>Quantity</v>
      </c>
      <c r="I74" s="1" t="str">
        <f>VLOOKUP(G74,$M$2:$N$20,2,FALSE)</f>
        <v>d13</v>
      </c>
    </row>
    <row r="75" spans="1:9" x14ac:dyDescent="0.3">
      <c r="A75" s="1" t="s">
        <v>177</v>
      </c>
      <c r="B75" s="1" t="s">
        <v>420</v>
      </c>
      <c r="C75" s="1" t="s">
        <v>301</v>
      </c>
      <c r="D75" s="1" t="s">
        <v>272</v>
      </c>
      <c r="E75" s="5" t="s">
        <v>421</v>
      </c>
      <c r="F75" s="1" t="s">
        <v>599</v>
      </c>
      <c r="G75" s="1" t="s">
        <v>451</v>
      </c>
      <c r="H75" s="1" t="str">
        <f>VLOOKUP(G75,dataNodes!$B$2:$C$19,2,FALSE)</f>
        <v>Quantity</v>
      </c>
      <c r="I75" s="1" t="str">
        <f>VLOOKUP(G75,$M$2:$N$20,2,FALSE)</f>
        <v>d11</v>
      </c>
    </row>
    <row r="76" spans="1:9" x14ac:dyDescent="0.3">
      <c r="A76" s="1" t="s">
        <v>177</v>
      </c>
      <c r="B76" s="1" t="s">
        <v>420</v>
      </c>
      <c r="C76" s="1" t="s">
        <v>301</v>
      </c>
      <c r="D76" s="1" t="s">
        <v>272</v>
      </c>
      <c r="E76" s="5" t="s">
        <v>421</v>
      </c>
      <c r="F76" s="1" t="s">
        <v>731</v>
      </c>
      <c r="G76" s="1" t="s">
        <v>445</v>
      </c>
      <c r="H76" s="1" t="str">
        <f>VLOOKUP(G76,dataNodes!$B$2:$C$19,2,FALSE)</f>
        <v>Quantity</v>
      </c>
      <c r="I76" s="1" t="str">
        <f>VLOOKUP(G76,$M$2:$N$20,2,FALSE)</f>
        <v>d08</v>
      </c>
    </row>
    <row r="77" spans="1:9" x14ac:dyDescent="0.3">
      <c r="A77" s="1" t="s">
        <v>177</v>
      </c>
      <c r="B77" s="1" t="s">
        <v>420</v>
      </c>
      <c r="C77" s="1" t="s">
        <v>301</v>
      </c>
      <c r="D77" s="1" t="s">
        <v>272</v>
      </c>
      <c r="E77" s="5" t="s">
        <v>421</v>
      </c>
      <c r="F77" s="1" t="s">
        <v>732</v>
      </c>
      <c r="G77" s="1" t="s">
        <v>429</v>
      </c>
      <c r="H77" s="1" t="str">
        <f>VLOOKUP(G77,dataNodes!$B$2:$C$19,2,FALSE)</f>
        <v>Infrastructure</v>
      </c>
      <c r="I77" s="1" t="str">
        <f>VLOOKUP(G77,$M$2:$N$20,2,FALSE)</f>
        <v>d01</v>
      </c>
    </row>
    <row r="78" spans="1:9" x14ac:dyDescent="0.3">
      <c r="A78" s="1" t="s">
        <v>177</v>
      </c>
      <c r="B78" s="1" t="s">
        <v>420</v>
      </c>
      <c r="C78" s="1" t="s">
        <v>301</v>
      </c>
      <c r="D78" s="1" t="s">
        <v>272</v>
      </c>
      <c r="E78" s="5" t="s">
        <v>421</v>
      </c>
      <c r="F78" s="1" t="s">
        <v>480</v>
      </c>
      <c r="G78" s="1" t="s">
        <v>449</v>
      </c>
      <c r="H78" s="1" t="str">
        <f>VLOOKUP(G78,dataNodes!$B$2:$C$19,2,FALSE)</f>
        <v>Quantity</v>
      </c>
      <c r="I78" s="1" t="str">
        <f>VLOOKUP(G78,$M$2:$N$20,2,FALSE)</f>
        <v>d10</v>
      </c>
    </row>
    <row r="79" spans="1:9" x14ac:dyDescent="0.3">
      <c r="A79" s="1" t="s">
        <v>177</v>
      </c>
      <c r="B79" s="1" t="s">
        <v>420</v>
      </c>
      <c r="C79" s="1" t="s">
        <v>301</v>
      </c>
      <c r="D79" s="1" t="s">
        <v>272</v>
      </c>
      <c r="E79" s="5" t="s">
        <v>421</v>
      </c>
      <c r="F79" s="1" t="s">
        <v>471</v>
      </c>
      <c r="G79" s="1" t="s">
        <v>447</v>
      </c>
      <c r="H79" s="1" t="str">
        <f>VLOOKUP(G79,dataNodes!$B$2:$C$19,2,FALSE)</f>
        <v>Quantity</v>
      </c>
      <c r="I79" s="1" t="str">
        <f t="shared" ref="I79:I80" si="2">VLOOKUP(G79,$M$2:$N$20,2,FALSE)</f>
        <v>d09</v>
      </c>
    </row>
    <row r="80" spans="1:9" x14ac:dyDescent="0.3">
      <c r="A80" s="1" t="s">
        <v>177</v>
      </c>
      <c r="B80" s="1" t="s">
        <v>420</v>
      </c>
      <c r="C80" s="1" t="s">
        <v>301</v>
      </c>
      <c r="D80" s="1" t="s">
        <v>272</v>
      </c>
      <c r="E80" s="5" t="s">
        <v>421</v>
      </c>
      <c r="F80" s="1" t="s">
        <v>479</v>
      </c>
      <c r="G80" s="1" t="s">
        <v>443</v>
      </c>
      <c r="H80" s="1" t="str">
        <f>VLOOKUP(G80,dataNodes!$B$2:$C$19,2,FALSE)</f>
        <v>Quantity</v>
      </c>
      <c r="I80" s="1" t="str">
        <f t="shared" si="2"/>
        <v>d07</v>
      </c>
    </row>
    <row r="81" spans="1:14" x14ac:dyDescent="0.3">
      <c r="A81" s="1" t="s">
        <v>175</v>
      </c>
      <c r="B81" s="1" t="s">
        <v>417</v>
      </c>
      <c r="C81" s="1" t="s">
        <v>270</v>
      </c>
      <c r="D81" s="1" t="s">
        <v>270</v>
      </c>
      <c r="E81" s="5" t="s">
        <v>497</v>
      </c>
      <c r="F81" s="1" t="s">
        <v>552</v>
      </c>
      <c r="G81" s="1" t="s">
        <v>542</v>
      </c>
      <c r="H81" s="1" t="str">
        <f>VLOOKUP(G81,dataNodes!$B$2:$C$19,2,FALSE)</f>
        <v>Quality</v>
      </c>
      <c r="I81" s="1" t="str">
        <f>VLOOKUP(G81,$M$2:$N$20,2,FALSE)</f>
        <v>d03</v>
      </c>
    </row>
    <row r="82" spans="1:14" x14ac:dyDescent="0.3">
      <c r="A82" s="1" t="s">
        <v>189</v>
      </c>
      <c r="B82" s="1" t="s">
        <v>554</v>
      </c>
      <c r="C82" s="1" t="s">
        <v>522</v>
      </c>
      <c r="D82" s="1" t="s">
        <v>305</v>
      </c>
      <c r="E82" s="5" t="s">
        <v>555</v>
      </c>
      <c r="F82" s="1" t="s">
        <v>558</v>
      </c>
      <c r="G82" s="1" t="s">
        <v>542</v>
      </c>
      <c r="H82" s="1" t="str">
        <f>VLOOKUP(G82,dataNodes!$B$2:$C$19,2,FALSE)</f>
        <v>Quality</v>
      </c>
      <c r="I82" s="1" t="str">
        <f>VLOOKUP(G82,$M$2:$N$20,2,FALSE)</f>
        <v>d03</v>
      </c>
    </row>
    <row r="83" spans="1:14" x14ac:dyDescent="0.3">
      <c r="A83" s="1" t="s">
        <v>191</v>
      </c>
      <c r="B83" s="1" t="s">
        <v>556</v>
      </c>
      <c r="C83" s="1" t="s">
        <v>559</v>
      </c>
      <c r="D83" s="1" t="s">
        <v>305</v>
      </c>
      <c r="E83" s="5" t="s">
        <v>557</v>
      </c>
      <c r="F83" s="1" t="s">
        <v>560</v>
      </c>
      <c r="G83" s="1" t="s">
        <v>436</v>
      </c>
      <c r="H83" s="1" t="str">
        <f>VLOOKUP(G83,dataNodes!$B$2:$C$19,2,FALSE)</f>
        <v>Quality</v>
      </c>
      <c r="I83" s="1" t="str">
        <f>VLOOKUP(G83,$M$2:$N$20,2,FALSE)</f>
        <v>d04</v>
      </c>
    </row>
    <row r="84" spans="1:14" x14ac:dyDescent="0.3">
      <c r="A84" s="1" t="s">
        <v>191</v>
      </c>
      <c r="B84" s="1" t="s">
        <v>556</v>
      </c>
      <c r="C84" s="1" t="s">
        <v>559</v>
      </c>
      <c r="D84" s="1" t="s">
        <v>305</v>
      </c>
      <c r="E84" s="5" t="s">
        <v>557</v>
      </c>
      <c r="F84" s="1" t="s">
        <v>560</v>
      </c>
      <c r="G84" s="1" t="s">
        <v>463</v>
      </c>
      <c r="H84" s="1" t="str">
        <f>VLOOKUP(G84,dataNodes!$B$2:$C$19,2,FALSE)</f>
        <v>Use</v>
      </c>
      <c r="I84" s="1" t="str">
        <f>VLOOKUP(G84,$M$2:$N$20,2,FALSE)</f>
        <v>d17</v>
      </c>
    </row>
    <row r="85" spans="1:14" x14ac:dyDescent="0.3">
      <c r="A85" s="1" t="s">
        <v>193</v>
      </c>
      <c r="B85" s="1" t="s">
        <v>562</v>
      </c>
      <c r="C85" s="1" t="s">
        <v>342</v>
      </c>
      <c r="D85" s="1" t="s">
        <v>305</v>
      </c>
      <c r="E85" s="5" t="s">
        <v>561</v>
      </c>
      <c r="F85" s="1" t="s">
        <v>563</v>
      </c>
      <c r="G85" s="1" t="s">
        <v>434</v>
      </c>
      <c r="H85" s="1" t="str">
        <f>VLOOKUP(G85,dataNodes!$B$2:$C$19,2,FALSE)</f>
        <v>Quality</v>
      </c>
      <c r="I85" s="1" t="str">
        <f>VLOOKUP(G85,$M$2:$N$20,2,FALSE)</f>
        <v>d03</v>
      </c>
    </row>
    <row r="86" spans="1:14" x14ac:dyDescent="0.3">
      <c r="A86" s="1" t="s">
        <v>193</v>
      </c>
      <c r="B86" s="1" t="s">
        <v>562</v>
      </c>
      <c r="C86" s="1" t="s">
        <v>342</v>
      </c>
      <c r="D86" s="1" t="s">
        <v>305</v>
      </c>
      <c r="E86" s="5" t="s">
        <v>561</v>
      </c>
      <c r="F86" s="1" t="s">
        <v>564</v>
      </c>
      <c r="G86" s="1" t="s">
        <v>455</v>
      </c>
      <c r="H86" s="1" t="str">
        <f>VLOOKUP(G86,dataNodes!$B$2:$C$19,2,FALSE)</f>
        <v>Quantity</v>
      </c>
      <c r="I86" s="1" t="str">
        <f>VLOOKUP(G86,$M$2:$N$20,2,FALSE)</f>
        <v>d13</v>
      </c>
    </row>
    <row r="87" spans="1:14" x14ac:dyDescent="0.3">
      <c r="A87" s="1" t="s">
        <v>195</v>
      </c>
      <c r="B87" s="1" t="s">
        <v>565</v>
      </c>
      <c r="C87" s="1" t="s">
        <v>342</v>
      </c>
      <c r="D87" s="1" t="s">
        <v>305</v>
      </c>
      <c r="E87" s="5" t="s">
        <v>566</v>
      </c>
      <c r="F87" s="1" t="s">
        <v>568</v>
      </c>
      <c r="G87" s="1" t="s">
        <v>542</v>
      </c>
      <c r="H87" s="1" t="str">
        <f>VLOOKUP(G87,dataNodes!$B$2:$C$19,2,FALSE)</f>
        <v>Quality</v>
      </c>
      <c r="I87" s="1" t="str">
        <f>VLOOKUP(G87,$M$2:$N$20,2,FALSE)</f>
        <v>d03</v>
      </c>
    </row>
    <row r="88" spans="1:14" x14ac:dyDescent="0.3">
      <c r="A88" s="1" t="s">
        <v>195</v>
      </c>
      <c r="B88" s="1" t="s">
        <v>565</v>
      </c>
      <c r="C88" s="1" t="s">
        <v>342</v>
      </c>
      <c r="D88" s="1" t="s">
        <v>305</v>
      </c>
      <c r="E88" s="5" t="s">
        <v>566</v>
      </c>
      <c r="F88" s="1" t="s">
        <v>568</v>
      </c>
      <c r="G88" s="1" t="s">
        <v>436</v>
      </c>
      <c r="H88" s="1" t="str">
        <f>VLOOKUP(G88,dataNodes!$B$2:$C$19,2,FALSE)</f>
        <v>Quality</v>
      </c>
      <c r="I88" s="1" t="str">
        <f>VLOOKUP(G88,$M$2:$N$20,2,FALSE)</f>
        <v>d04</v>
      </c>
    </row>
    <row r="89" spans="1:14" x14ac:dyDescent="0.3">
      <c r="A89" s="1" t="s">
        <v>197</v>
      </c>
      <c r="B89" s="1" t="s">
        <v>569</v>
      </c>
      <c r="C89" s="1" t="s">
        <v>342</v>
      </c>
      <c r="D89" s="1" t="s">
        <v>305</v>
      </c>
      <c r="E89" s="5" t="s">
        <v>570</v>
      </c>
      <c r="F89" s="1" t="s">
        <v>571</v>
      </c>
      <c r="G89" s="1" t="s">
        <v>542</v>
      </c>
      <c r="H89" s="1" t="str">
        <f>VLOOKUP(G89,dataNodes!$B$2:$C$19,2,FALSE)</f>
        <v>Quality</v>
      </c>
      <c r="I89" s="1" t="str">
        <f>VLOOKUP(G89,$M$2:$N$20,2,FALSE)</f>
        <v>d03</v>
      </c>
      <c r="J89" s="40"/>
      <c r="K89" s="40"/>
      <c r="L89" s="40"/>
      <c r="M89" s="40"/>
      <c r="N89" s="40"/>
    </row>
    <row r="90" spans="1:14" x14ac:dyDescent="0.3">
      <c r="A90" s="1" t="s">
        <v>199</v>
      </c>
      <c r="B90" s="1" t="s">
        <v>574</v>
      </c>
      <c r="C90" s="1" t="s">
        <v>342</v>
      </c>
      <c r="D90" s="1" t="s">
        <v>305</v>
      </c>
      <c r="E90" s="5" t="s">
        <v>572</v>
      </c>
      <c r="F90" s="1" t="s">
        <v>575</v>
      </c>
      <c r="G90" s="1" t="s">
        <v>436</v>
      </c>
      <c r="H90" s="1" t="str">
        <f>VLOOKUP(G90,dataNodes!$B$2:$C$19,2,FALSE)</f>
        <v>Quality</v>
      </c>
      <c r="I90" s="1" t="str">
        <f>VLOOKUP(G90,$M$2:$N$20,2,FALSE)</f>
        <v>d04</v>
      </c>
      <c r="J90" s="40"/>
      <c r="K90" s="40"/>
      <c r="L90" s="40"/>
      <c r="M90" s="40"/>
      <c r="N90" s="40"/>
    </row>
    <row r="91" spans="1:14" x14ac:dyDescent="0.3">
      <c r="A91" s="1" t="s">
        <v>201</v>
      </c>
      <c r="B91" s="1" t="s">
        <v>576</v>
      </c>
      <c r="C91" s="1" t="s">
        <v>345</v>
      </c>
      <c r="D91" s="1" t="s">
        <v>305</v>
      </c>
      <c r="E91" s="5" t="s">
        <v>577</v>
      </c>
      <c r="F91" s="1" t="s">
        <v>578</v>
      </c>
      <c r="G91" s="1" t="s">
        <v>542</v>
      </c>
      <c r="H91" s="1" t="str">
        <f>VLOOKUP(G91,dataNodes!$B$2:$C$19,2,FALSE)</f>
        <v>Quality</v>
      </c>
      <c r="I91" s="1" t="str">
        <f>VLOOKUP(G91,$M$2:$N$20,2,FALSE)</f>
        <v>d03</v>
      </c>
    </row>
    <row r="92" spans="1:14" x14ac:dyDescent="0.3">
      <c r="A92" s="1" t="s">
        <v>201</v>
      </c>
      <c r="B92" s="1" t="s">
        <v>576</v>
      </c>
      <c r="C92" s="1" t="s">
        <v>345</v>
      </c>
      <c r="D92" s="1" t="s">
        <v>305</v>
      </c>
      <c r="E92" s="5" t="s">
        <v>577</v>
      </c>
      <c r="F92" s="1" t="s">
        <v>578</v>
      </c>
      <c r="G92" s="1" t="s">
        <v>463</v>
      </c>
      <c r="H92" s="1" t="str">
        <f>VLOOKUP(G92,dataNodes!$B$2:$C$19,2,FALSE)</f>
        <v>Use</v>
      </c>
      <c r="I92" s="1" t="str">
        <f>VLOOKUP(G92,$M$2:$N$20,2,FALSE)</f>
        <v>d17</v>
      </c>
    </row>
    <row r="93" spans="1:14" x14ac:dyDescent="0.3">
      <c r="A93" s="1" t="s">
        <v>203</v>
      </c>
      <c r="B93" s="1" t="s">
        <v>579</v>
      </c>
      <c r="C93" s="1" t="s">
        <v>345</v>
      </c>
      <c r="D93" s="1" t="s">
        <v>305</v>
      </c>
      <c r="E93" s="5" t="s">
        <v>580</v>
      </c>
      <c r="F93" s="1" t="s">
        <v>582</v>
      </c>
      <c r="G93" s="1" t="s">
        <v>436</v>
      </c>
      <c r="H93" s="1" t="str">
        <f>VLOOKUP(G93,dataNodes!$B$2:$C$19,2,FALSE)</f>
        <v>Quality</v>
      </c>
      <c r="I93" s="1" t="str">
        <f>VLOOKUP(G93,$M$2:$N$20,2,FALSE)</f>
        <v>d04</v>
      </c>
    </row>
    <row r="94" spans="1:14" x14ac:dyDescent="0.3">
      <c r="A94" s="1" t="s">
        <v>203</v>
      </c>
      <c r="B94" s="1" t="s">
        <v>579</v>
      </c>
      <c r="C94" s="1" t="s">
        <v>345</v>
      </c>
      <c r="D94" s="1" t="s">
        <v>305</v>
      </c>
      <c r="E94" s="5" t="s">
        <v>580</v>
      </c>
      <c r="F94" s="1" t="s">
        <v>582</v>
      </c>
      <c r="G94" s="1" t="s">
        <v>463</v>
      </c>
      <c r="H94" s="1" t="str">
        <f>VLOOKUP(G94,dataNodes!$B$2:$C$19,2,FALSE)</f>
        <v>Use</v>
      </c>
      <c r="I94" s="1" t="str">
        <f>VLOOKUP(G94,$M$2:$N$20,2,FALSE)</f>
        <v>d17</v>
      </c>
    </row>
    <row r="95" spans="1:14" x14ac:dyDescent="0.3">
      <c r="A95" s="1" t="s">
        <v>205</v>
      </c>
      <c r="B95" s="1" t="s">
        <v>583</v>
      </c>
      <c r="C95" s="1" t="s">
        <v>345</v>
      </c>
      <c r="D95" s="1" t="s">
        <v>305</v>
      </c>
      <c r="E95" s="5" t="s">
        <v>585</v>
      </c>
      <c r="F95" s="1" t="s">
        <v>586</v>
      </c>
      <c r="G95" s="1" t="s">
        <v>266</v>
      </c>
      <c r="H95" s="1" t="str">
        <f>VLOOKUP(G95,dataNodes!$B$2:$C$19,2,FALSE)</f>
        <v>Quality</v>
      </c>
      <c r="I95" s="1" t="str">
        <f>VLOOKUP(G95,$M$2:$N$20,2,FALSE)</f>
        <v>d04</v>
      </c>
    </row>
    <row r="96" spans="1:14" x14ac:dyDescent="0.3">
      <c r="A96" s="1" t="s">
        <v>205</v>
      </c>
      <c r="B96" s="1" t="s">
        <v>583</v>
      </c>
      <c r="C96" s="1" t="s">
        <v>345</v>
      </c>
      <c r="D96" s="1" t="s">
        <v>305</v>
      </c>
      <c r="E96" s="5" t="s">
        <v>585</v>
      </c>
      <c r="F96" s="1" t="s">
        <v>586</v>
      </c>
      <c r="G96" s="1" t="s">
        <v>463</v>
      </c>
      <c r="H96" s="1" t="str">
        <f>VLOOKUP(G96,dataNodes!$B$2:$C$19,2,FALSE)</f>
        <v>Use</v>
      </c>
      <c r="I96" s="1" t="str">
        <f>VLOOKUP(G96,$M$2:$N$20,2,FALSE)</f>
        <v>d17</v>
      </c>
    </row>
    <row r="97" spans="1:38" s="38" customFormat="1" x14ac:dyDescent="0.3">
      <c r="A97" s="1" t="s">
        <v>209</v>
      </c>
      <c r="B97" s="1" t="s">
        <v>740</v>
      </c>
      <c r="C97" s="1" t="s">
        <v>521</v>
      </c>
      <c r="D97" s="1" t="s">
        <v>521</v>
      </c>
      <c r="E97" s="5" t="s">
        <v>739</v>
      </c>
      <c r="F97" s="1" t="s">
        <v>742</v>
      </c>
      <c r="G97" s="1" t="s">
        <v>441</v>
      </c>
      <c r="H97" s="1" t="str">
        <f>VLOOKUP(G97,dataNodes!$B$2:$C$19,2,FALSE)</f>
        <v>Quantity</v>
      </c>
      <c r="I97" s="1" t="str">
        <f>VLOOKUP(G97,$M$2:$N$20,2,FALSE)</f>
        <v>d06</v>
      </c>
      <c r="J97" s="1"/>
      <c r="K97" s="1"/>
      <c r="L97" s="1"/>
      <c r="M97" s="1"/>
      <c r="N97" s="1"/>
    </row>
    <row r="98" spans="1:38" x14ac:dyDescent="0.3">
      <c r="A98" s="1" t="s">
        <v>209</v>
      </c>
      <c r="B98" s="1" t="s">
        <v>740</v>
      </c>
      <c r="C98" s="1" t="s">
        <v>521</v>
      </c>
      <c r="D98" s="1" t="s">
        <v>521</v>
      </c>
      <c r="E98" s="5" t="s">
        <v>739</v>
      </c>
      <c r="F98" s="1" t="s">
        <v>743</v>
      </c>
      <c r="G98" s="1" t="s">
        <v>447</v>
      </c>
      <c r="H98" s="1" t="str">
        <f>VLOOKUP(G98,dataNodes!$B$2:$C$19,2,FALSE)</f>
        <v>Quantity</v>
      </c>
      <c r="I98" s="1" t="str">
        <f>VLOOKUP(G98,$M$2:$N$20,2,FALSE)</f>
        <v>d09</v>
      </c>
    </row>
    <row r="99" spans="1:38" x14ac:dyDescent="0.3">
      <c r="A99" s="1" t="s">
        <v>209</v>
      </c>
      <c r="B99" s="1" t="s">
        <v>740</v>
      </c>
      <c r="C99" s="1" t="s">
        <v>521</v>
      </c>
      <c r="D99" s="1" t="s">
        <v>521</v>
      </c>
      <c r="E99" s="5" t="s">
        <v>739</v>
      </c>
      <c r="F99" s="1" t="s">
        <v>480</v>
      </c>
      <c r="G99" s="1" t="s">
        <v>449</v>
      </c>
      <c r="H99" s="1" t="str">
        <f>VLOOKUP(G99,dataNodes!$B$2:$C$19,2,FALSE)</f>
        <v>Quantity</v>
      </c>
      <c r="I99" s="1" t="str">
        <f>VLOOKUP(G99,$M$2:$N$20,2,FALSE)</f>
        <v>d10</v>
      </c>
    </row>
    <row r="100" spans="1:38" x14ac:dyDescent="0.3">
      <c r="A100" s="1" t="s">
        <v>209</v>
      </c>
      <c r="B100" s="1" t="s">
        <v>740</v>
      </c>
      <c r="C100" s="1" t="s">
        <v>521</v>
      </c>
      <c r="D100" s="1" t="s">
        <v>521</v>
      </c>
      <c r="E100" s="5" t="s">
        <v>739</v>
      </c>
      <c r="F100" s="1" t="s">
        <v>744</v>
      </c>
      <c r="G100" s="1" t="s">
        <v>434</v>
      </c>
      <c r="H100" s="1" t="str">
        <f>VLOOKUP(G100,dataNodes!$B$2:$C$19,2,FALSE)</f>
        <v>Quality</v>
      </c>
      <c r="I100" s="1" t="str">
        <f>VLOOKUP(G100,$M$2:$N$20,2,FALSE)</f>
        <v>d03</v>
      </c>
      <c r="J100" s="40"/>
      <c r="K100" s="40"/>
      <c r="L100" s="40"/>
      <c r="M100" s="40"/>
      <c r="N100" s="40"/>
      <c r="O100" s="37"/>
      <c r="P100" s="37"/>
      <c r="Q100" s="37"/>
      <c r="R100" s="37"/>
      <c r="S100" s="37"/>
      <c r="T100" s="37"/>
      <c r="U100" s="42"/>
      <c r="V100" s="42"/>
      <c r="W100" s="42"/>
      <c r="X100" s="42"/>
      <c r="Y100" s="35"/>
      <c r="Z100" s="35"/>
      <c r="AA100" s="35"/>
      <c r="AB100" s="35"/>
      <c r="AC100" s="35"/>
      <c r="AD100" s="35"/>
      <c r="AE100" s="35"/>
      <c r="AF100" s="35"/>
      <c r="AG100" s="35"/>
      <c r="AH100" s="35"/>
      <c r="AI100" s="35"/>
      <c r="AJ100" s="35"/>
      <c r="AK100" s="35"/>
      <c r="AL100" s="35"/>
    </row>
    <row r="101" spans="1:38" x14ac:dyDescent="0.3">
      <c r="A101" s="1" t="s">
        <v>209</v>
      </c>
      <c r="B101" s="1" t="s">
        <v>740</v>
      </c>
      <c r="C101" s="1" t="s">
        <v>521</v>
      </c>
      <c r="D101" s="1" t="s">
        <v>521</v>
      </c>
      <c r="E101" s="5" t="s">
        <v>739</v>
      </c>
      <c r="F101" s="1" t="s">
        <v>745</v>
      </c>
      <c r="G101" s="1" t="s">
        <v>436</v>
      </c>
      <c r="H101" s="1" t="str">
        <f>VLOOKUP(G101,dataNodes!$B$2:$C$19,2,FALSE)</f>
        <v>Quality</v>
      </c>
      <c r="I101" s="1" t="str">
        <f>VLOOKUP(G101,$M$2:$N$20,2,FALSE)</f>
        <v>d04</v>
      </c>
    </row>
    <row r="102" spans="1:38" x14ac:dyDescent="0.3">
      <c r="A102" s="1" t="s">
        <v>209</v>
      </c>
      <c r="B102" s="1" t="s">
        <v>740</v>
      </c>
      <c r="C102" s="1" t="s">
        <v>521</v>
      </c>
      <c r="D102" s="1" t="s">
        <v>521</v>
      </c>
      <c r="E102" s="5" t="s">
        <v>739</v>
      </c>
      <c r="F102" s="1" t="s">
        <v>724</v>
      </c>
      <c r="G102" s="1" t="s">
        <v>463</v>
      </c>
      <c r="H102" s="1" t="str">
        <f>VLOOKUP(G102,dataNodes!$B$2:$C$19,2,FALSE)</f>
        <v>Use</v>
      </c>
      <c r="I102" s="1" t="str">
        <f>VLOOKUP(G102,$M$2:$N$20,2,FALSE)</f>
        <v>d17</v>
      </c>
      <c r="J102" s="40"/>
      <c r="K102" s="40"/>
      <c r="L102" s="40"/>
      <c r="M102" s="40"/>
      <c r="N102" s="40"/>
    </row>
    <row r="103" spans="1:38" x14ac:dyDescent="0.3">
      <c r="A103" s="1" t="s">
        <v>217</v>
      </c>
      <c r="B103" s="1" t="s">
        <v>590</v>
      </c>
      <c r="C103" s="1" t="s">
        <v>588</v>
      </c>
      <c r="D103" s="1" t="s">
        <v>334</v>
      </c>
      <c r="E103" s="5" t="s">
        <v>591</v>
      </c>
      <c r="F103" s="1" t="s">
        <v>592</v>
      </c>
      <c r="G103" s="1" t="s">
        <v>463</v>
      </c>
      <c r="H103" s="1" t="str">
        <f>VLOOKUP(G103,dataNodes!$B$2:$C$19,2,FALSE)</f>
        <v>Use</v>
      </c>
      <c r="I103" s="1" t="str">
        <f>VLOOKUP(G103,$M$2:$N$20,2,FALSE)</f>
        <v>d17</v>
      </c>
    </row>
    <row r="104" spans="1:38" x14ac:dyDescent="0.3">
      <c r="A104" s="1" t="s">
        <v>219</v>
      </c>
      <c r="B104" s="1" t="s">
        <v>593</v>
      </c>
      <c r="C104" s="1" t="s">
        <v>373</v>
      </c>
      <c r="D104" s="1" t="s">
        <v>363</v>
      </c>
      <c r="E104" s="5" t="s">
        <v>594</v>
      </c>
      <c r="F104" s="1" t="s">
        <v>597</v>
      </c>
      <c r="G104" s="1" t="s">
        <v>436</v>
      </c>
      <c r="H104" s="1" t="str">
        <f>VLOOKUP(G104,dataNodes!$B$2:$C$19,2,FALSE)</f>
        <v>Quality</v>
      </c>
      <c r="I104" s="1" t="str">
        <f>VLOOKUP(G104,$M$2:$N$20,2,FALSE)</f>
        <v>d04</v>
      </c>
    </row>
    <row r="105" spans="1:38" x14ac:dyDescent="0.3">
      <c r="A105" s="1" t="s">
        <v>219</v>
      </c>
      <c r="B105" s="1" t="s">
        <v>593</v>
      </c>
      <c r="C105" s="1" t="s">
        <v>373</v>
      </c>
      <c r="D105" s="1" t="s">
        <v>363</v>
      </c>
      <c r="E105" s="5" t="s">
        <v>594</v>
      </c>
      <c r="F105" s="1" t="s">
        <v>597</v>
      </c>
      <c r="G105" s="1" t="s">
        <v>429</v>
      </c>
      <c r="H105" s="1" t="str">
        <f>VLOOKUP(G105,dataNodes!$B$2:$C$19,2,FALSE)</f>
        <v>Infrastructure</v>
      </c>
      <c r="I105" s="1" t="str">
        <f>VLOOKUP(G105,$M$2:$N$20,2,FALSE)</f>
        <v>d01</v>
      </c>
      <c r="J105" s="40"/>
      <c r="K105" s="40"/>
      <c r="L105" s="40"/>
      <c r="M105" s="40"/>
      <c r="N105" s="40"/>
    </row>
    <row r="106" spans="1:38" x14ac:dyDescent="0.3">
      <c r="A106" s="1" t="s">
        <v>219</v>
      </c>
      <c r="B106" s="1" t="s">
        <v>593</v>
      </c>
      <c r="C106" s="1" t="s">
        <v>373</v>
      </c>
      <c r="D106" s="1" t="s">
        <v>363</v>
      </c>
      <c r="E106" s="5" t="s">
        <v>594</v>
      </c>
      <c r="F106" s="1" t="s">
        <v>597</v>
      </c>
      <c r="G106" s="1" t="s">
        <v>441</v>
      </c>
      <c r="H106" s="1" t="str">
        <f>VLOOKUP(G106,dataNodes!$B$2:$C$19,2,FALSE)</f>
        <v>Quantity</v>
      </c>
      <c r="I106" s="1" t="str">
        <f>VLOOKUP(G106,$M$2:$N$20,2,FALSE)</f>
        <v>d06</v>
      </c>
      <c r="J106" s="40"/>
      <c r="K106" s="40"/>
      <c r="L106" s="40"/>
      <c r="M106" s="40"/>
      <c r="N106" s="40"/>
    </row>
    <row r="107" spans="1:38" x14ac:dyDescent="0.3">
      <c r="A107" s="1" t="s">
        <v>223</v>
      </c>
      <c r="B107" s="1" t="s">
        <v>595</v>
      </c>
      <c r="C107" s="1" t="s">
        <v>373</v>
      </c>
      <c r="D107" s="1" t="s">
        <v>363</v>
      </c>
      <c r="E107" s="5" t="s">
        <v>596</v>
      </c>
      <c r="F107" s="1" t="s">
        <v>598</v>
      </c>
      <c r="G107" s="1" t="s">
        <v>465</v>
      </c>
      <c r="H107" s="1" t="str">
        <f>VLOOKUP(G107,dataNodes!$B$2:$C$19,2,FALSE)</f>
        <v>Use</v>
      </c>
      <c r="I107" s="1" t="str">
        <f>VLOOKUP(G107,$M$2:$N$20,2,FALSE)</f>
        <v>d18</v>
      </c>
      <c r="J107" s="40"/>
      <c r="K107" s="40"/>
      <c r="L107" s="40"/>
      <c r="M107" s="40"/>
      <c r="N107" s="40"/>
    </row>
    <row r="108" spans="1:38" x14ac:dyDescent="0.3">
      <c r="A108" s="1" t="s">
        <v>239</v>
      </c>
      <c r="B108" s="1" t="s">
        <v>678</v>
      </c>
      <c r="C108" s="1" t="s">
        <v>297</v>
      </c>
      <c r="D108" s="1" t="s">
        <v>517</v>
      </c>
      <c r="E108" s="1" t="s">
        <v>679</v>
      </c>
      <c r="F108" s="1" t="s">
        <v>683</v>
      </c>
      <c r="G108" s="1" t="s">
        <v>432</v>
      </c>
      <c r="H108" s="1" t="str">
        <f>VLOOKUP(G108,dataNodes!$B$2:$C$19,2,FALSE)</f>
        <v>Infrastructure</v>
      </c>
      <c r="I108" s="1" t="str">
        <f>VLOOKUP(G108,$M$2:$N$20,2,FALSE)</f>
        <v>d02</v>
      </c>
      <c r="J108" s="40"/>
      <c r="K108" s="40"/>
      <c r="L108" s="40"/>
      <c r="M108" s="40"/>
      <c r="N108" s="40"/>
    </row>
    <row r="109" spans="1:38" x14ac:dyDescent="0.3">
      <c r="A109" s="1" t="s">
        <v>239</v>
      </c>
      <c r="B109" s="1" t="s">
        <v>678</v>
      </c>
      <c r="C109" s="1" t="s">
        <v>297</v>
      </c>
      <c r="D109" s="1" t="s">
        <v>517</v>
      </c>
      <c r="E109" s="1" t="s">
        <v>679</v>
      </c>
      <c r="F109" s="1" t="s">
        <v>684</v>
      </c>
      <c r="G109" s="1" t="s">
        <v>429</v>
      </c>
      <c r="H109" s="1" t="str">
        <f>VLOOKUP(G109,dataNodes!$B$2:$C$19,2,FALSE)</f>
        <v>Infrastructure</v>
      </c>
      <c r="I109" s="1" t="str">
        <f>VLOOKUP(G109,$M$2:$N$20,2,FALSE)</f>
        <v>d01</v>
      </c>
      <c r="J109" s="40"/>
      <c r="K109" s="40"/>
      <c r="L109" s="40"/>
      <c r="M109" s="40"/>
      <c r="N109" s="40"/>
    </row>
    <row r="110" spans="1:38" x14ac:dyDescent="0.3">
      <c r="A110" s="1" t="s">
        <v>239</v>
      </c>
      <c r="B110" s="1" t="s">
        <v>678</v>
      </c>
      <c r="C110" s="1" t="s">
        <v>297</v>
      </c>
      <c r="D110" s="1" t="s">
        <v>517</v>
      </c>
      <c r="E110" s="1" t="s">
        <v>679</v>
      </c>
      <c r="F110" s="1" t="s">
        <v>600</v>
      </c>
      <c r="G110" s="1" t="s">
        <v>460</v>
      </c>
      <c r="H110" s="1" t="str">
        <f>VLOOKUP(G110,dataNodes!$B$2:$C$19,2,FALSE)</f>
        <v>Use</v>
      </c>
      <c r="I110" s="1" t="str">
        <f>VLOOKUP(G110,$M$2:$N$20,2,FALSE)</f>
        <v>d15</v>
      </c>
      <c r="J110" s="40"/>
      <c r="K110" s="40"/>
      <c r="L110" s="40"/>
      <c r="M110" s="40"/>
      <c r="N110" s="40"/>
    </row>
    <row r="111" spans="1:38" x14ac:dyDescent="0.3">
      <c r="A111" s="1" t="s">
        <v>239</v>
      </c>
      <c r="B111" s="1" t="s">
        <v>678</v>
      </c>
      <c r="C111" s="1" t="s">
        <v>297</v>
      </c>
      <c r="D111" s="1" t="s">
        <v>517</v>
      </c>
      <c r="E111" s="1" t="s">
        <v>679</v>
      </c>
      <c r="F111" s="1" t="s">
        <v>685</v>
      </c>
      <c r="G111" s="1" t="s">
        <v>455</v>
      </c>
      <c r="H111" s="1" t="str">
        <f>VLOOKUP(G111,dataNodes!$B$2:$C$19,2,FALSE)</f>
        <v>Quantity</v>
      </c>
      <c r="I111" s="1" t="str">
        <f>VLOOKUP(G111,$M$2:$N$20,2,FALSE)</f>
        <v>d13</v>
      </c>
      <c r="J111" s="40"/>
      <c r="K111" s="40"/>
      <c r="L111" s="40"/>
      <c r="M111" s="40"/>
      <c r="N111" s="40"/>
    </row>
    <row r="112" spans="1:38" x14ac:dyDescent="0.3">
      <c r="A112" s="1" t="s">
        <v>239</v>
      </c>
      <c r="B112" s="1" t="s">
        <v>678</v>
      </c>
      <c r="C112" s="1" t="s">
        <v>297</v>
      </c>
      <c r="D112" s="1" t="s">
        <v>517</v>
      </c>
      <c r="E112" s="1" t="s">
        <v>679</v>
      </c>
      <c r="F112" s="1" t="s">
        <v>686</v>
      </c>
      <c r="G112" s="1" t="s">
        <v>438</v>
      </c>
      <c r="H112" s="1" t="str">
        <f>VLOOKUP(G112,dataNodes!$B$2:$C$19,2,FALSE)</f>
        <v>Quantity</v>
      </c>
      <c r="I112" s="1" t="str">
        <f>VLOOKUP(G112,$M$2:$N$20,2,FALSE)</f>
        <v>d05</v>
      </c>
      <c r="J112" s="40"/>
      <c r="K112" s="40"/>
      <c r="L112" s="40"/>
      <c r="M112" s="40"/>
      <c r="N112" s="40"/>
    </row>
    <row r="113" spans="1:14" x14ac:dyDescent="0.3">
      <c r="A113" s="1" t="s">
        <v>239</v>
      </c>
      <c r="B113" s="1" t="s">
        <v>678</v>
      </c>
      <c r="C113" s="1" t="s">
        <v>297</v>
      </c>
      <c r="D113" s="1" t="s">
        <v>517</v>
      </c>
      <c r="E113" s="1" t="s">
        <v>679</v>
      </c>
      <c r="F113" s="1" t="s">
        <v>553</v>
      </c>
      <c r="G113" s="1" t="s">
        <v>449</v>
      </c>
      <c r="H113" s="1" t="str">
        <f>VLOOKUP(G113,dataNodes!$B$2:$C$19,2,FALSE)</f>
        <v>Quantity</v>
      </c>
      <c r="I113" s="1" t="str">
        <f>VLOOKUP(G113,$M$2:$N$20,2,FALSE)</f>
        <v>d10</v>
      </c>
      <c r="J113" s="40"/>
      <c r="K113" s="40"/>
      <c r="L113" s="40"/>
      <c r="M113" s="40"/>
      <c r="N113" s="40"/>
    </row>
    <row r="114" spans="1:14" x14ac:dyDescent="0.3">
      <c r="A114" s="1" t="s">
        <v>239</v>
      </c>
      <c r="B114" s="1" t="s">
        <v>678</v>
      </c>
      <c r="C114" s="1" t="s">
        <v>297</v>
      </c>
      <c r="D114" s="1" t="s">
        <v>517</v>
      </c>
      <c r="E114" s="1" t="s">
        <v>679</v>
      </c>
      <c r="F114" s="1" t="s">
        <v>687</v>
      </c>
      <c r="G114" s="1" t="s">
        <v>447</v>
      </c>
      <c r="H114" s="1" t="str">
        <f>VLOOKUP(G114,dataNodes!$B$2:$C$19,2,FALSE)</f>
        <v>Quantity</v>
      </c>
      <c r="I114" s="1" t="str">
        <f>VLOOKUP(G114,$M$2:$N$20,2,FALSE)</f>
        <v>d09</v>
      </c>
      <c r="J114" s="40"/>
      <c r="K114" s="40"/>
      <c r="L114" s="40"/>
      <c r="M114" s="40"/>
      <c r="N114" s="40"/>
    </row>
    <row r="115" spans="1:14" x14ac:dyDescent="0.3">
      <c r="A115" s="1" t="s">
        <v>241</v>
      </c>
      <c r="B115" s="1" t="s">
        <v>688</v>
      </c>
      <c r="C115" s="1" t="s">
        <v>297</v>
      </c>
      <c r="D115" s="1" t="s">
        <v>517</v>
      </c>
      <c r="E115" s="1" t="s">
        <v>691</v>
      </c>
      <c r="F115" s="1" t="s">
        <v>692</v>
      </c>
      <c r="G115" s="1" t="s">
        <v>460</v>
      </c>
      <c r="H115" s="1" t="str">
        <f>VLOOKUP(G115,dataNodes!$B$2:$C$19,2,FALSE)</f>
        <v>Use</v>
      </c>
      <c r="I115" s="1" t="str">
        <f>VLOOKUP(G115,$M$2:$N$20,2,FALSE)</f>
        <v>d15</v>
      </c>
      <c r="J115" s="40"/>
      <c r="K115" s="40"/>
      <c r="L115" s="40"/>
      <c r="M115" s="40"/>
      <c r="N115" s="40"/>
    </row>
    <row r="116" spans="1:14" x14ac:dyDescent="0.3">
      <c r="A116" s="1" t="s">
        <v>241</v>
      </c>
      <c r="B116" s="1" t="s">
        <v>688</v>
      </c>
      <c r="C116" s="1" t="s">
        <v>297</v>
      </c>
      <c r="D116" s="1" t="s">
        <v>517</v>
      </c>
      <c r="E116" s="1" t="s">
        <v>691</v>
      </c>
      <c r="F116" s="1" t="s">
        <v>531</v>
      </c>
      <c r="G116" s="1" t="s">
        <v>445</v>
      </c>
      <c r="H116" s="1" t="str">
        <f>VLOOKUP(G116,dataNodes!$B$2:$C$19,2,FALSE)</f>
        <v>Quantity</v>
      </c>
      <c r="I116" s="1" t="str">
        <f>VLOOKUP(G116,$M$2:$N$20,2,FALSE)</f>
        <v>d08</v>
      </c>
      <c r="J116" s="40"/>
      <c r="K116" s="40"/>
      <c r="L116" s="40"/>
      <c r="M116" s="40"/>
      <c r="N116" s="40"/>
    </row>
    <row r="117" spans="1:14" x14ac:dyDescent="0.3">
      <c r="A117" s="1" t="s">
        <v>241</v>
      </c>
      <c r="B117" s="1" t="s">
        <v>688</v>
      </c>
      <c r="C117" s="1" t="s">
        <v>297</v>
      </c>
      <c r="D117" s="1" t="s">
        <v>517</v>
      </c>
      <c r="E117" s="1" t="s">
        <v>691</v>
      </c>
      <c r="F117" s="1" t="s">
        <v>512</v>
      </c>
      <c r="G117" s="1" t="s">
        <v>455</v>
      </c>
      <c r="H117" s="1" t="str">
        <f>VLOOKUP(G117,dataNodes!$B$2:$C$19,2,FALSE)</f>
        <v>Quantity</v>
      </c>
      <c r="I117" s="1" t="str">
        <f>VLOOKUP(G117,$M$2:$N$20,2,FALSE)</f>
        <v>d13</v>
      </c>
      <c r="J117" s="40"/>
      <c r="K117" s="40"/>
      <c r="L117" s="40"/>
      <c r="M117" s="40"/>
      <c r="N117" s="40"/>
    </row>
    <row r="118" spans="1:14" x14ac:dyDescent="0.3">
      <c r="A118" s="40" t="s">
        <v>235</v>
      </c>
      <c r="B118" s="50" t="s">
        <v>587</v>
      </c>
      <c r="C118" s="40" t="s">
        <v>588</v>
      </c>
      <c r="D118" s="1" t="s">
        <v>334</v>
      </c>
      <c r="F118" s="1" t="s">
        <v>748</v>
      </c>
      <c r="G118" s="1" t="s">
        <v>463</v>
      </c>
      <c r="H118" s="1" t="str">
        <f>VLOOKUP(G118,dataNodes!$B$2:$C$19,2,FALSE)</f>
        <v>Use</v>
      </c>
      <c r="I118" s="1" t="str">
        <f>VLOOKUP(G118,$M$2:$N$20,2,FALSE)</f>
        <v>d17</v>
      </c>
      <c r="J118" s="40"/>
      <c r="K118" s="40"/>
      <c r="L118" s="40"/>
      <c r="M118" s="40"/>
      <c r="N118" s="40"/>
    </row>
    <row r="119" spans="1:14" x14ac:dyDescent="0.3">
      <c r="J119" s="40"/>
      <c r="K119" s="40"/>
      <c r="L119" s="40"/>
      <c r="M119" s="40"/>
      <c r="N119" s="40"/>
    </row>
    <row r="120" spans="1:14" x14ac:dyDescent="0.3">
      <c r="J120" s="40"/>
      <c r="K120" s="40"/>
      <c r="L120" s="40"/>
      <c r="M120" s="40"/>
      <c r="N120" s="40"/>
    </row>
    <row r="121" spans="1:14" x14ac:dyDescent="0.3">
      <c r="E121" s="5"/>
      <c r="J121" s="40"/>
      <c r="K121" s="40"/>
      <c r="L121" s="40"/>
      <c r="M121" s="40"/>
      <c r="N121" s="51"/>
    </row>
    <row r="122" spans="1:14" x14ac:dyDescent="0.3">
      <c r="E122" s="5"/>
      <c r="J122" s="40"/>
      <c r="K122" s="40"/>
      <c r="L122" s="40"/>
      <c r="M122" s="40"/>
      <c r="N122" s="51"/>
    </row>
    <row r="123" spans="1:14" x14ac:dyDescent="0.3">
      <c r="E123" s="5"/>
      <c r="J123" s="40"/>
      <c r="K123" s="40"/>
      <c r="L123" s="40"/>
      <c r="M123" s="40"/>
      <c r="N123" s="51"/>
    </row>
    <row r="124" spans="1:14" x14ac:dyDescent="0.3">
      <c r="E124" s="5"/>
      <c r="J124" s="40"/>
      <c r="K124" s="40"/>
      <c r="L124" s="40"/>
      <c r="M124" s="40"/>
      <c r="N124" s="51"/>
    </row>
    <row r="125" spans="1:14" x14ac:dyDescent="0.3">
      <c r="E125" s="5"/>
      <c r="J125" s="40"/>
      <c r="K125" s="40"/>
      <c r="L125" s="40"/>
      <c r="M125" s="40"/>
      <c r="N125" s="51"/>
    </row>
    <row r="126" spans="1:14" x14ac:dyDescent="0.3">
      <c r="E126" s="5"/>
      <c r="J126" s="40"/>
      <c r="K126" s="40"/>
      <c r="L126" s="40"/>
      <c r="M126" s="40"/>
      <c r="N126" s="51"/>
    </row>
    <row r="127" spans="1:14" x14ac:dyDescent="0.3">
      <c r="E127" s="5"/>
      <c r="J127" s="40"/>
      <c r="K127" s="40"/>
      <c r="L127" s="40"/>
      <c r="M127" s="40"/>
      <c r="N127" s="40"/>
    </row>
    <row r="128" spans="1:14" x14ac:dyDescent="0.3">
      <c r="E128" s="5"/>
      <c r="J128" s="40"/>
      <c r="K128" s="40"/>
      <c r="L128" s="40"/>
      <c r="M128" s="40"/>
      <c r="N128" s="40"/>
    </row>
    <row r="129" spans="5:14" x14ac:dyDescent="0.3">
      <c r="E129" s="5"/>
      <c r="J129" s="40"/>
      <c r="K129" s="40"/>
      <c r="L129" s="40"/>
      <c r="M129" s="40"/>
      <c r="N129" s="40"/>
    </row>
    <row r="130" spans="5:14" x14ac:dyDescent="0.3">
      <c r="E130" s="5"/>
      <c r="J130" s="40"/>
      <c r="K130" s="40"/>
      <c r="L130" s="40"/>
      <c r="M130" s="40"/>
      <c r="N130" s="40"/>
    </row>
    <row r="131" spans="5:14" x14ac:dyDescent="0.3">
      <c r="E131" s="5"/>
      <c r="J131" s="40"/>
      <c r="K131" s="40"/>
      <c r="L131" s="40"/>
      <c r="M131" s="40"/>
      <c r="N131" s="40"/>
    </row>
    <row r="132" spans="5:14" x14ac:dyDescent="0.3">
      <c r="J132" s="40"/>
      <c r="K132" s="40"/>
      <c r="L132" s="40"/>
      <c r="M132" s="40"/>
      <c r="N132" s="51"/>
    </row>
    <row r="147" spans="5:5" x14ac:dyDescent="0.3">
      <c r="E147" s="5"/>
    </row>
    <row r="148" spans="5:5" x14ac:dyDescent="0.3">
      <c r="E148" s="5"/>
    </row>
    <row r="149" spans="5:5" x14ac:dyDescent="0.3">
      <c r="E149" s="5"/>
    </row>
    <row r="150" spans="5:5" x14ac:dyDescent="0.3">
      <c r="E150" s="5"/>
    </row>
    <row r="151" spans="5:5" x14ac:dyDescent="0.3">
      <c r="E151" s="5"/>
    </row>
    <row r="152" spans="5:5" x14ac:dyDescent="0.3">
      <c r="E152" s="5"/>
    </row>
    <row r="153" spans="5:5" x14ac:dyDescent="0.3">
      <c r="E153" s="5"/>
    </row>
    <row r="154" spans="5:5" x14ac:dyDescent="0.3">
      <c r="E154" s="5"/>
    </row>
  </sheetData>
  <phoneticPr fontId="11" type="noConversion"/>
  <hyperlinks>
    <hyperlink ref="E2" r:id="rId1"/>
    <hyperlink ref="E3" r:id="rId2"/>
    <hyperlink ref="E4" r:id="rId3"/>
    <hyperlink ref="E5" r:id="rId4"/>
    <hyperlink ref="E6" r:id="rId5"/>
    <hyperlink ref="E13" r:id="rId6"/>
    <hyperlink ref="E14" r:id="rId7"/>
    <hyperlink ref="E15" r:id="rId8"/>
    <hyperlink ref="E16" r:id="rId9"/>
    <hyperlink ref="E17" r:id="rId10"/>
    <hyperlink ref="E18" r:id="rId11"/>
    <hyperlink ref="E19" r:id="rId12"/>
    <hyperlink ref="E20" r:id="rId13"/>
    <hyperlink ref="E23" r:id="rId14"/>
    <hyperlink ref="E24" r:id="rId15"/>
    <hyperlink ref="E25" r:id="rId16"/>
    <hyperlink ref="E35" r:id="rId17"/>
    <hyperlink ref="E36" r:id="rId18"/>
    <hyperlink ref="E37" r:id="rId19"/>
    <hyperlink ref="E38" r:id="rId20"/>
    <hyperlink ref="E39" r:id="rId21"/>
    <hyperlink ref="E46" r:id="rId22"/>
    <hyperlink ref="E47" r:id="rId23"/>
    <hyperlink ref="E51" r:id="rId24"/>
    <hyperlink ref="E52" r:id="rId25"/>
    <hyperlink ref="E57" r:id="rId26"/>
    <hyperlink ref="E58" r:id="rId27"/>
    <hyperlink ref="E61" r:id="rId28"/>
    <hyperlink ref="E62" r:id="rId29"/>
    <hyperlink ref="E63" r:id="rId30"/>
    <hyperlink ref="E64" r:id="rId31"/>
    <hyperlink ref="E65" r:id="rId32"/>
    <hyperlink ref="E66" r:id="rId33"/>
    <hyperlink ref="E67" r:id="rId34"/>
    <hyperlink ref="E68" r:id="rId35"/>
    <hyperlink ref="E69" r:id="rId36"/>
    <hyperlink ref="E70" r:id="rId37"/>
    <hyperlink ref="E53" r:id="rId38"/>
    <hyperlink ref="E59" r:id="rId39"/>
    <hyperlink ref="E71" r:id="rId40"/>
    <hyperlink ref="E72" r:id="rId41"/>
    <hyperlink ref="E73" r:id="rId42"/>
    <hyperlink ref="E74" r:id="rId43"/>
    <hyperlink ref="E34" r:id="rId44"/>
    <hyperlink ref="E33" r:id="rId45"/>
    <hyperlink ref="E31" r:id="rId46"/>
    <hyperlink ref="E26" r:id="rId47"/>
    <hyperlink ref="E27" r:id="rId48"/>
    <hyperlink ref="E28" r:id="rId49"/>
    <hyperlink ref="E29" r:id="rId50"/>
    <hyperlink ref="E30" r:id="rId51"/>
    <hyperlink ref="E7" r:id="rId52"/>
    <hyperlink ref="E22" r:id="rId53"/>
    <hyperlink ref="E32" r:id="rId54"/>
    <hyperlink ref="E54" r:id="rId55"/>
    <hyperlink ref="E55" r:id="rId56"/>
    <hyperlink ref="E81" r:id="rId57"/>
    <hyperlink ref="E82" r:id="rId58"/>
    <hyperlink ref="E83" r:id="rId59"/>
    <hyperlink ref="E85" r:id="rId60"/>
    <hyperlink ref="E86" r:id="rId61"/>
    <hyperlink ref="E87" r:id="rId62"/>
    <hyperlink ref="E91" r:id="rId63"/>
    <hyperlink ref="E93" r:id="rId64"/>
    <hyperlink ref="E95" r:id="rId65"/>
    <hyperlink ref="E96" r:id="rId66"/>
    <hyperlink ref="E21" r:id="rId67"/>
    <hyperlink ref="E40" r:id="rId68"/>
    <hyperlink ref="E41" r:id="rId69"/>
    <hyperlink ref="E42" r:id="rId70"/>
    <hyperlink ref="E43" r:id="rId71"/>
    <hyperlink ref="E44" r:id="rId72"/>
    <hyperlink ref="E45" r:id="rId73"/>
    <hyperlink ref="E56" r:id="rId74"/>
    <hyperlink ref="E60" r:id="rId75"/>
    <hyperlink ref="E75" r:id="rId76"/>
    <hyperlink ref="E76" r:id="rId77"/>
    <hyperlink ref="E77" r:id="rId78"/>
    <hyperlink ref="E78" r:id="rId79"/>
    <hyperlink ref="E79" r:id="rId80"/>
    <hyperlink ref="E80" r:id="rId81"/>
    <hyperlink ref="E84" r:id="rId82"/>
    <hyperlink ref="E88" r:id="rId83"/>
    <hyperlink ref="E89" r:id="rId84" display="https://cohealthviz.dphe.state.co.us/t/EnvironmentalEpidemiologyPublic/views/PFAS_PWS_ParticipationDash/PFAS_Sampling_Participation?:origin=card_share_link&amp;:embed=y&amp;:isGuestRedirectFromVizportal=y"/>
    <hyperlink ref="E90" r:id="rId85" display="https://www.colorado.gov/cdphe/ccr"/>
    <hyperlink ref="E92" r:id="rId86"/>
    <hyperlink ref="E94" r:id="rId8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zoomScale="80" zoomScaleNormal="80" workbookViewId="0">
      <selection activeCell="E2" sqref="E2"/>
    </sheetView>
  </sheetViews>
  <sheetFormatPr defaultColWidth="8.796875" defaultRowHeight="15.6" x14ac:dyDescent="0.3"/>
  <cols>
    <col min="1" max="1" width="9.796875" style="1" bestFit="1" customWidth="1"/>
    <col min="2" max="2" width="29.19921875" style="1" customWidth="1"/>
    <col min="3" max="3" width="12.296875" style="1" bestFit="1" customWidth="1"/>
    <col min="4" max="16384" width="8.796875" style="1"/>
  </cols>
  <sheetData>
    <row r="1" spans="1:3" x14ac:dyDescent="0.3">
      <c r="A1" s="4" t="s">
        <v>425</v>
      </c>
      <c r="B1" s="4" t="s">
        <v>426</v>
      </c>
      <c r="C1" s="4" t="s">
        <v>427</v>
      </c>
    </row>
    <row r="2" spans="1:3" x14ac:dyDescent="0.3">
      <c r="A2" s="1" t="s">
        <v>428</v>
      </c>
      <c r="B2" s="1" t="s">
        <v>429</v>
      </c>
      <c r="C2" s="1" t="s">
        <v>430</v>
      </c>
    </row>
    <row r="3" spans="1:3" x14ac:dyDescent="0.3">
      <c r="A3" s="1" t="s">
        <v>431</v>
      </c>
      <c r="B3" s="1" t="s">
        <v>432</v>
      </c>
      <c r="C3" s="1" t="s">
        <v>430</v>
      </c>
    </row>
    <row r="4" spans="1:3" x14ac:dyDescent="0.3">
      <c r="A4" s="1" t="s">
        <v>433</v>
      </c>
      <c r="B4" s="1" t="s">
        <v>434</v>
      </c>
      <c r="C4" s="1" t="s">
        <v>434</v>
      </c>
    </row>
    <row r="5" spans="1:3" x14ac:dyDescent="0.3">
      <c r="A5" s="1" t="s">
        <v>435</v>
      </c>
      <c r="B5" s="1" t="s">
        <v>436</v>
      </c>
      <c r="C5" s="1" t="s">
        <v>434</v>
      </c>
    </row>
    <row r="6" spans="1:3" x14ac:dyDescent="0.3">
      <c r="A6" s="1" t="s">
        <v>437</v>
      </c>
      <c r="B6" s="1" t="s">
        <v>438</v>
      </c>
      <c r="C6" s="1" t="s">
        <v>439</v>
      </c>
    </row>
    <row r="7" spans="1:3" x14ac:dyDescent="0.3">
      <c r="A7" s="1" t="s">
        <v>440</v>
      </c>
      <c r="B7" s="1" t="s">
        <v>441</v>
      </c>
      <c r="C7" s="1" t="s">
        <v>439</v>
      </c>
    </row>
    <row r="8" spans="1:3" x14ac:dyDescent="0.3">
      <c r="A8" s="1" t="s">
        <v>442</v>
      </c>
      <c r="B8" s="1" t="s">
        <v>443</v>
      </c>
      <c r="C8" s="1" t="s">
        <v>439</v>
      </c>
    </row>
    <row r="9" spans="1:3" x14ac:dyDescent="0.3">
      <c r="A9" s="1" t="s">
        <v>444</v>
      </c>
      <c r="B9" s="1" t="s">
        <v>445</v>
      </c>
      <c r="C9" s="1" t="s">
        <v>439</v>
      </c>
    </row>
    <row r="10" spans="1:3" x14ac:dyDescent="0.3">
      <c r="A10" s="1" t="s">
        <v>446</v>
      </c>
      <c r="B10" s="1" t="s">
        <v>447</v>
      </c>
      <c r="C10" s="1" t="s">
        <v>439</v>
      </c>
    </row>
    <row r="11" spans="1:3" x14ac:dyDescent="0.3">
      <c r="A11" s="1" t="s">
        <v>448</v>
      </c>
      <c r="B11" s="1" t="s">
        <v>449</v>
      </c>
      <c r="C11" s="1" t="s">
        <v>439</v>
      </c>
    </row>
    <row r="12" spans="1:3" x14ac:dyDescent="0.3">
      <c r="A12" s="1" t="s">
        <v>450</v>
      </c>
      <c r="B12" s="1" t="s">
        <v>451</v>
      </c>
      <c r="C12" s="1" t="s">
        <v>439</v>
      </c>
    </row>
    <row r="13" spans="1:3" x14ac:dyDescent="0.3">
      <c r="A13" s="1" t="s">
        <v>452</v>
      </c>
      <c r="B13" s="1" t="s">
        <v>453</v>
      </c>
      <c r="C13" s="1" t="s">
        <v>439</v>
      </c>
    </row>
    <row r="14" spans="1:3" x14ac:dyDescent="0.3">
      <c r="A14" s="1" t="s">
        <v>454</v>
      </c>
      <c r="B14" s="1" t="s">
        <v>455</v>
      </c>
      <c r="C14" s="1" t="s">
        <v>439</v>
      </c>
    </row>
    <row r="15" spans="1:3" x14ac:dyDescent="0.3">
      <c r="A15" s="1" t="s">
        <v>456</v>
      </c>
      <c r="B15" s="1" t="s">
        <v>457</v>
      </c>
      <c r="C15" s="1" t="s">
        <v>458</v>
      </c>
    </row>
    <row r="16" spans="1:3" x14ac:dyDescent="0.3">
      <c r="A16" s="1" t="s">
        <v>459</v>
      </c>
      <c r="B16" s="1" t="s">
        <v>460</v>
      </c>
      <c r="C16" s="1" t="s">
        <v>458</v>
      </c>
    </row>
    <row r="17" spans="1:3" x14ac:dyDescent="0.3">
      <c r="A17" s="1" t="s">
        <v>461</v>
      </c>
      <c r="B17" s="1" t="s">
        <v>458</v>
      </c>
      <c r="C17" s="1" t="s">
        <v>458</v>
      </c>
    </row>
    <row r="18" spans="1:3" x14ac:dyDescent="0.3">
      <c r="A18" s="1" t="s">
        <v>462</v>
      </c>
      <c r="B18" s="1" t="s">
        <v>463</v>
      </c>
      <c r="C18" s="1" t="s">
        <v>458</v>
      </c>
    </row>
    <row r="19" spans="1:3" x14ac:dyDescent="0.3">
      <c r="A19" s="1" t="s">
        <v>464</v>
      </c>
      <c r="B19" s="1" t="s">
        <v>465</v>
      </c>
      <c r="C19" s="1" t="s">
        <v>458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heetViews>
  <sheetFormatPr defaultColWidth="8.796875" defaultRowHeight="15.6" x14ac:dyDescent="0.3"/>
  <cols>
    <col min="1" max="16384" width="8.796875" style="1"/>
  </cols>
  <sheetData>
    <row r="1" spans="1:2" x14ac:dyDescent="0.3">
      <c r="A1" s="4" t="s">
        <v>376</v>
      </c>
      <c r="B1" s="4" t="s">
        <v>377</v>
      </c>
    </row>
    <row r="2" spans="1:2" x14ac:dyDescent="0.3">
      <c r="A2" s="1" t="s">
        <v>668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 </vt:lpstr>
      <vt:lpstr>metricsKey</vt:lpstr>
      <vt:lpstr>orgEdges</vt:lpstr>
      <vt:lpstr>orgNodes</vt:lpstr>
      <vt:lpstr>platformNodes</vt:lpstr>
      <vt:lpstr>dataNodeTypes</vt:lpstr>
      <vt:lpstr>dataNodes</vt:lpstr>
      <vt:lpstr>dataEdges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Lauren Patterson</cp:lastModifiedBy>
  <cp:revision/>
  <dcterms:created xsi:type="dcterms:W3CDTF">2018-08-09T20:40:56Z</dcterms:created>
  <dcterms:modified xsi:type="dcterms:W3CDTF">2020-09-01T21:21:41Z</dcterms:modified>
  <cp:category/>
  <cp:contentStatus/>
</cp:coreProperties>
</file>