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nm\"/>
    </mc:Choice>
  </mc:AlternateContent>
  <bookViews>
    <workbookView xWindow="0" yWindow="0" windowWidth="17604" windowHeight="12312" tabRatio="500" firstSheet="4" activeTab="6"/>
  </bookViews>
  <sheets>
    <sheet name="Notes" sheetId="13" r:id="rId1"/>
    <sheet name="orgNodes" sheetId="5" r:id="rId2"/>
    <sheet name="orgEdges" sheetId="6" r:id="rId3"/>
    <sheet name="platformNodes" sheetId="7" r:id="rId4"/>
    <sheet name="dataNodeTypes" sheetId="8" r:id="rId5"/>
    <sheet name="dataEdges" sheetId="9" r:id="rId6"/>
    <sheet name="dataNodes" sheetId="12" r:id="rId7"/>
  </sheets>
  <definedNames>
    <definedName name="_xlnm._FilterDatabase" localSheetId="6" hidden="1">dataNodes!$A$1:$C$19</definedName>
    <definedName name="_xlnm._FilterDatabase" localSheetId="3" hidden="1">platformNodes!$A$1:$U$12</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I112" i="8" l="1"/>
  <c r="I111" i="8"/>
  <c r="I110" i="8"/>
  <c r="F48" i="7"/>
  <c r="I23" i="8" l="1"/>
  <c r="I22" i="8"/>
  <c r="I106" i="8" l="1"/>
  <c r="I107" i="8"/>
  <c r="I108" i="8"/>
  <c r="I109" i="8"/>
  <c r="I105" i="8"/>
  <c r="F47" i="7"/>
  <c r="I104" i="8" l="1"/>
  <c r="I103" i="8"/>
  <c r="F46" i="7"/>
  <c r="I102" i="8"/>
  <c r="F45" i="7"/>
  <c r="I101" i="8"/>
  <c r="I100" i="8"/>
  <c r="F44" i="7"/>
  <c r="I99" i="8"/>
  <c r="I98" i="8"/>
  <c r="I97" i="8"/>
  <c r="I96" i="8"/>
  <c r="I95" i="8"/>
  <c r="F43" i="7"/>
  <c r="I94" i="8"/>
  <c r="I93" i="8"/>
  <c r="I92" i="8"/>
  <c r="I91" i="8"/>
  <c r="I90" i="8"/>
  <c r="F42" i="7"/>
  <c r="I89" i="8"/>
  <c r="F41" i="7"/>
  <c r="I88" i="8"/>
  <c r="F40" i="7"/>
  <c r="I87" i="8"/>
  <c r="I86" i="8"/>
  <c r="I85" i="8"/>
  <c r="I84" i="8"/>
  <c r="F39" i="7"/>
  <c r="F38" i="7" l="1"/>
  <c r="F37" i="7"/>
  <c r="F36" i="7"/>
  <c r="I83" i="8"/>
  <c r="I82" i="8"/>
  <c r="I81" i="8"/>
  <c r="I80" i="8"/>
  <c r="F35" i="7"/>
  <c r="F34" i="7"/>
  <c r="I79" i="8"/>
  <c r="F33" i="7"/>
  <c r="F32" i="7"/>
  <c r="I78" i="8"/>
  <c r="I77" i="8"/>
  <c r="I76" i="8"/>
  <c r="I75" i="8"/>
  <c r="I74" i="8"/>
  <c r="I73" i="8"/>
  <c r="I72" i="8"/>
  <c r="F31" i="7"/>
  <c r="I71" i="8"/>
  <c r="I70" i="8"/>
  <c r="I69" i="8"/>
  <c r="I68" i="8"/>
  <c r="F30" i="7"/>
  <c r="I67" i="8"/>
  <c r="I66" i="8"/>
  <c r="I65" i="8"/>
  <c r="I64" i="8"/>
  <c r="F29" i="7"/>
  <c r="I63" i="8"/>
  <c r="I62" i="8"/>
  <c r="I61" i="8"/>
  <c r="F28" i="7"/>
  <c r="I60" i="8"/>
  <c r="I59" i="8"/>
  <c r="I58" i="8"/>
  <c r="I55" i="8"/>
  <c r="I57" i="8"/>
  <c r="I56" i="8"/>
  <c r="F27" i="7"/>
  <c r="I54" i="8"/>
  <c r="I53" i="8"/>
  <c r="I52" i="8"/>
  <c r="F26" i="7"/>
  <c r="I51" i="8"/>
  <c r="I50" i="8"/>
  <c r="I49" i="8"/>
  <c r="F25" i="7"/>
  <c r="I48" i="8"/>
  <c r="I47" i="8"/>
  <c r="I46" i="8"/>
  <c r="F24" i="7"/>
  <c r="I45" i="8"/>
  <c r="F23" i="7"/>
  <c r="I44" i="8"/>
  <c r="I43" i="8"/>
  <c r="I42" i="8"/>
  <c r="I41" i="8"/>
  <c r="I40" i="8"/>
  <c r="F22" i="7"/>
  <c r="I39" i="8"/>
  <c r="F21" i="7"/>
  <c r="I38" i="8"/>
  <c r="I37" i="8"/>
  <c r="F20" i="7"/>
  <c r="F19" i="7"/>
  <c r="F18" i="7"/>
  <c r="F17" i="7"/>
  <c r="F16" i="7"/>
  <c r="F15" i="7"/>
  <c r="F14" i="7"/>
  <c r="F13" i="7"/>
  <c r="F8" i="7" l="1"/>
  <c r="F9" i="7"/>
  <c r="F2" i="7" l="1"/>
  <c r="F3" i="7" l="1"/>
  <c r="F4" i="7"/>
  <c r="F5" i="7"/>
  <c r="F6" i="7"/>
  <c r="F7" i="7"/>
  <c r="F10" i="7"/>
  <c r="F11" i="7"/>
  <c r="F12" i="7"/>
  <c r="I34" i="8" l="1"/>
  <c r="I36" i="8"/>
  <c r="I32" i="8"/>
  <c r="I35" i="8"/>
  <c r="I33" i="8"/>
  <c r="I31" i="8"/>
  <c r="I30" i="8"/>
  <c r="I29" i="8"/>
  <c r="I28" i="8"/>
  <c r="I27" i="8"/>
  <c r="I21" i="8"/>
  <c r="I26" i="8"/>
  <c r="I25" i="8"/>
  <c r="I24" i="8"/>
  <c r="I20" i="8"/>
  <c r="I17" i="8"/>
  <c r="I16" i="8"/>
  <c r="I19" i="8"/>
  <c r="I18" i="8"/>
  <c r="I2" i="8"/>
  <c r="I3" i="8"/>
  <c r="I4" i="8"/>
  <c r="I5" i="8"/>
  <c r="I6" i="8"/>
  <c r="I7" i="8"/>
  <c r="I8" i="8"/>
  <c r="I9" i="8"/>
  <c r="I10" i="8"/>
  <c r="I11" i="8"/>
  <c r="I12" i="8"/>
  <c r="I13" i="8"/>
  <c r="I14" i="8"/>
  <c r="I15" i="8"/>
</calcChain>
</file>

<file path=xl/sharedStrings.xml><?xml version="1.0" encoding="utf-8"?>
<sst xmlns="http://schemas.openxmlformats.org/spreadsheetml/2006/main" count="2873" uniqueCount="663">
  <si>
    <t>notes</t>
  </si>
  <si>
    <t>Website</t>
  </si>
  <si>
    <t>Groundwater</t>
  </si>
  <si>
    <t>Yes</t>
  </si>
  <si>
    <t>Unknown</t>
  </si>
  <si>
    <t>Low</t>
  </si>
  <si>
    <t>Individual Export</t>
  </si>
  <si>
    <t>html</t>
  </si>
  <si>
    <t>No</t>
  </si>
  <si>
    <t>Drinking Water Watch</t>
  </si>
  <si>
    <t>Department of Agriculture</t>
  </si>
  <si>
    <t>Surface Water</t>
  </si>
  <si>
    <t>Reservoir</t>
  </si>
  <si>
    <t>mission</t>
  </si>
  <si>
    <t>website</t>
  </si>
  <si>
    <t>operational</t>
  </si>
  <si>
    <t>decision</t>
  </si>
  <si>
    <t>regulatory</t>
  </si>
  <si>
    <t>research</t>
  </si>
  <si>
    <t>level</t>
  </si>
  <si>
    <t>n01</t>
  </si>
  <si>
    <t>n02</t>
  </si>
  <si>
    <t>n03</t>
  </si>
  <si>
    <t>n04</t>
  </si>
  <si>
    <t>n05</t>
  </si>
  <si>
    <t>n06</t>
  </si>
  <si>
    <t>n07</t>
  </si>
  <si>
    <t>n08</t>
  </si>
  <si>
    <t>n10</t>
  </si>
  <si>
    <t>n11</t>
  </si>
  <si>
    <t>n12</t>
  </si>
  <si>
    <t>n13</t>
  </si>
  <si>
    <t>from</t>
  </si>
  <si>
    <t>to</t>
  </si>
  <si>
    <t>Utilities</t>
  </si>
  <si>
    <t>p01</t>
  </si>
  <si>
    <t>p02</t>
  </si>
  <si>
    <t>p03</t>
  </si>
  <si>
    <t>p04</t>
  </si>
  <si>
    <t>p05</t>
  </si>
  <si>
    <t>p06</t>
  </si>
  <si>
    <t>p07</t>
  </si>
  <si>
    <t>p08</t>
  </si>
  <si>
    <t>p09</t>
  </si>
  <si>
    <t>p10</t>
  </si>
  <si>
    <t>p11</t>
  </si>
  <si>
    <t>d01</t>
  </si>
  <si>
    <t>d02</t>
  </si>
  <si>
    <t>Evapotranspiration</t>
  </si>
  <si>
    <t>d03</t>
  </si>
  <si>
    <t>d05</t>
  </si>
  <si>
    <t>d06</t>
  </si>
  <si>
    <t>d07</t>
  </si>
  <si>
    <t>Hydropower</t>
  </si>
  <si>
    <t>d08</t>
  </si>
  <si>
    <t>Infrastructure</t>
  </si>
  <si>
    <t>d10</t>
  </si>
  <si>
    <t>Meteorology</t>
  </si>
  <si>
    <t>d11</t>
  </si>
  <si>
    <t>Precipitation</t>
  </si>
  <si>
    <t>d12</t>
  </si>
  <si>
    <t>Regulatory</t>
  </si>
  <si>
    <t>d13</t>
  </si>
  <si>
    <t>d16</t>
  </si>
  <si>
    <t>Soil</t>
  </si>
  <si>
    <t>d17</t>
  </si>
  <si>
    <t>d18</t>
  </si>
  <si>
    <t>Built</t>
  </si>
  <si>
    <t>Natural</t>
  </si>
  <si>
    <t>Quality</t>
  </si>
  <si>
    <t>d04</t>
  </si>
  <si>
    <t>Quantity</t>
  </si>
  <si>
    <t>Extreme Events</t>
  </si>
  <si>
    <t>Glacial and Snow</t>
  </si>
  <si>
    <t>d09</t>
  </si>
  <si>
    <t>d14</t>
  </si>
  <si>
    <t>Use</t>
  </si>
  <si>
    <t>d15</t>
  </si>
  <si>
    <t>Irrigation</t>
  </si>
  <si>
    <t>Management Plans</t>
  </si>
  <si>
    <t>lengthAvailable</t>
  </si>
  <si>
    <t>Period of Record</t>
  </si>
  <si>
    <t>Limited Record</t>
  </si>
  <si>
    <t>Administrative</t>
  </si>
  <si>
    <t>metadata</t>
  </si>
  <si>
    <t>dataDefinitions</t>
  </si>
  <si>
    <t>entity</t>
  </si>
  <si>
    <t>tier1and2entity</t>
  </si>
  <si>
    <t>entityID</t>
  </si>
  <si>
    <t>tier1and2entityID</t>
  </si>
  <si>
    <t>platformID</t>
  </si>
  <si>
    <t>platform</t>
  </si>
  <si>
    <t>webLabel</t>
  </si>
  <si>
    <t>easeDiscover</t>
  </si>
  <si>
    <t>methodDiscover</t>
  </si>
  <si>
    <t>easeAccess</t>
  </si>
  <si>
    <t>methodAccess</t>
  </si>
  <si>
    <t>fileFormat</t>
  </si>
  <si>
    <t>metadataFormat</t>
  </si>
  <si>
    <t>metaAttributes</t>
  </si>
  <si>
    <t>metadataStandards</t>
  </si>
  <si>
    <t>timeliness</t>
  </si>
  <si>
    <t>data</t>
  </si>
  <si>
    <t>dataCategory</t>
  </si>
  <si>
    <t>dataGroup</t>
  </si>
  <si>
    <t>dataID</t>
  </si>
  <si>
    <t>dataID - linked to dataNodes tab</t>
  </si>
  <si>
    <t>dataGroup - linked to dataNodes tab</t>
  </si>
  <si>
    <t>n14</t>
  </si>
  <si>
    <t>n15</t>
  </si>
  <si>
    <t>n19</t>
  </si>
  <si>
    <t>heatmapLabel</t>
  </si>
  <si>
    <t>entityIDAbove</t>
  </si>
  <si>
    <t>NA</t>
  </si>
  <si>
    <t>New Mexico</t>
  </si>
  <si>
    <t>http://www.newmexico.gov/</t>
  </si>
  <si>
    <t>State Land Office</t>
  </si>
  <si>
    <t>Our purpose is funding public education and other public institutions; overseeing 9 million surface acres and 13 million mineral acres.</t>
  </si>
  <si>
    <t>http://www.nmstatelands.org/</t>
  </si>
  <si>
    <t>Oil, Gas and Minerals</t>
  </si>
  <si>
    <t>http://www.nmstatelands.org/Mineral_Resources.aspx</t>
  </si>
  <si>
    <t>Surface Resources</t>
  </si>
  <si>
    <t>http://www.nmstatelands.org/FieldOverview.aspx</t>
  </si>
  <si>
    <t>Oil, Gas, Minerals, PAs, and UAs</t>
  </si>
  <si>
    <t>http://mapservice.nmstatelands.org/OilGasMinerals/</t>
  </si>
  <si>
    <t>None</t>
  </si>
  <si>
    <t>None found</t>
  </si>
  <si>
    <t>http://www.nmda.nmsu.edu/</t>
  </si>
  <si>
    <t>Agricultural Programs and Resources</t>
  </si>
  <si>
    <t>Soil and Water Conservation Districts</t>
  </si>
  <si>
    <t>Acequia and Community Ditch Fund</t>
  </si>
  <si>
    <t>To provide financial assistance for acequia and community ditch systems for developing hydrological studies, acquring technical and legal research, and other services necessary to conserve and protect water.</t>
  </si>
  <si>
    <t>http://www.nmda.nmsu.edu/home/divisions/apr/acequia-and-community-ditch-fund/</t>
  </si>
  <si>
    <t>http://www.nmda.nmsu.edu/home/divisions/apr/soil-and-water-conservation-districts/</t>
  </si>
  <si>
    <t>SWCDs conserve and develop the natural resources of the state, provide for flood control, preserve wildlife, and protect the tax base.  This work promotes the health, safety, and general welfare of the people of New Mexico.</t>
  </si>
  <si>
    <t>Monitors, analyzes, and disseminates information to influence policy decisions affecting viability of agriculture and sustainability of New Mexico’s natural resources</t>
  </si>
  <si>
    <t>Manages nonrenewable resources, evaluate those resources, issue all mineral leases, administer the monthly oil and gas lease sales, process and audit mineral royalty revenue, and administer leases for oil, natural gas, carbon dioxide,... geothermal energy, and other minerals. The Division also administers water and salt water discharge easements, water rights agreements and water exploration and development easements.</t>
  </si>
  <si>
    <t>Manages programs dealing with watershed health, site remediation, illegal dumping, prescribed fire, wildlife management, cultural resources, agricultural leasing, and outdoor recreation.</t>
  </si>
  <si>
    <t>http://www.nmda.nmsu.edu/home/divisions/apr/</t>
  </si>
  <si>
    <t>Governors Office</t>
  </si>
  <si>
    <t>Energy, Minerals and Natural Resources Department</t>
  </si>
  <si>
    <t>n16</t>
  </si>
  <si>
    <t>n17</t>
  </si>
  <si>
    <t>To position New Mexico as a national leader in the energy and natural resources areas for which the Department is responsible</t>
  </si>
  <si>
    <t>http://www.emnrd.state.nm.us/</t>
  </si>
  <si>
    <t>Energy Conservation and Management</t>
  </si>
  <si>
    <t>http://www.emnrd.state.nm.us/ECMD/</t>
  </si>
  <si>
    <t>Develops and implements effective clean energy programs — renewable energy, energy efficiency, alternative  fuels, and safe transportation of radioactive waste — to promote economic growth, environmental sustainability, and wise stewardship of our natural resources while protecting public health and safety for New Mexico and its citizens.</t>
  </si>
  <si>
    <t>http://www.emnrd.state.nm.us/ECMD/wastewaterefficiencyprogram.html</t>
  </si>
  <si>
    <t>Wastewater Efficiency Program</t>
  </si>
  <si>
    <t>Will create, with the input of local communities, a proactive long-range program to significantly reduce wastewater utility costs by applying energy benchmarking, modern software tools, energy efficiency or renewable energy.</t>
  </si>
  <si>
    <t>Govenors Office</t>
  </si>
  <si>
    <t>State Forestry</t>
  </si>
  <si>
    <t>Forest and Watershed Health Program</t>
  </si>
  <si>
    <t>Facilitate implementation of the New Mexico Forest and Watershed Health Plan.</t>
  </si>
  <si>
    <t>http://www.emnrd.state.nm.us/SFD/FWHPlan/ForestAndWaterShedHealth.html</t>
  </si>
  <si>
    <t>To promote healthy, sustainable forests and watersheds for the benefit of current generations and those to come.</t>
  </si>
  <si>
    <t>http://www.emnrd.state.nm.us/SFD/</t>
  </si>
  <si>
    <t>All About Watersheds</t>
  </si>
  <si>
    <t>New Mexico's forest and watershed health information clearninghouse</t>
  </si>
  <si>
    <t>https://allaboutwatersheds.org//</t>
  </si>
  <si>
    <t>https://nm-emnrd.maps.arcgis.com/apps/webappviewer/index.html?id=3e82558620c24942b52e489baa6461af</t>
  </si>
  <si>
    <t>Medium</t>
  </si>
  <si>
    <t>Varies</t>
  </si>
  <si>
    <t>Oil Conservation District</t>
  </si>
  <si>
    <t>Regulates oil and gas activity in New Mexico.</t>
  </si>
  <si>
    <t>http://www.emnrd.state.nm.us/OCD/</t>
  </si>
  <si>
    <t>n18</t>
  </si>
  <si>
    <t>n20</t>
  </si>
  <si>
    <t>n21</t>
  </si>
  <si>
    <t>n22</t>
  </si>
  <si>
    <t>n23</t>
  </si>
  <si>
    <t>n24</t>
  </si>
  <si>
    <t>Environmental Bureau</t>
  </si>
  <si>
    <t>Develops and enforces all of the environmental regulations and programs in the oil and gas industry for the prevention of ground water contamination.</t>
  </si>
  <si>
    <t>http://www.emnrd.state.nm.us/OCD/envbureau.html</t>
  </si>
  <si>
    <t>Data and Statistics</t>
  </si>
  <si>
    <t>State Land</t>
  </si>
  <si>
    <t>http://www.emnrd.state.nm.us/OCD/statistics.html</t>
  </si>
  <si>
    <t>pdf; excel</t>
  </si>
  <si>
    <t>Individual Export; Batch Export; Link to Source</t>
  </si>
  <si>
    <t>Some</t>
  </si>
  <si>
    <t>pdf; excel; xml</t>
  </si>
  <si>
    <t>html; excel</t>
  </si>
  <si>
    <t>Well Data</t>
  </si>
  <si>
    <t>ftp://164.64.106.6/Public/OCD/</t>
  </si>
  <si>
    <t>ftp; Individual Export; Batch Export</t>
  </si>
  <si>
    <t>zip; shapefile; geodatabase; kmz</t>
  </si>
  <si>
    <t>Administrative; Descriptive; Structural</t>
  </si>
  <si>
    <t>https://wwwapps.emnrd.state.nm.us/ocd/ocdpermitting/Data/Wells.aspx#</t>
  </si>
  <si>
    <t>Website; Catalog</t>
  </si>
  <si>
    <t>excel</t>
  </si>
  <si>
    <t>OCD Permitting Well Search</t>
  </si>
  <si>
    <t>Descriptive</t>
  </si>
  <si>
    <t>HUC8, HUC10, HUC12</t>
  </si>
  <si>
    <t>produced water</t>
  </si>
  <si>
    <t>water quality</t>
  </si>
  <si>
    <t>well locations</t>
  </si>
  <si>
    <t>well type, owner, status</t>
  </si>
  <si>
    <t>produced water, injected water</t>
  </si>
  <si>
    <t>Environment Department</t>
  </si>
  <si>
    <t>https://www.env.nm.gov/</t>
  </si>
  <si>
    <t>To protect and restore the environment and to foster a healthy and prosperous New Mexico for present and future generations.</t>
  </si>
  <si>
    <t>n25</t>
  </si>
  <si>
    <t>n26</t>
  </si>
  <si>
    <t>n27</t>
  </si>
  <si>
    <t>n28</t>
  </si>
  <si>
    <t>n29</t>
  </si>
  <si>
    <t>n30</t>
  </si>
  <si>
    <t>n31</t>
  </si>
  <si>
    <t>n32</t>
  </si>
  <si>
    <t>n33</t>
  </si>
  <si>
    <t>Water Protection Division</t>
  </si>
  <si>
    <t>Drinking Water Bureau</t>
  </si>
  <si>
    <t>Ground Water Quality Bureau</t>
  </si>
  <si>
    <t>Surface Water Quality Bureau</t>
  </si>
  <si>
    <t>Construction Programs Bureau</t>
  </si>
  <si>
    <t>https://www.env.nm.gov/drinking_water/</t>
  </si>
  <si>
    <t>Our mission is to preserve, protect and improve New Mexico’s drinking water quality for present and future generations.</t>
  </si>
  <si>
    <t>Responsible for overseeing water infrastructure systems and water quality issues throughout the state</t>
  </si>
  <si>
    <t>https://www.env.nm.gov/water/</t>
  </si>
  <si>
    <t>Protect the environmental quality of New Mexicos groundwater resources as mandated by the Water Quality Act and the New Mexico Ground and Surface Water Protection Regulations, and to identify, investigate, and clean-up contaminated sites which pose significant risks to human health and the environment.</t>
  </si>
  <si>
    <t>https://www.env.nm.gov/gwqb/</t>
  </si>
  <si>
    <t>To preserve, protect, and improve New Mexico’s surface water quality for present and future generations</t>
  </si>
  <si>
    <t>https://www.env.nm.gov/surface-water-quality/</t>
  </si>
  <si>
    <t>Helping communities develop sustainable and secure water, wastewater and solid waste infrastructure through funding and technical assistance.</t>
  </si>
  <si>
    <t>https://www.env.nm.gov/construction-programs/</t>
  </si>
  <si>
    <t>https://dww.water.net.env.nm.gov/NMDWW/</t>
  </si>
  <si>
    <t>Individual Export; Batch Export</t>
  </si>
  <si>
    <t>system characteristics</t>
  </si>
  <si>
    <t>violations of water quality; consumer confidence reports; groundwater systems violating Total Coliform Rule</t>
  </si>
  <si>
    <t>Agricultral Compliance Section</t>
  </si>
  <si>
    <t>Prepares groundwater discharge permits for discharges from dairies and non-dairy agricultural facilities that have the potential to impact groundwater quality.</t>
  </si>
  <si>
    <t>https://www.env.nm.gov/gwqb/acs/</t>
  </si>
  <si>
    <t>List of Ag Discharge Permits</t>
  </si>
  <si>
    <t>Batch Export</t>
  </si>
  <si>
    <t>volume discharge; depth to water</t>
  </si>
  <si>
    <t>Remediation Oversight</t>
  </si>
  <si>
    <t>Encourages and oversees voluntary efforts to clean up contaminated sites, and administers the Ground and Surface Water Protection Regulations that require responsible parties to clean up contaminated soil and groundwater.</t>
  </si>
  <si>
    <t>https://www.env.nm.gov/gwqb/ros/</t>
  </si>
  <si>
    <t>Remediation &amp; Superfund Sites</t>
  </si>
  <si>
    <t>pdf; excel; html</t>
  </si>
  <si>
    <t>groundwater depth; flow direction</t>
  </si>
  <si>
    <t>clean up site locations; type; status; contamination; regulatory status</t>
  </si>
  <si>
    <t>n34</t>
  </si>
  <si>
    <t>n35</t>
  </si>
  <si>
    <t>n36</t>
  </si>
  <si>
    <t>n37</t>
  </si>
  <si>
    <t>Monitoring, Assessment &amp; Standards Section</t>
  </si>
  <si>
    <t>Point Source Regulation Section</t>
  </si>
  <si>
    <t>Watershed Protection Section</t>
  </si>
  <si>
    <t>https://www.env.nm.gov/surface-water-quality/monitoring-assessment-and-standards-section/</t>
  </si>
  <si>
    <t>Responsible for monitoring water quality, developing water quality standards, and assessing TMDLs for CWA reporting.</t>
  </si>
  <si>
    <t>Total Maximum Daily Loads</t>
  </si>
  <si>
    <t>https://www.env.nm.gov/surface-water-quality/tmdl/</t>
  </si>
  <si>
    <t>Yearly or Higher</t>
  </si>
  <si>
    <t>pdf</t>
  </si>
  <si>
    <t>https://gis.web.env.nm.gov/oem/?map=swqb</t>
  </si>
  <si>
    <t>Interactive GIS Mapper</t>
  </si>
  <si>
    <t>Link to Source</t>
  </si>
  <si>
    <t>Link to Source; Web Services</t>
  </si>
  <si>
    <t>json; geojson; unknown</t>
  </si>
  <si>
    <t>streams with TMDL; TMDL</t>
  </si>
  <si>
    <t>water bodies, locations, streams</t>
  </si>
  <si>
    <t>Fish locations, beaver habitat</t>
  </si>
  <si>
    <t>NPDES permits; imparied waters</t>
  </si>
  <si>
    <t>https://www.env.nm.gov/surface-water-quality/point-source-regulation-section/</t>
  </si>
  <si>
    <t xml:space="preserve">Responsible for the protection of surface water quality through implementation of states Ground and Surface Water Protection Regulations dealing with point source discharges, spill reporting, etc. </t>
  </si>
  <si>
    <t>NPDES Permits</t>
  </si>
  <si>
    <t>https://www.env.nm.gov/surface-water-quality/npdes-permits/</t>
  </si>
  <si>
    <t>Current Only</t>
  </si>
  <si>
    <t>NPDES permits</t>
  </si>
  <si>
    <t>location of gauges, permits, climate stations, points of diversion, drinking water systems, etc.</t>
  </si>
  <si>
    <t>Administers the nonpoint source, wetlands, and river stewardship programs.</t>
  </si>
  <si>
    <t>https://www.env.nm.gov/surface-water-quality/watershed-protection-section/</t>
  </si>
  <si>
    <t>Game and Fish Department</t>
  </si>
  <si>
    <t>http://www.wildlife.state.nm.us/</t>
  </si>
  <si>
    <t>To conserve, regulate, propagate and protect the wildlife and fish within the state of New Mexico using a flexible management system that ensures sustainable use for public food supply, recreation and safety; and to provide for off-highway motor vehicle recreation that recognizes cultural, historic, and resource values while ensuring public safety.</t>
  </si>
  <si>
    <t>p12</t>
  </si>
  <si>
    <t>Weekly Stocking Report</t>
  </si>
  <si>
    <t>http://www.wildlife.state.nm.us/fishing/weekly-report/</t>
  </si>
  <si>
    <t>Weekly or Higher</t>
  </si>
  <si>
    <t>fish stocking data</t>
  </si>
  <si>
    <t>I am not sure what to call fish stocking… since it is for management I put it there</t>
  </si>
  <si>
    <t>Wastewater Management</t>
  </si>
  <si>
    <t>Responsible for monitoring and controlling the generation, storage, transportation, and disposal of wastes in New Mexico.</t>
  </si>
  <si>
    <t>https://www.env.nm.gov/waste/</t>
  </si>
  <si>
    <t>To protect the health and welfare of present and future citizens of New Mexico by providing for the prevention and abatement of public health hazards and surface and ground water contamination from on-site liquid waste disposal practices.</t>
  </si>
  <si>
    <t>https://www.env.nm.gov/liquid_waste/</t>
  </si>
  <si>
    <t>Monthly or Higher</t>
  </si>
  <si>
    <t>Office of the State Engineer</t>
  </si>
  <si>
    <t>Points of Diversion</t>
  </si>
  <si>
    <t>p13</t>
  </si>
  <si>
    <t>Environmental Health Bureau</t>
  </si>
  <si>
    <t>Infrastructure Development Report</t>
  </si>
  <si>
    <t>https://www.env.nm.gov/construction-programs/cpb-forms-and-documents/</t>
  </si>
  <si>
    <t>funding of infrastructure projects</t>
  </si>
  <si>
    <t>Similarly - putting financial infrastructure data as management</t>
  </si>
  <si>
    <t>Health &amp; Safety</t>
  </si>
  <si>
    <t xml:space="preserve">Responsible for providing the highest quality of life throughout the state by promoting a safe, clean, and productive environment. </t>
  </si>
  <si>
    <t>https://www.env.nm.gov/healthandsafety/</t>
  </si>
  <si>
    <t>Assesses food, liquid waste, swimming pool, and hemp.</t>
  </si>
  <si>
    <t>Liquid Waste Program</t>
  </si>
  <si>
    <t>p14</t>
  </si>
  <si>
    <t>Wastewater Treatment System Permit Finder</t>
  </si>
  <si>
    <t>https://lwop.waste.web.env.nm.gov/wwtspf/</t>
  </si>
  <si>
    <t>Notes</t>
  </si>
  <si>
    <t>Data could not be retrieved</t>
  </si>
  <si>
    <t>p15</t>
  </si>
  <si>
    <t>https://www.env.nm.gov/environmental_health/</t>
  </si>
  <si>
    <t>Department of Health</t>
  </si>
  <si>
    <t>Promote health and wellness, improve health outcomes, and assure safety net services for all people in New Mexico.</t>
  </si>
  <si>
    <t>https://nmhealth.org/</t>
  </si>
  <si>
    <t>Epidemiology &amp; Response Division</t>
  </si>
  <si>
    <t xml:space="preserve">Tracks infectious diseases, injury and health statistics, trains organizations in disease control, injury prevention, responds to public health emergencies and provides vital records services. </t>
  </si>
  <si>
    <t>Environmental Health Epidemiology Bureau</t>
  </si>
  <si>
    <t>Reduce the prevalence of environmentally-related adverse health outcomes</t>
  </si>
  <si>
    <t>https://nmhealth.org/about/erd/eheb/</t>
  </si>
  <si>
    <t>https://nmhealth.org/about/erd/</t>
  </si>
  <si>
    <t>Environmental Public Health Tracking</t>
  </si>
  <si>
    <t>https://nmtracking.org/dataportal/</t>
  </si>
  <si>
    <t>Catalog</t>
  </si>
  <si>
    <t>Yes; Permission Required</t>
  </si>
  <si>
    <t>html; excel; xml</t>
  </si>
  <si>
    <t xml:space="preserve">cws; water quality; system size; </t>
  </si>
  <si>
    <t>https://nmtracking.org/</t>
  </si>
  <si>
    <t xml:space="preserve">private well inventory; map of concentrations; </t>
  </si>
  <si>
    <t>number of days with high heat</t>
  </si>
  <si>
    <t>Individual Export; Link to Source</t>
  </si>
  <si>
    <t>https://nmhealth.org/data/environment/</t>
  </si>
  <si>
    <t>Environmental Health Data</t>
  </si>
  <si>
    <t>p16</t>
  </si>
  <si>
    <t>violations by water systems; waterborne disease</t>
  </si>
  <si>
    <t>boil advisories, CWS violations</t>
  </si>
  <si>
    <t>Department of Homeland Security &amp; Emergency Management</t>
  </si>
  <si>
    <t>To protect the people of New Mexico and the nation through a comprehensive, consolidated, and coordinated program of mitigating hazards, preparing for emergencies, preventing attacks, and responding and recovering from events that occur without regard to cause.</t>
  </si>
  <si>
    <t>http://www.nmdhsem.org/</t>
  </si>
  <si>
    <t>n38</t>
  </si>
  <si>
    <t>Adjunct Agencies</t>
  </si>
  <si>
    <t>Agencies, boards, commissions, offices of the executive branch not assigned to the elected constitutional officers.</t>
  </si>
  <si>
    <t>n39</t>
  </si>
  <si>
    <t>n40</t>
  </si>
  <si>
    <t>Water Resources Allocation Program</t>
  </si>
  <si>
    <t>Interstate Stream Commission Program</t>
  </si>
  <si>
    <t>n41</t>
  </si>
  <si>
    <t>Litigation and Adjudication Program</t>
  </si>
  <si>
    <t>Water Rights Division</t>
  </si>
  <si>
    <t>n42</t>
  </si>
  <si>
    <t>n43</t>
  </si>
  <si>
    <t>n44</t>
  </si>
  <si>
    <t>To investigate and develop the water supplies of the state and institute legal proceedings in the name of the state for planning, conservation, protection and development of public waters.</t>
  </si>
  <si>
    <t>https://www.ose.state.nm.us/ISC/index.php</t>
  </si>
  <si>
    <t>https://www.ose.state.nm.us/</t>
  </si>
  <si>
    <t>Has authority over the supervision, measurement, appropriation, and distribution of all surface and groundwater in New Mexico.</t>
  </si>
  <si>
    <t>https://www.ose.state.nm.us/Legal/LAP.php</t>
  </si>
  <si>
    <t>Provide legal representation to the Water Resources Allocation Program in all water right administrative hearings and to the State Engineer in appeals of his decisions to district court.</t>
  </si>
  <si>
    <t>https://www.ose.state.nm.us/WR/index.php</t>
  </si>
  <si>
    <t>Responsible for processing water rights applications, conducting the scientific research for making those water rights decisions, maintaining water rights records, and enforcing any conditions or restrictions on water use.</t>
  </si>
  <si>
    <t>Dam Safety Bureau</t>
  </si>
  <si>
    <t>Hydrology Bureau</t>
  </si>
  <si>
    <t>Water Use and Conservation</t>
  </si>
  <si>
    <t>n46</t>
  </si>
  <si>
    <t>n47</t>
  </si>
  <si>
    <t>Ensures that dams in New Mexico are designed, constructed, operated, and maintained as safely as possible.</t>
  </si>
  <si>
    <t>https://www.ose.state.nm.us/WR/WRindex.php</t>
  </si>
  <si>
    <t>Evaluates applications for a new appropriation or to change the place/purpose of use of an existing right.</t>
  </si>
  <si>
    <t xml:space="preserve">Develops water resource models and administrative policies, evaluate water abailability, assess and quantify hydrologic impact, and research/design technical projects. </t>
  </si>
  <si>
    <t>https://www.ose.state.nm.us/dams/index.php</t>
  </si>
  <si>
    <t>https://www.ose.state.nm.us/Hydrology/index.php</t>
  </si>
  <si>
    <t>Inventories surface and groundater withdrawals and coordinates water conservation activities for the state.</t>
  </si>
  <si>
    <t>https://www.ose.state.nm.us/WUC/index.php</t>
  </si>
  <si>
    <t>p17</t>
  </si>
  <si>
    <t>NM Water Rights Reporting System</t>
  </si>
  <si>
    <t>OSE</t>
  </si>
  <si>
    <t>Adjunct Agency</t>
  </si>
  <si>
    <t>High</t>
  </si>
  <si>
    <t>http://nmwrrs.ose.state.nm.us/nmwrrs/index.html</t>
  </si>
  <si>
    <t>pdf; html; excel; txt; csv</t>
  </si>
  <si>
    <t>well locations; point of diversion</t>
  </si>
  <si>
    <t>well depth, water depth</t>
  </si>
  <si>
    <t xml:space="preserve">water rights status; water rights summary; diversion; acres, consumptive; </t>
  </si>
  <si>
    <t>Hard to find - have to click on help</t>
  </si>
  <si>
    <t>p18</t>
  </si>
  <si>
    <t>Points of Diversion Location</t>
  </si>
  <si>
    <t>https://gis.ose.state.nm.us/gisapps/ose_pod_locations/</t>
  </si>
  <si>
    <t>Catalog; Map</t>
  </si>
  <si>
    <t>Map</t>
  </si>
  <si>
    <t>Batch Export; Individual Export; Web Services</t>
  </si>
  <si>
    <t>csv; geojson; pdf</t>
  </si>
  <si>
    <t>type of diversion; water use; water rights</t>
  </si>
  <si>
    <t>declared groundater basins; i</t>
  </si>
  <si>
    <t xml:space="preserve">location of diversions; irrigation districts; </t>
  </si>
  <si>
    <t>surface water basins</t>
  </si>
  <si>
    <t>This is a much nicer way to pull data on NMWRRS. Data dictionary is on a totally different website - which is a problem.</t>
  </si>
  <si>
    <t>https://www.ose.state.nm.us/GIS/maps.php</t>
  </si>
  <si>
    <t>p19</t>
  </si>
  <si>
    <t>Geospatial Open Data Site</t>
  </si>
  <si>
    <t>River Basin Compact Maps</t>
  </si>
  <si>
    <t>Web Services; Batch Export</t>
  </si>
  <si>
    <t>excel; geojson; shapefile; kml</t>
  </si>
  <si>
    <t>http://geospatialdata-ose.opendata.arcgis.com/</t>
  </si>
  <si>
    <t>https://ose.maps.arcgis.com/home/index.html</t>
  </si>
  <si>
    <t>p20</t>
  </si>
  <si>
    <t>Gallery for NM OSE</t>
  </si>
  <si>
    <t>It's hard to figure out for some of these how to access data - like Acequia Project that is embedded in an app, but the actual data can be found: https://ose.maps.arcgis.com/home/search.html?t=content&amp;q=tags%3A%22Acequia%20Mapping%22&amp;start=1&amp;num=20. Can only find if they tag the data.</t>
  </si>
  <si>
    <t>shapefile</t>
  </si>
  <si>
    <t>Descriptive; Administrative</t>
  </si>
  <si>
    <t>adjudicated areas; PODs; planning zones; storage sites; declared GW basins</t>
  </si>
  <si>
    <t>p21</t>
  </si>
  <si>
    <t>Drought Conditions</t>
  </si>
  <si>
    <t>OSE-WRAP</t>
  </si>
  <si>
    <t>https://www.ose.state.nm.us/Drought/index.php</t>
  </si>
  <si>
    <t>pdf; jpg</t>
  </si>
  <si>
    <t>Daily or Higher</t>
  </si>
  <si>
    <t>drought conditions</t>
  </si>
  <si>
    <t>precipitation</t>
  </si>
  <si>
    <t>streamflow</t>
  </si>
  <si>
    <t>reservoir levels</t>
  </si>
  <si>
    <t>snowpakc data</t>
  </si>
  <si>
    <t>Drought in New Mexico</t>
  </si>
  <si>
    <t>p22</t>
  </si>
  <si>
    <t>https://www.ose.state.nm.us/Library/</t>
  </si>
  <si>
    <t>Water Planning in New Mexico</t>
  </si>
  <si>
    <t>Administrative; Descriptive</t>
  </si>
  <si>
    <t>https://www.ose.state.nm.us/Planning/index.php</t>
  </si>
  <si>
    <t>state and regional management plans</t>
  </si>
  <si>
    <t>Some of these have a lot of data embedded within. Appendices with metadata too.</t>
  </si>
  <si>
    <t>p23</t>
  </si>
  <si>
    <t>Canadian River Basin</t>
  </si>
  <si>
    <t>OSE-ISC</t>
  </si>
  <si>
    <t>https://www.ose.state.nm.us/Basins/Canadian/isc_Canadian.php</t>
  </si>
  <si>
    <t>Links to source are on right column. Many links failed to load</t>
  </si>
  <si>
    <t>management plans and reports</t>
  </si>
  <si>
    <t>p24</t>
  </si>
  <si>
    <t>Colorado River Basin</t>
  </si>
  <si>
    <t>https://www.ose.state.nm.us/Basins/Colorado/isc_Colorado.php</t>
  </si>
  <si>
    <t>water use</t>
  </si>
  <si>
    <t>p25</t>
  </si>
  <si>
    <t>Pecos River Basin</t>
  </si>
  <si>
    <t>https://www.ose.state.nm.us/Basins/Pecos/isc_Pecos.php</t>
  </si>
  <si>
    <t>groundwater level; depth</t>
  </si>
  <si>
    <t>flumes for irrigation</t>
  </si>
  <si>
    <t>Unknown; excel; html; jpg; pdf</t>
  </si>
  <si>
    <t>p26</t>
  </si>
  <si>
    <t>Rio Grande River Basin</t>
  </si>
  <si>
    <t>https://www.ose.state.nm.us/Basins/RioGrande/index.php</t>
  </si>
  <si>
    <t>Unknown; jpeg; html</t>
  </si>
  <si>
    <t>Several links broken</t>
  </si>
  <si>
    <t>Found in PDF on Water Supply; Also has metadata documentation for this pdf</t>
  </si>
  <si>
    <t>The Basins section of OSE has a lot of links to outside sources but many of the links were broken or didn't work. Links to sources also get lower scores because some will have metadata while others won't. Without delving into individual data for the each link (which the goal here is the platform - which links to sources), there are a lot of unknowns.</t>
  </si>
  <si>
    <t>p27</t>
  </si>
  <si>
    <t>Lower Pecos River Basin</t>
  </si>
  <si>
    <t>Unknown; pdf</t>
  </si>
  <si>
    <t>stream flow</t>
  </si>
  <si>
    <t>infrastructure specs for reservoirs</t>
  </si>
  <si>
    <t>water use - riparian, open, agriculture</t>
  </si>
  <si>
    <t>consumptive agricultural water use</t>
  </si>
  <si>
    <t>reservoir volume; reservoir levels</t>
  </si>
  <si>
    <t>water diversions - volumes</t>
  </si>
  <si>
    <t>https://www.ose.state.nm.us/Basins/LowerPecos/index.php</t>
  </si>
  <si>
    <t>Lower Rio Grande River Basin shows up twice - I only counted it once within the entire Rio Grande River Basin</t>
  </si>
  <si>
    <t>Similarly, San Juan River Basin shows up within the Colorado River Basin - did not count again.</t>
  </si>
  <si>
    <t>Nambe-Pojaque-Tesuque did not link directly to any data. They were links to links with a pdf report for 2004. Did not include.</t>
  </si>
  <si>
    <t>Mimbres was questionable but they do have data for 2007 and 2008 so kept</t>
  </si>
  <si>
    <t>p28</t>
  </si>
  <si>
    <t>Mimbres River Basin</t>
  </si>
  <si>
    <t>https://www.ose.state.nm.us/Basins/Mimbres/index.php</t>
  </si>
  <si>
    <t>snowpack; SWE</t>
  </si>
  <si>
    <t>seasonal drought</t>
  </si>
  <si>
    <t>p29</t>
  </si>
  <si>
    <t>Rio Chama River Basin</t>
  </si>
  <si>
    <t>https://www.ose.state.nm.us/Basins/RioChama/index.php</t>
  </si>
  <si>
    <t>municipal water use</t>
  </si>
  <si>
    <t>irrigation water use</t>
  </si>
  <si>
    <t>p30</t>
  </si>
  <si>
    <t>Rio Gallinas River Basin</t>
  </si>
  <si>
    <t>https://www.ose.state.nm.us/Basins/RioGallinas/index.php</t>
  </si>
  <si>
    <t>water diversions and users</t>
  </si>
  <si>
    <t>snowpack</t>
  </si>
  <si>
    <t>https://www.ose.state.nm.us/ISC/isc_compacts.php</t>
  </si>
  <si>
    <t>river basin compacts</t>
  </si>
  <si>
    <t>I put river basin compacts down as management plans - could be regulatory though that has largely been for quality</t>
  </si>
  <si>
    <t>p31</t>
  </si>
  <si>
    <t>River Basin Compacts</t>
  </si>
  <si>
    <t>If I do compacts - do I need to do every single settlement???</t>
  </si>
  <si>
    <t>p32</t>
  </si>
  <si>
    <t>Strategic Water Reserve</t>
  </si>
  <si>
    <t>https://www.ose.state.nm.us/ISC/isc_SWR.php</t>
  </si>
  <si>
    <t>inventory of water rights used for ESA</t>
  </si>
  <si>
    <t>p33</t>
  </si>
  <si>
    <t>Water Master Reports</t>
  </si>
  <si>
    <t>https://www.ose.state.nm.us/WM/watermasters.php</t>
  </si>
  <si>
    <t>p34</t>
  </si>
  <si>
    <t>Real Time Information &amp; Measurement System</t>
  </si>
  <si>
    <t>http://meas.ose.state.nm.us/</t>
  </si>
  <si>
    <t>Link to Source; Individual Export</t>
  </si>
  <si>
    <t>pdf; html; jpg</t>
  </si>
  <si>
    <t>discharge from conservation pipes</t>
  </si>
  <si>
    <t>tons and tons of gw data</t>
  </si>
  <si>
    <t>https://www.ose.state.nm.us/Hydrology/aquifer.php</t>
  </si>
  <si>
    <t>p35</t>
  </si>
  <si>
    <t>Aquifer Test Index</t>
  </si>
  <si>
    <t>OSE-Hydrology</t>
  </si>
  <si>
    <t>Aquifer Test</t>
  </si>
  <si>
    <t>Have a tab with field descriptions and a point of contact for questions</t>
  </si>
  <si>
    <t>p36</t>
  </si>
  <si>
    <t>Espanola Basin Technology Advisory Group GIS Data</t>
  </si>
  <si>
    <t>https://www.ose.state.nm.us/Hydrology/EBTAG.php</t>
  </si>
  <si>
    <t>zip; shapefile</t>
  </si>
  <si>
    <t>p37</t>
  </si>
  <si>
    <t>Statewide Groundwater Level Monitoring Program</t>
  </si>
  <si>
    <t>https://www.ose.state.nm.us/Hydrology/groundWater.php</t>
  </si>
  <si>
    <t>in data</t>
  </si>
  <si>
    <t>Links to USGS</t>
  </si>
  <si>
    <t>p38</t>
  </si>
  <si>
    <t>Water Use</t>
  </si>
  <si>
    <t>OSE-WUC</t>
  </si>
  <si>
    <t>shapefiles</t>
  </si>
  <si>
    <t>groundwater levels</t>
  </si>
  <si>
    <t>Water use by category</t>
  </si>
  <si>
    <t>https://www.ose.state.nm.us/WUC/wuc_waterUseData.php</t>
  </si>
  <si>
    <t>I think this is USGS data… which you can get in machine-readable formats</t>
  </si>
  <si>
    <t>p39</t>
  </si>
  <si>
    <t>NM Water Audits</t>
  </si>
  <si>
    <t>https://www.ose.state.nm.us/WUC/wuc_accounting.php</t>
  </si>
  <si>
    <t>water audits - use by customer class, financial, non-revenue, all kinds of cool stuff</t>
  </si>
  <si>
    <t>https://www.ose.state.nm.us/Subdiv/subdiv.php</t>
  </si>
  <si>
    <t>p40</t>
  </si>
  <si>
    <t>Subdivision Review</t>
  </si>
  <si>
    <t>information on water available for subdivision use</t>
  </si>
  <si>
    <t>Can include changes in gw level, water rights, etc.</t>
  </si>
  <si>
    <t>n48</t>
  </si>
  <si>
    <t>Finance Authority</t>
  </si>
  <si>
    <t>Providing innovative financing and strengthening communities</t>
  </si>
  <si>
    <t>https://www.nmfa.net/</t>
  </si>
  <si>
    <t>n49</t>
  </si>
  <si>
    <t>Water Programs</t>
  </si>
  <si>
    <t>The water project fund invests in projects that have been identified as being urgent to meet the needs of a regional water planning area that has been accepted by the Interstate Stream Commision; that have matching contributions from federal or local sources; and that have obtained all required permits.</t>
  </si>
  <si>
    <t>https://www.nmfa.net/financing/water-programs/water-trust-board/</t>
  </si>
  <si>
    <t>https://weather.nmsu.edu/</t>
  </si>
  <si>
    <t>n50</t>
  </si>
  <si>
    <t>New Mexico Climate Center</t>
  </si>
  <si>
    <t>Responsible for the maintenance of a state-wide agricultural weather station network, which helps our agricultural based community and our research scientists.</t>
  </si>
  <si>
    <t>p41</t>
  </si>
  <si>
    <t>New Mexico State University</t>
  </si>
  <si>
    <t>NMSU</t>
  </si>
  <si>
    <t>temperature; wind; humidity</t>
  </si>
  <si>
    <t>soil climate</t>
  </si>
  <si>
    <t>html; jpeg; csv</t>
  </si>
  <si>
    <t>The data are very easy to find on the website - but finding this website was hard - bottom corner of org chart. Within website - lots of images. Hard to find how to get time series.</t>
  </si>
  <si>
    <t>reference ET</t>
  </si>
  <si>
    <t>n51</t>
  </si>
  <si>
    <t>Bureau of Geology and Mineral Resources</t>
  </si>
  <si>
    <t>We serve the citizens of NM by conducting research, distributing accurate and timely information, and providing public education and outreach about the geology of NM.</t>
  </si>
  <si>
    <t>https://geoinfo.nmt.edu/</t>
  </si>
  <si>
    <t>n52</t>
  </si>
  <si>
    <t>Natural Resources</t>
  </si>
  <si>
    <t>n53</t>
  </si>
  <si>
    <t>Water Resources</t>
  </si>
  <si>
    <t>Understand the geologic context and hydrolgic dynamics of our state's aquifers.</t>
  </si>
  <si>
    <t>https://geoinfo.nmt.edu/resources/water/home.html</t>
  </si>
  <si>
    <t>Understanding how geology and water use affect the supply and quality of water is key to our survival in this arid climate.</t>
  </si>
  <si>
    <t>https://geoinfo.nmt.edu/resources/home.html</t>
  </si>
  <si>
    <t>p42</t>
  </si>
  <si>
    <t>I could not find any data from geoinfo.nmt.edu - all pubs / reports with some numbers or had to pay for access.</t>
  </si>
  <si>
    <t>Stuff I only found because of Water Supply Plan</t>
  </si>
  <si>
    <t>https://www.env.nm.gov/doeob/doe-ob-laos-data/</t>
  </si>
  <si>
    <t>n54</t>
  </si>
  <si>
    <t>DOE Oversight Bureau</t>
  </si>
  <si>
    <t>Conducts independent environmental monitoring of Department of Energy (DOE) operations in New Mexico and provides transparent, unbiased, and publicly available information to the citizens of New Mexico.</t>
  </si>
  <si>
    <t>https://www.env.nm.gov/doeob/</t>
  </si>
  <si>
    <t>Los Alamos Oversight Section</t>
  </si>
  <si>
    <t>https://www.intellusnm.com/</t>
  </si>
  <si>
    <t>excel; shapefile; zip</t>
  </si>
  <si>
    <t>Despite the promising interface, I did not find this to be intuitive or easy to use.</t>
  </si>
  <si>
    <t>Data were somewhat easy to find here - but finding Intellusnm only because in water supply plan. Also - not easy to find or extract data within it.</t>
  </si>
  <si>
    <t>groundwater level</t>
  </si>
  <si>
    <t>groundwater quality</t>
  </si>
  <si>
    <t>soil</t>
  </si>
  <si>
    <t>meteorology tower</t>
  </si>
  <si>
    <t>p43</t>
  </si>
  <si>
    <t>Sandia Oversight Section</t>
  </si>
  <si>
    <t>https://www.env.nm.gov/doeob/doe-ob-sos-data/</t>
  </si>
  <si>
    <t>; soil vapor qualitygroundwater quality</t>
  </si>
  <si>
    <t>n55</t>
  </si>
  <si>
    <t>Water Resources Research Institute</t>
  </si>
  <si>
    <t>https://nmwrri.nmsu.edu/</t>
  </si>
  <si>
    <t>https://nmwrri.nmsu.edu/. They have a cool water budget tool but can't access data. They say they maintain data, but did not provide links to those data.</t>
  </si>
  <si>
    <t>At the bottom of the page they have more details about components but no data.</t>
  </si>
  <si>
    <t xml:space="preserve">Buried in the pdfs are links to the actual data. </t>
  </si>
  <si>
    <t xml:space="preserve">For instance, produced water is located here: </t>
  </si>
  <si>
    <t>http://octane.nmt.edu/gotech/Water/producedwater.aspx</t>
  </si>
  <si>
    <t>https://nmwrri.nmsu.edu/5376-2/#PW-Y1</t>
  </si>
  <si>
    <t>p44</t>
  </si>
  <si>
    <t>https://nmwrri.nmsu.edu/category-blocks-swa/#DSWB</t>
  </si>
  <si>
    <t>pdf; html</t>
  </si>
  <si>
    <t>Statewide Water Assessment</t>
  </si>
  <si>
    <t>Produced Water; Use by categories</t>
  </si>
  <si>
    <t>Data are not obtainable</t>
  </si>
  <si>
    <t>n56</t>
  </si>
  <si>
    <t>GO-TECH</t>
  </si>
  <si>
    <t>n57</t>
  </si>
  <si>
    <t>New Mexico Tech</t>
  </si>
  <si>
    <t>https://www.nmt.edu/</t>
  </si>
  <si>
    <t xml:space="preserve">Funds research conducted by faculty and students from universities across the state to address water problems critical to New Mexico and the Southwest. </t>
  </si>
  <si>
    <t>Serves the state and beyond through education, research, and service, focused in science, technology, engineering, and mathematics.</t>
  </si>
  <si>
    <t>To be a resource for historical oil and gas production data for New Mexico, and to provide this data in a quick, accurate, and easy-to-use.manner.</t>
  </si>
  <si>
    <t>http://octane.nmt.edu/gotech/Main.aspx</t>
  </si>
  <si>
    <t>n58</t>
  </si>
  <si>
    <t>p45</t>
  </si>
  <si>
    <t>Produced Water Data</t>
  </si>
  <si>
    <t>NMT-GO-TECH</t>
  </si>
  <si>
    <t>groundwater depth</t>
  </si>
  <si>
    <t>To serve the diverse needs of the state through comprehensive programs of education, research, extension and outreach, and public service. </t>
  </si>
  <si>
    <t>https://nmsu.edu/</t>
  </si>
  <si>
    <t>n59</t>
  </si>
  <si>
    <t>Earth Data Analysis Center</t>
  </si>
  <si>
    <t>n60</t>
  </si>
  <si>
    <t>University of New Mexico</t>
  </si>
  <si>
    <t>https://edac.unm.edu/</t>
  </si>
  <si>
    <t>https://www.unm.edu/</t>
  </si>
  <si>
    <t>Engage students, faculty, and staff in its comprehensive educational, research, and service programs.</t>
  </si>
  <si>
    <t>To serve the spatial needs of Federal agencies; state, local and tribal governments; professional societies, organizations; and advisory bodies nationally and internationa;;u/</t>
  </si>
  <si>
    <t>http://rgis.unm.edu/</t>
  </si>
  <si>
    <t>p46</t>
  </si>
  <si>
    <t>UNM-EDAC</t>
  </si>
  <si>
    <t>Resource Geographic Information System (RGIS)</t>
  </si>
  <si>
    <t xml:space="preserve">flood risk maps; </t>
  </si>
  <si>
    <t xml:space="preserve">PRISM data - temperature; </t>
  </si>
  <si>
    <t>watershed boundary</t>
  </si>
  <si>
    <t>xml; html</t>
  </si>
  <si>
    <t>administrative boundaries</t>
  </si>
  <si>
    <t>Glossary is on a different page</t>
  </si>
  <si>
    <t>Batch Export; Copy and Paste</t>
  </si>
  <si>
    <t>Individual Export; Web Services; Link to Source</t>
  </si>
  <si>
    <t>raster; shapefile; kml; geojson; json; csv; excel; zip; png</t>
  </si>
  <si>
    <t>description of septic tanks</t>
  </si>
  <si>
    <t>location, infrastructure type</t>
  </si>
  <si>
    <t>I think NM has a lot of good stuff - you can find data dictionaries and metdata information but it is often hard to find (I just happened to see Appendix A - Metadata Database) for instance.</t>
  </si>
  <si>
    <t>Kyle sent me the direct link the the NMBGMR Interactive Map but I could not find that on the website… turns out it is a link at the bottom of a paragraph in one of the projects.</t>
  </si>
  <si>
    <t>p47</t>
  </si>
  <si>
    <t>NMBGMR Interative Map</t>
  </si>
  <si>
    <t>NMT-BGMR</t>
  </si>
  <si>
    <t>https://maps.nmt.edu/</t>
  </si>
  <si>
    <t>csv</t>
  </si>
  <si>
    <t>Individual Export; Batch Export; Web Services</t>
  </si>
  <si>
    <t>Can batch the location but individual the time series - at least my understanding. Could not tell if shapefiles were accessible via web services or if webservices were used for time series?</t>
  </si>
  <si>
    <t>NMBGMR Interactive Map</t>
  </si>
  <si>
    <t>Bureau of Geology and Minerals</t>
  </si>
  <si>
    <t>quality</t>
  </si>
  <si>
    <t>points of diversion</t>
  </si>
  <si>
    <t>EMNRD</t>
  </si>
  <si>
    <t>ENV-DWW</t>
  </si>
  <si>
    <t>ENV-GWQB</t>
  </si>
  <si>
    <t>ENV-SWQB</t>
  </si>
  <si>
    <t>ENV</t>
  </si>
  <si>
    <t>ENV-Game &amp; Fish</t>
  </si>
  <si>
    <t>ENV-Construction</t>
  </si>
  <si>
    <t>ENV-Liquid Waste Bureau</t>
  </si>
  <si>
    <t>ENV-EHEB</t>
  </si>
  <si>
    <t>ENV-DOE-OB</t>
  </si>
  <si>
    <t>Oil Conservation Division</t>
  </si>
  <si>
    <t>EMNRD-OCD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</si>
</sst>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color theme="1"/>
      <name val="Calibri"/>
      <family val="2"/>
      <scheme val="minor"/>
    </font>
    <font>
      <b/>
      <sz val="12"/>
      <color theme="1"/>
      <name val="Calibri"/>
      <family val="2"/>
      <scheme val="minor"/>
    </font>
    <font>
      <u/>
      <sz val="12"/>
      <color theme="10"/>
      <name val="Calibri"/>
      <family val="2"/>
      <scheme val="minor"/>
    </font>
    <font>
      <b/>
      <sz val="12"/>
      <color theme="1"/>
      <name val="Times New Roman"/>
      <family val="1"/>
    </font>
    <font>
      <sz val="12"/>
      <color rgb="FF000000"/>
      <name val="Calibri"/>
      <family val="2"/>
      <scheme val="minor"/>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2" borderId="0" xfId="0" applyFill="1"/>
    <xf numFmtId="0" fontId="1" fillId="2" borderId="1" xfId="0" applyFont="1" applyFill="1" applyBorder="1" applyAlignment="1">
      <alignment horizontal="center"/>
    </xf>
    <xf numFmtId="0" fontId="1" fillId="2" borderId="0" xfId="0" applyFont="1" applyFill="1"/>
    <xf numFmtId="0" fontId="0" fillId="3" borderId="0" xfId="0" applyFill="1" applyAlignment="1">
      <alignment horizontal="center"/>
    </xf>
    <xf numFmtId="0" fontId="1" fillId="2" borderId="1" xfId="0" applyFont="1" applyFill="1" applyBorder="1"/>
    <xf numFmtId="0" fontId="2" fillId="2" borderId="0" xfId="1" applyFill="1"/>
    <xf numFmtId="0" fontId="0" fillId="3" borderId="0" xfId="0" applyFill="1"/>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3" fillId="2" borderId="0" xfId="0" applyFont="1" applyFill="1"/>
    <xf numFmtId="0" fontId="0" fillId="2" borderId="0" xfId="0" applyFill="1" applyAlignment="1">
      <alignment horizontal="center"/>
    </xf>
    <xf numFmtId="0" fontId="2" fillId="0" borderId="0" xfId="1"/>
    <xf numFmtId="0" fontId="1" fillId="2" borderId="0" xfId="0" applyFont="1" applyFill="1" applyAlignment="1">
      <alignment horizontal="center"/>
    </xf>
    <xf numFmtId="0" fontId="0" fillId="2" borderId="0" xfId="0" applyFont="1" applyFill="1"/>
    <xf numFmtId="0" fontId="0" fillId="2" borderId="0" xfId="0" applyFont="1" applyFill="1" applyAlignment="1"/>
    <xf numFmtId="0" fontId="4" fillId="2" borderId="0" xfId="0" applyFont="1" applyFill="1"/>
    <xf numFmtId="0" fontId="5" fillId="2" borderId="0" xfId="0" applyFont="1" applyFill="1"/>
    <xf numFmtId="0" fontId="0" fillId="2" borderId="0" xfId="0" applyFont="1" applyFill="1" applyAlignment="1">
      <alignment horizontal="center"/>
    </xf>
    <xf numFmtId="0" fontId="1" fillId="4" borderId="0" xfId="0" applyFont="1" applyFill="1"/>
    <xf numFmtId="0" fontId="0" fillId="4" borderId="0" xfId="0" applyFill="1"/>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ctane.nmt.edu/gotech/Water/producedwater.aspx" TargetMode="External"/><Relationship Id="rId1" Type="http://schemas.openxmlformats.org/officeDocument/2006/relationships/hyperlink" Target="https://www.env.nm.gov/doeob/doe-ob-laos-dat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emnrd.state.nm.us/SFD/" TargetMode="External"/><Relationship Id="rId18" Type="http://schemas.openxmlformats.org/officeDocument/2006/relationships/hyperlink" Target="https://www.env.nm.gov/drinking_water/" TargetMode="External"/><Relationship Id="rId26" Type="http://schemas.openxmlformats.org/officeDocument/2006/relationships/hyperlink" Target="https://www.env.nm.gov/surface-water-quality/point-source-regulation-section/" TargetMode="External"/><Relationship Id="rId39" Type="http://schemas.openxmlformats.org/officeDocument/2006/relationships/hyperlink" Target="https://www.ose.state.nm.us/Legal/LAP.php" TargetMode="External"/><Relationship Id="rId21" Type="http://schemas.openxmlformats.org/officeDocument/2006/relationships/hyperlink" Target="https://www.env.nm.gov/surface-water-quality/" TargetMode="External"/><Relationship Id="rId34" Type="http://schemas.openxmlformats.org/officeDocument/2006/relationships/hyperlink" Target="https://nmhealth.org/about/erd/eheb/" TargetMode="External"/><Relationship Id="rId42" Type="http://schemas.openxmlformats.org/officeDocument/2006/relationships/hyperlink" Target="https://www.ose.state.nm.us/dams/index.php" TargetMode="External"/><Relationship Id="rId47" Type="http://schemas.openxmlformats.org/officeDocument/2006/relationships/hyperlink" Target="https://weather.nmsu.edu/" TargetMode="External"/><Relationship Id="rId50" Type="http://schemas.openxmlformats.org/officeDocument/2006/relationships/hyperlink" Target="https://geoinfo.nmt.edu/resources/home.html" TargetMode="External"/><Relationship Id="rId55" Type="http://schemas.openxmlformats.org/officeDocument/2006/relationships/hyperlink" Target="https://nmsu.edu/" TargetMode="External"/><Relationship Id="rId7" Type="http://schemas.openxmlformats.org/officeDocument/2006/relationships/hyperlink" Target="http://www.nmda.nmsu.edu/home/divisions/apr/soil-and-water-conservation-districts/" TargetMode="External"/><Relationship Id="rId12" Type="http://schemas.openxmlformats.org/officeDocument/2006/relationships/hyperlink" Target="http://www.emnrd.state.nm.us/SFD/FWHPlan/ForestAndWaterShedHealth.html" TargetMode="External"/><Relationship Id="rId17" Type="http://schemas.openxmlformats.org/officeDocument/2006/relationships/hyperlink" Target="https://www.env.nm.gov/" TargetMode="External"/><Relationship Id="rId25" Type="http://schemas.openxmlformats.org/officeDocument/2006/relationships/hyperlink" Target="https://www.env.nm.gov/surface-water-quality/monitoring-assessment-and-standards-section/" TargetMode="External"/><Relationship Id="rId33" Type="http://schemas.openxmlformats.org/officeDocument/2006/relationships/hyperlink" Target="https://nmhealth.org/" TargetMode="External"/><Relationship Id="rId38" Type="http://schemas.openxmlformats.org/officeDocument/2006/relationships/hyperlink" Target="https://www.ose.state.nm.us/" TargetMode="External"/><Relationship Id="rId46" Type="http://schemas.openxmlformats.org/officeDocument/2006/relationships/hyperlink" Target="https://www.nmfa.net/financing/water-programs/water-trust-board/" TargetMode="External"/><Relationship Id="rId2" Type="http://schemas.openxmlformats.org/officeDocument/2006/relationships/hyperlink" Target="http://www.nmstatelands.org/" TargetMode="External"/><Relationship Id="rId16" Type="http://schemas.openxmlformats.org/officeDocument/2006/relationships/hyperlink" Target="http://www.emnrd.state.nm.us/OCD/envbureau.html" TargetMode="External"/><Relationship Id="rId20" Type="http://schemas.openxmlformats.org/officeDocument/2006/relationships/hyperlink" Target="https://www.env.nm.gov/gwqb/" TargetMode="External"/><Relationship Id="rId29" Type="http://schemas.openxmlformats.org/officeDocument/2006/relationships/hyperlink" Target="https://www.env.nm.gov/waste/" TargetMode="External"/><Relationship Id="rId41" Type="http://schemas.openxmlformats.org/officeDocument/2006/relationships/hyperlink" Target="https://www.ose.state.nm.us/WR/WRindex.php" TargetMode="External"/><Relationship Id="rId54" Type="http://schemas.openxmlformats.org/officeDocument/2006/relationships/hyperlink" Target="http://octane.nmt.edu/gotech/Main.aspx" TargetMode="External"/><Relationship Id="rId1" Type="http://schemas.openxmlformats.org/officeDocument/2006/relationships/hyperlink" Target="http://www.newmexico.gov/" TargetMode="External"/><Relationship Id="rId6" Type="http://schemas.openxmlformats.org/officeDocument/2006/relationships/hyperlink" Target="http://www.nmda.nmsu.edu/home/divisions/apr/acequia-and-community-ditch-fund/" TargetMode="External"/><Relationship Id="rId11" Type="http://schemas.openxmlformats.org/officeDocument/2006/relationships/hyperlink" Target="http://www.emnrd.state.nm.us/ECMD/wastewaterefficiencyprogram.html" TargetMode="External"/><Relationship Id="rId24" Type="http://schemas.openxmlformats.org/officeDocument/2006/relationships/hyperlink" Target="https://www.env.nm.gov/gwqb/ros/" TargetMode="External"/><Relationship Id="rId32" Type="http://schemas.openxmlformats.org/officeDocument/2006/relationships/hyperlink" Target="https://www.env.nm.gov/environmental_health/" TargetMode="External"/><Relationship Id="rId37" Type="http://schemas.openxmlformats.org/officeDocument/2006/relationships/hyperlink" Target="https://www.ose.state.nm.us/ISC/index.php" TargetMode="External"/><Relationship Id="rId40" Type="http://schemas.openxmlformats.org/officeDocument/2006/relationships/hyperlink" Target="https://www.ose.state.nm.us/WR/index.php" TargetMode="External"/><Relationship Id="rId45" Type="http://schemas.openxmlformats.org/officeDocument/2006/relationships/hyperlink" Target="https://www.nmfa.net/" TargetMode="External"/><Relationship Id="rId53" Type="http://schemas.openxmlformats.org/officeDocument/2006/relationships/hyperlink" Target="https://www.nmt.edu/" TargetMode="External"/><Relationship Id="rId58" Type="http://schemas.openxmlformats.org/officeDocument/2006/relationships/printerSettings" Target="../printerSettings/printerSettings2.bin"/><Relationship Id="rId5" Type="http://schemas.openxmlformats.org/officeDocument/2006/relationships/hyperlink" Target="http://www.nmda.nmsu.edu/" TargetMode="External"/><Relationship Id="rId15" Type="http://schemas.openxmlformats.org/officeDocument/2006/relationships/hyperlink" Target="http://www.emnrd.state.nm.us/OCD/" TargetMode="External"/><Relationship Id="rId23" Type="http://schemas.openxmlformats.org/officeDocument/2006/relationships/hyperlink" Target="https://www.env.nm.gov/gwqb/acs/" TargetMode="External"/><Relationship Id="rId28" Type="http://schemas.openxmlformats.org/officeDocument/2006/relationships/hyperlink" Target="http://www.wildlife.state.nm.us/" TargetMode="External"/><Relationship Id="rId36" Type="http://schemas.openxmlformats.org/officeDocument/2006/relationships/hyperlink" Target="http://www.nmdhsem.org/" TargetMode="External"/><Relationship Id="rId49" Type="http://schemas.openxmlformats.org/officeDocument/2006/relationships/hyperlink" Target="https://geoinfo.nmt.edu/resources/water/home.html" TargetMode="External"/><Relationship Id="rId57" Type="http://schemas.openxmlformats.org/officeDocument/2006/relationships/hyperlink" Target="https://www.unm.edu/" TargetMode="External"/><Relationship Id="rId10" Type="http://schemas.openxmlformats.org/officeDocument/2006/relationships/hyperlink" Target="http://www.emnrd.state.nm.us/ECMD/" TargetMode="External"/><Relationship Id="rId19" Type="http://schemas.openxmlformats.org/officeDocument/2006/relationships/hyperlink" Target="https://www.env.nm.gov/water/" TargetMode="External"/><Relationship Id="rId31" Type="http://schemas.openxmlformats.org/officeDocument/2006/relationships/hyperlink" Target="https://www.env.nm.gov/healthandsafety/" TargetMode="External"/><Relationship Id="rId44" Type="http://schemas.openxmlformats.org/officeDocument/2006/relationships/hyperlink" Target="https://www.ose.state.nm.us/WUC/index.php" TargetMode="External"/><Relationship Id="rId52" Type="http://schemas.openxmlformats.org/officeDocument/2006/relationships/hyperlink" Target="https://nmwrri.nmsu.edu/" TargetMode="External"/><Relationship Id="rId4" Type="http://schemas.openxmlformats.org/officeDocument/2006/relationships/hyperlink" Target="http://www.nmstatelands.org/FieldOverview.aspx" TargetMode="External"/><Relationship Id="rId9" Type="http://schemas.openxmlformats.org/officeDocument/2006/relationships/hyperlink" Target="http://www.emnrd.state.nm.us/" TargetMode="External"/><Relationship Id="rId14" Type="http://schemas.openxmlformats.org/officeDocument/2006/relationships/hyperlink" Target="https://allaboutwatersheds.org/" TargetMode="External"/><Relationship Id="rId22" Type="http://schemas.openxmlformats.org/officeDocument/2006/relationships/hyperlink" Target="https://www.env.nm.gov/construction-programs/" TargetMode="External"/><Relationship Id="rId27" Type="http://schemas.openxmlformats.org/officeDocument/2006/relationships/hyperlink" Target="https://www.env.nm.gov/surface-water-quality/watershed-protection-section/" TargetMode="External"/><Relationship Id="rId30" Type="http://schemas.openxmlformats.org/officeDocument/2006/relationships/hyperlink" Target="https://www.env.nm.gov/liquid_waste/" TargetMode="External"/><Relationship Id="rId35" Type="http://schemas.openxmlformats.org/officeDocument/2006/relationships/hyperlink" Target="https://nmhealth.org/about/erd/" TargetMode="External"/><Relationship Id="rId43" Type="http://schemas.openxmlformats.org/officeDocument/2006/relationships/hyperlink" Target="https://www.ose.state.nm.us/Hydrology/index.php" TargetMode="External"/><Relationship Id="rId48" Type="http://schemas.openxmlformats.org/officeDocument/2006/relationships/hyperlink" Target="https://geoinfo.nmt.edu/" TargetMode="External"/><Relationship Id="rId56" Type="http://schemas.openxmlformats.org/officeDocument/2006/relationships/hyperlink" Target="https://edac.unm.edu/" TargetMode="External"/><Relationship Id="rId8" Type="http://schemas.openxmlformats.org/officeDocument/2006/relationships/hyperlink" Target="http://www.nmda.nmsu.edu/home/divisions/apr/" TargetMode="External"/><Relationship Id="rId51" Type="http://schemas.openxmlformats.org/officeDocument/2006/relationships/hyperlink" Target="https://www.env.nm.gov/doeob/" TargetMode="External"/><Relationship Id="rId3" Type="http://schemas.openxmlformats.org/officeDocument/2006/relationships/hyperlink" Target="http://www.nmstatelands.org/Mineral_Resource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env.nm.gov/gwqb/ros/" TargetMode="External"/><Relationship Id="rId13" Type="http://schemas.openxmlformats.org/officeDocument/2006/relationships/hyperlink" Target="https://www.env.nm.gov/construction-programs/cpb-forms-and-documents/" TargetMode="External"/><Relationship Id="rId18" Type="http://schemas.openxmlformats.org/officeDocument/2006/relationships/hyperlink" Target="https://gis.ose.state.nm.us/gisapps/ose_pod_locations/" TargetMode="External"/><Relationship Id="rId26" Type="http://schemas.openxmlformats.org/officeDocument/2006/relationships/hyperlink" Target="https://www.ose.state.nm.us/Basins/RioGrande/index.php" TargetMode="External"/><Relationship Id="rId39" Type="http://schemas.openxmlformats.org/officeDocument/2006/relationships/hyperlink" Target="https://www.ose.state.nm.us/WUC/wuc_accounting.php" TargetMode="External"/><Relationship Id="rId3" Type="http://schemas.openxmlformats.org/officeDocument/2006/relationships/hyperlink" Target="http://www.emnrd.state.nm.us/OCD/statistics.html" TargetMode="External"/><Relationship Id="rId21" Type="http://schemas.openxmlformats.org/officeDocument/2006/relationships/hyperlink" Target="https://www.ose.state.nm.us/Drought/index.php" TargetMode="External"/><Relationship Id="rId34" Type="http://schemas.openxmlformats.org/officeDocument/2006/relationships/hyperlink" Target="http://meas.ose.state.nm.us/" TargetMode="External"/><Relationship Id="rId42" Type="http://schemas.openxmlformats.org/officeDocument/2006/relationships/hyperlink" Target="https://www.intellusnm.com/" TargetMode="External"/><Relationship Id="rId47" Type="http://schemas.openxmlformats.org/officeDocument/2006/relationships/hyperlink" Target="https://maps.nmt.edu/" TargetMode="External"/><Relationship Id="rId7" Type="http://schemas.openxmlformats.org/officeDocument/2006/relationships/hyperlink" Target="https://www.env.nm.gov/gwqb/acs/" TargetMode="External"/><Relationship Id="rId12" Type="http://schemas.openxmlformats.org/officeDocument/2006/relationships/hyperlink" Target="http://www.wildlife.state.nm.us/fishing/weekly-report/" TargetMode="External"/><Relationship Id="rId17" Type="http://schemas.openxmlformats.org/officeDocument/2006/relationships/hyperlink" Target="http://nmwrrs.ose.state.nm.us/nmwrrs/index.html" TargetMode="External"/><Relationship Id="rId25" Type="http://schemas.openxmlformats.org/officeDocument/2006/relationships/hyperlink" Target="https://www.ose.state.nm.us/Basins/Pecos/isc_Pecos.php" TargetMode="External"/><Relationship Id="rId33" Type="http://schemas.openxmlformats.org/officeDocument/2006/relationships/hyperlink" Target="https://www.ose.state.nm.us/WM/watermasters.php" TargetMode="External"/><Relationship Id="rId38" Type="http://schemas.openxmlformats.org/officeDocument/2006/relationships/hyperlink" Target="https://www.ose.state.nm.us/WUC/wuc_waterUseData.php" TargetMode="External"/><Relationship Id="rId46" Type="http://schemas.openxmlformats.org/officeDocument/2006/relationships/hyperlink" Target="http://rgis.unm.edu/" TargetMode="External"/><Relationship Id="rId2" Type="http://schemas.openxmlformats.org/officeDocument/2006/relationships/hyperlink" Target="https://nm-emnrd.maps.arcgis.com/apps/webappviewer/index.html?id=3e82558620c24942b52e489baa6461af" TargetMode="External"/><Relationship Id="rId16" Type="http://schemas.openxmlformats.org/officeDocument/2006/relationships/hyperlink" Target="https://nmhealth.org/data/environment/" TargetMode="External"/><Relationship Id="rId20" Type="http://schemas.openxmlformats.org/officeDocument/2006/relationships/hyperlink" Target="https://ose.maps.arcgis.com/home/index.html" TargetMode="External"/><Relationship Id="rId29" Type="http://schemas.openxmlformats.org/officeDocument/2006/relationships/hyperlink" Target="https://www.ose.state.nm.us/Basins/RioChama/index.php" TargetMode="External"/><Relationship Id="rId41" Type="http://schemas.openxmlformats.org/officeDocument/2006/relationships/hyperlink" Target="https://weather.nmsu.edu/" TargetMode="External"/><Relationship Id="rId1" Type="http://schemas.openxmlformats.org/officeDocument/2006/relationships/hyperlink" Target="http://mapservice.nmstatelands.org/OilGasMinerals/" TargetMode="External"/><Relationship Id="rId6" Type="http://schemas.openxmlformats.org/officeDocument/2006/relationships/hyperlink" Target="https://dww.water.net.env.nm.gov/NMDWW/" TargetMode="External"/><Relationship Id="rId11" Type="http://schemas.openxmlformats.org/officeDocument/2006/relationships/hyperlink" Target="https://www.env.nm.gov/surface-water-quality/npdes-permits/" TargetMode="External"/><Relationship Id="rId24" Type="http://schemas.openxmlformats.org/officeDocument/2006/relationships/hyperlink" Target="https://www.ose.state.nm.us/Basins/Colorado/isc_Colorado.php" TargetMode="External"/><Relationship Id="rId32" Type="http://schemas.openxmlformats.org/officeDocument/2006/relationships/hyperlink" Target="https://www.ose.state.nm.us/ISC/isc_SWR.php" TargetMode="External"/><Relationship Id="rId37" Type="http://schemas.openxmlformats.org/officeDocument/2006/relationships/hyperlink" Target="https://www.ose.state.nm.us/Hydrology/groundWater.php" TargetMode="External"/><Relationship Id="rId40" Type="http://schemas.openxmlformats.org/officeDocument/2006/relationships/hyperlink" Target="https://www.ose.state.nm.us/Subdiv/subdiv.php" TargetMode="External"/><Relationship Id="rId45" Type="http://schemas.openxmlformats.org/officeDocument/2006/relationships/hyperlink" Target="http://octane.nmt.edu/gotech/Water/producedwater.aspx" TargetMode="External"/><Relationship Id="rId5" Type="http://schemas.openxmlformats.org/officeDocument/2006/relationships/hyperlink" Target="https://wwwapps.emnrd.state.nm.us/ocd/ocdpermitting/Data/Wells.aspx" TargetMode="External"/><Relationship Id="rId15" Type="http://schemas.openxmlformats.org/officeDocument/2006/relationships/hyperlink" Target="https://nmtracking.org/dataportal/" TargetMode="External"/><Relationship Id="rId23" Type="http://schemas.openxmlformats.org/officeDocument/2006/relationships/hyperlink" Target="https://www.ose.state.nm.us/Basins/Canadian/isc_Canadian.php" TargetMode="External"/><Relationship Id="rId28" Type="http://schemas.openxmlformats.org/officeDocument/2006/relationships/hyperlink" Target="https://www.ose.state.nm.us/Basins/Mimbres/index.php" TargetMode="External"/><Relationship Id="rId36" Type="http://schemas.openxmlformats.org/officeDocument/2006/relationships/hyperlink" Target="https://www.ose.state.nm.us/Hydrology/EBTAG.php" TargetMode="External"/><Relationship Id="rId10" Type="http://schemas.openxmlformats.org/officeDocument/2006/relationships/hyperlink" Target="https://gis.web.env.nm.gov/oem/?map=swqb" TargetMode="External"/><Relationship Id="rId19" Type="http://schemas.openxmlformats.org/officeDocument/2006/relationships/hyperlink" Target="https://www.ose.state.nm.us/GIS/maps.php" TargetMode="External"/><Relationship Id="rId31" Type="http://schemas.openxmlformats.org/officeDocument/2006/relationships/hyperlink" Target="https://www.ose.state.nm.us/ISC/isc_compacts.php" TargetMode="External"/><Relationship Id="rId44" Type="http://schemas.openxmlformats.org/officeDocument/2006/relationships/hyperlink" Target="https://nmwrri.nmsu.edu/category-blocks-swa/" TargetMode="External"/><Relationship Id="rId4" Type="http://schemas.openxmlformats.org/officeDocument/2006/relationships/hyperlink" Target="ftp://164.64.106.6/Public/OCD/" TargetMode="External"/><Relationship Id="rId9" Type="http://schemas.openxmlformats.org/officeDocument/2006/relationships/hyperlink" Target="https://www.env.nm.gov/surface-water-quality/tmdl/" TargetMode="External"/><Relationship Id="rId14" Type="http://schemas.openxmlformats.org/officeDocument/2006/relationships/hyperlink" Target="https://lwop.waste.web.env.nm.gov/wwtspf/" TargetMode="External"/><Relationship Id="rId22" Type="http://schemas.openxmlformats.org/officeDocument/2006/relationships/hyperlink" Target="https://www.ose.state.nm.us/Library/" TargetMode="External"/><Relationship Id="rId27" Type="http://schemas.openxmlformats.org/officeDocument/2006/relationships/hyperlink" Target="https://www.ose.state.nm.us/Basins/LowerPecos/index.php" TargetMode="External"/><Relationship Id="rId30" Type="http://schemas.openxmlformats.org/officeDocument/2006/relationships/hyperlink" Target="https://www.ose.state.nm.us/Basins/RioGallinas/index.php" TargetMode="External"/><Relationship Id="rId35" Type="http://schemas.openxmlformats.org/officeDocument/2006/relationships/hyperlink" Target="https://www.ose.state.nm.us/Hydrology/aquifer.php" TargetMode="External"/><Relationship Id="rId43" Type="http://schemas.openxmlformats.org/officeDocument/2006/relationships/hyperlink" Target="https://www.env.nm.gov/doeob/doe-ob-sos-data/" TargetMode="External"/><Relationship Id="rId48"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nmwrrs.ose.state.nm.us/nmwrrs/index.html" TargetMode="External"/><Relationship Id="rId21" Type="http://schemas.openxmlformats.org/officeDocument/2006/relationships/hyperlink" Target="https://nmtracking.org/" TargetMode="External"/><Relationship Id="rId42" Type="http://schemas.openxmlformats.org/officeDocument/2006/relationships/hyperlink" Target="https://www.ose.state.nm.us/Planning/index.php" TargetMode="External"/><Relationship Id="rId47" Type="http://schemas.openxmlformats.org/officeDocument/2006/relationships/hyperlink" Target="https://www.ose.state.nm.us/Basins/Colorado/isc_Colorado.php" TargetMode="External"/><Relationship Id="rId63" Type="http://schemas.openxmlformats.org/officeDocument/2006/relationships/hyperlink" Target="https://www.ose.state.nm.us/Basins/Mimbres/index.php" TargetMode="External"/><Relationship Id="rId68" Type="http://schemas.openxmlformats.org/officeDocument/2006/relationships/hyperlink" Target="https://www.ose.state.nm.us/Basins/RioChama/index.php" TargetMode="External"/><Relationship Id="rId84" Type="http://schemas.openxmlformats.org/officeDocument/2006/relationships/hyperlink" Target="https://www.ose.state.nm.us/WUC/wuc_waterUseData.php" TargetMode="External"/><Relationship Id="rId89" Type="http://schemas.openxmlformats.org/officeDocument/2006/relationships/hyperlink" Target="https://weather.nmsu.edu/" TargetMode="External"/><Relationship Id="rId112" Type="http://schemas.openxmlformats.org/officeDocument/2006/relationships/printerSettings" Target="../printerSettings/printerSettings5.bin"/><Relationship Id="rId2" Type="http://schemas.openxmlformats.org/officeDocument/2006/relationships/hyperlink" Target="https://nm-emnrd.maps.arcgis.com/apps/webappviewer/index.html?id=3e82558620c24942b52e489baa6461af" TargetMode="External"/><Relationship Id="rId16" Type="http://schemas.openxmlformats.org/officeDocument/2006/relationships/hyperlink" Target="https://gis.web.env.nm.gov/oem/?map=swqb" TargetMode="External"/><Relationship Id="rId29" Type="http://schemas.openxmlformats.org/officeDocument/2006/relationships/hyperlink" Target="https://gis.ose.state.nm.us/gisapps/ose_pod_locations/" TargetMode="External"/><Relationship Id="rId107" Type="http://schemas.openxmlformats.org/officeDocument/2006/relationships/hyperlink" Target="https://lwop.waste.web.env.nm.gov/wwtspf/" TargetMode="External"/><Relationship Id="rId11" Type="http://schemas.openxmlformats.org/officeDocument/2006/relationships/hyperlink" Target="https://www.env.nm.gov/gwqb/ros/" TargetMode="External"/><Relationship Id="rId24" Type="http://schemas.openxmlformats.org/officeDocument/2006/relationships/hyperlink" Target="https://nmhealth.org/data/environment/" TargetMode="External"/><Relationship Id="rId32" Type="http://schemas.openxmlformats.org/officeDocument/2006/relationships/hyperlink" Target="https://gis.ose.state.nm.us/gisapps/ose_pod_locations/" TargetMode="External"/><Relationship Id="rId37" Type="http://schemas.openxmlformats.org/officeDocument/2006/relationships/hyperlink" Target="https://ose.maps.arcgis.com/home/index.html" TargetMode="External"/><Relationship Id="rId40" Type="http://schemas.openxmlformats.org/officeDocument/2006/relationships/hyperlink" Target="https://ose.maps.arcgis.com/home/index.html" TargetMode="External"/><Relationship Id="rId45" Type="http://schemas.openxmlformats.org/officeDocument/2006/relationships/hyperlink" Target="https://www.ose.state.nm.us/Basins/Canadian/isc_Canadian.php" TargetMode="External"/><Relationship Id="rId53" Type="http://schemas.openxmlformats.org/officeDocument/2006/relationships/hyperlink" Target="https://www.ose.state.nm.us/Basins/RioGrande/index.php" TargetMode="External"/><Relationship Id="rId58" Type="http://schemas.openxmlformats.org/officeDocument/2006/relationships/hyperlink" Target="https://www.ose.state.nm.us/Basins/LowerPecos/index.php" TargetMode="External"/><Relationship Id="rId66" Type="http://schemas.openxmlformats.org/officeDocument/2006/relationships/hyperlink" Target="https://www.ose.state.nm.us/Basins/RioChama/index.php" TargetMode="External"/><Relationship Id="rId74" Type="http://schemas.openxmlformats.org/officeDocument/2006/relationships/hyperlink" Target="https://www.ose.state.nm.us/Basins/RioGallinas/index.php" TargetMode="External"/><Relationship Id="rId79" Type="http://schemas.openxmlformats.org/officeDocument/2006/relationships/hyperlink" Target="http://meas.ose.state.nm.us/" TargetMode="External"/><Relationship Id="rId87" Type="http://schemas.openxmlformats.org/officeDocument/2006/relationships/hyperlink" Target="https://weather.nmsu.edu/" TargetMode="External"/><Relationship Id="rId102" Type="http://schemas.openxmlformats.org/officeDocument/2006/relationships/hyperlink" Target="http://rgis.unm.edu/" TargetMode="External"/><Relationship Id="rId110" Type="http://schemas.openxmlformats.org/officeDocument/2006/relationships/hyperlink" Target="https://maps.nmt.edu/" TargetMode="External"/><Relationship Id="rId5" Type="http://schemas.openxmlformats.org/officeDocument/2006/relationships/hyperlink" Target="ftp://164.64.106.6/Public/OCD/" TargetMode="External"/><Relationship Id="rId61" Type="http://schemas.openxmlformats.org/officeDocument/2006/relationships/hyperlink" Target="https://www.ose.state.nm.us/Basins/Mimbres/index.php" TargetMode="External"/><Relationship Id="rId82" Type="http://schemas.openxmlformats.org/officeDocument/2006/relationships/hyperlink" Target="https://www.ose.state.nm.us/Hydrology/groundWater.php" TargetMode="External"/><Relationship Id="rId90" Type="http://schemas.openxmlformats.org/officeDocument/2006/relationships/hyperlink" Target="https://weather.nmsu.edu/" TargetMode="External"/><Relationship Id="rId95" Type="http://schemas.openxmlformats.org/officeDocument/2006/relationships/hyperlink" Target="https://www.intellusnm.com/" TargetMode="External"/><Relationship Id="rId19" Type="http://schemas.openxmlformats.org/officeDocument/2006/relationships/hyperlink" Target="http://www.wildlife.state.nm.us/fishing/weekly-report/" TargetMode="External"/><Relationship Id="rId14" Type="http://schemas.openxmlformats.org/officeDocument/2006/relationships/hyperlink" Target="https://gis.web.env.nm.gov/oem/?map=swqb" TargetMode="External"/><Relationship Id="rId22" Type="http://schemas.openxmlformats.org/officeDocument/2006/relationships/hyperlink" Target="https://nmtracking.org/" TargetMode="External"/><Relationship Id="rId27" Type="http://schemas.openxmlformats.org/officeDocument/2006/relationships/hyperlink" Target="http://nmwrrs.ose.state.nm.us/nmwrrs/index.html" TargetMode="External"/><Relationship Id="rId30" Type="http://schemas.openxmlformats.org/officeDocument/2006/relationships/hyperlink" Target="https://gis.ose.state.nm.us/gisapps/ose_pod_locations/" TargetMode="External"/><Relationship Id="rId35" Type="http://schemas.openxmlformats.org/officeDocument/2006/relationships/hyperlink" Target="http://geospatialdata-ose.opendata.arcgis.com/" TargetMode="External"/><Relationship Id="rId43" Type="http://schemas.openxmlformats.org/officeDocument/2006/relationships/hyperlink" Target="https://www.ose.state.nm.us/Basins/Canadian/isc_Canadian.php" TargetMode="External"/><Relationship Id="rId48" Type="http://schemas.openxmlformats.org/officeDocument/2006/relationships/hyperlink" Target="https://www.ose.state.nm.us/Basins/Colorado/isc_Colorado.php" TargetMode="External"/><Relationship Id="rId56" Type="http://schemas.openxmlformats.org/officeDocument/2006/relationships/hyperlink" Target="https://www.ose.state.nm.us/Basins/RioGrande/index.php" TargetMode="External"/><Relationship Id="rId64" Type="http://schemas.openxmlformats.org/officeDocument/2006/relationships/hyperlink" Target="https://www.ose.state.nm.us/Basins/Mimbres/index.php" TargetMode="External"/><Relationship Id="rId69" Type="http://schemas.openxmlformats.org/officeDocument/2006/relationships/hyperlink" Target="https://www.ose.state.nm.us/Basins/RioGallinas/index.php" TargetMode="External"/><Relationship Id="rId77" Type="http://schemas.openxmlformats.org/officeDocument/2006/relationships/hyperlink" Target="https://www.ose.state.nm.us/WM/watermasters.php" TargetMode="External"/><Relationship Id="rId100" Type="http://schemas.openxmlformats.org/officeDocument/2006/relationships/hyperlink" Target="http://octane.nmt.edu/gotech/Water/producedwater.aspx" TargetMode="External"/><Relationship Id="rId105" Type="http://schemas.openxmlformats.org/officeDocument/2006/relationships/hyperlink" Target="http://rgis.unm.edu/" TargetMode="External"/><Relationship Id="rId8" Type="http://schemas.openxmlformats.org/officeDocument/2006/relationships/hyperlink" Target="https://dww.water.net.env.nm.gov/NMDWW/" TargetMode="External"/><Relationship Id="rId51" Type="http://schemas.openxmlformats.org/officeDocument/2006/relationships/hyperlink" Target="https://www.ose.state.nm.us/Basins/Pecos/isc_Pecos.php" TargetMode="External"/><Relationship Id="rId72" Type="http://schemas.openxmlformats.org/officeDocument/2006/relationships/hyperlink" Target="https://www.ose.state.nm.us/Basins/RioGallinas/index.php" TargetMode="External"/><Relationship Id="rId80" Type="http://schemas.openxmlformats.org/officeDocument/2006/relationships/hyperlink" Target="https://www.ose.state.nm.us/Hydrology/aquifer.php" TargetMode="External"/><Relationship Id="rId85" Type="http://schemas.openxmlformats.org/officeDocument/2006/relationships/hyperlink" Target="https://www.ose.state.nm.us/WUC/wuc_accounting.php" TargetMode="External"/><Relationship Id="rId93" Type="http://schemas.openxmlformats.org/officeDocument/2006/relationships/hyperlink" Target="https://www.intellusnm.com/" TargetMode="External"/><Relationship Id="rId98" Type="http://schemas.openxmlformats.org/officeDocument/2006/relationships/hyperlink" Target="https://www.env.nm.gov/doeob/doe-ob-sos-data/" TargetMode="External"/><Relationship Id="rId3" Type="http://schemas.openxmlformats.org/officeDocument/2006/relationships/hyperlink" Target="http://www.emnrd.state.nm.us/OCD/statistics.html" TargetMode="External"/><Relationship Id="rId12" Type="http://schemas.openxmlformats.org/officeDocument/2006/relationships/hyperlink" Target="https://www.env.nm.gov/gwqb/ros/" TargetMode="External"/><Relationship Id="rId17" Type="http://schemas.openxmlformats.org/officeDocument/2006/relationships/hyperlink" Target="https://gis.web.env.nm.gov/oem/?map=swqb" TargetMode="External"/><Relationship Id="rId25" Type="http://schemas.openxmlformats.org/officeDocument/2006/relationships/hyperlink" Target="https://nmhealth.org/data/environment/" TargetMode="External"/><Relationship Id="rId33" Type="http://schemas.openxmlformats.org/officeDocument/2006/relationships/hyperlink" Target="https://gis.ose.state.nm.us/gisapps/ose_pod_locations/" TargetMode="External"/><Relationship Id="rId38" Type="http://schemas.openxmlformats.org/officeDocument/2006/relationships/hyperlink" Target="https://ose.maps.arcgis.com/home/index.html" TargetMode="External"/><Relationship Id="rId46" Type="http://schemas.openxmlformats.org/officeDocument/2006/relationships/hyperlink" Target="https://www.ose.state.nm.us/Basins/Colorado/isc_Colorado.php" TargetMode="External"/><Relationship Id="rId59" Type="http://schemas.openxmlformats.org/officeDocument/2006/relationships/hyperlink" Target="https://www.ose.state.nm.us/Basins/LowerPecos/index.php" TargetMode="External"/><Relationship Id="rId67" Type="http://schemas.openxmlformats.org/officeDocument/2006/relationships/hyperlink" Target="https://www.ose.state.nm.us/Basins/RioChama/index.php" TargetMode="External"/><Relationship Id="rId103" Type="http://schemas.openxmlformats.org/officeDocument/2006/relationships/hyperlink" Target="http://rgis.unm.edu/" TargetMode="External"/><Relationship Id="rId108" Type="http://schemas.openxmlformats.org/officeDocument/2006/relationships/hyperlink" Target="https://lwop.waste.web.env.nm.gov/wwtspf/" TargetMode="External"/><Relationship Id="rId20" Type="http://schemas.openxmlformats.org/officeDocument/2006/relationships/hyperlink" Target="https://www.env.nm.gov/construction-programs/cpb-forms-and-documents/" TargetMode="External"/><Relationship Id="rId41" Type="http://schemas.openxmlformats.org/officeDocument/2006/relationships/hyperlink" Target="https://ose.maps.arcgis.com/home/index.html" TargetMode="External"/><Relationship Id="rId54" Type="http://schemas.openxmlformats.org/officeDocument/2006/relationships/hyperlink" Target="https://www.ose.state.nm.us/Basins/RioGrande/index.php" TargetMode="External"/><Relationship Id="rId62" Type="http://schemas.openxmlformats.org/officeDocument/2006/relationships/hyperlink" Target="https://www.ose.state.nm.us/Basins/Mimbres/index.php" TargetMode="External"/><Relationship Id="rId70" Type="http://schemas.openxmlformats.org/officeDocument/2006/relationships/hyperlink" Target="https://www.ose.state.nm.us/Basins/RioGallinas/index.php" TargetMode="External"/><Relationship Id="rId75" Type="http://schemas.openxmlformats.org/officeDocument/2006/relationships/hyperlink" Target="https://www.ose.state.nm.us/ISC/isc_compacts.php" TargetMode="External"/><Relationship Id="rId83" Type="http://schemas.openxmlformats.org/officeDocument/2006/relationships/hyperlink" Target="https://www.ose.state.nm.us/Hydrology/EBTAG.php" TargetMode="External"/><Relationship Id="rId88" Type="http://schemas.openxmlformats.org/officeDocument/2006/relationships/hyperlink" Target="https://weather.nmsu.edu/" TargetMode="External"/><Relationship Id="rId91" Type="http://schemas.openxmlformats.org/officeDocument/2006/relationships/hyperlink" Target="https://weather.nmsu.edu/" TargetMode="External"/><Relationship Id="rId96" Type="http://schemas.openxmlformats.org/officeDocument/2006/relationships/hyperlink" Target="https://www.intellusnm.com/" TargetMode="External"/><Relationship Id="rId111" Type="http://schemas.openxmlformats.org/officeDocument/2006/relationships/hyperlink" Target="https://maps.nmt.edu/" TargetMode="External"/><Relationship Id="rId1" Type="http://schemas.openxmlformats.org/officeDocument/2006/relationships/hyperlink" Target="http://mapservice.nmstatelands.org/OilGasMinerals/" TargetMode="External"/><Relationship Id="rId6" Type="http://schemas.openxmlformats.org/officeDocument/2006/relationships/hyperlink" Target="https://wwwapps.emnrd.state.nm.us/ocd/ocdpermitting/Data/Wells.aspx" TargetMode="External"/><Relationship Id="rId15" Type="http://schemas.openxmlformats.org/officeDocument/2006/relationships/hyperlink" Target="https://gis.web.env.nm.gov/oem/?map=swqb" TargetMode="External"/><Relationship Id="rId23" Type="http://schemas.openxmlformats.org/officeDocument/2006/relationships/hyperlink" Target="https://nmtracking.org/" TargetMode="External"/><Relationship Id="rId28" Type="http://schemas.openxmlformats.org/officeDocument/2006/relationships/hyperlink" Target="http://nmwrrs.ose.state.nm.us/nmwrrs/index.html" TargetMode="External"/><Relationship Id="rId36" Type="http://schemas.openxmlformats.org/officeDocument/2006/relationships/hyperlink" Target="https://ose.maps.arcgis.com/home/index.html" TargetMode="External"/><Relationship Id="rId49" Type="http://schemas.openxmlformats.org/officeDocument/2006/relationships/hyperlink" Target="https://www.ose.state.nm.us/Basins/Pecos/isc_Pecos.php" TargetMode="External"/><Relationship Id="rId57" Type="http://schemas.openxmlformats.org/officeDocument/2006/relationships/hyperlink" Target="https://www.ose.state.nm.us/Basins/RioGrande/index.php" TargetMode="External"/><Relationship Id="rId106" Type="http://schemas.openxmlformats.org/officeDocument/2006/relationships/hyperlink" Target="http://rgis.unm.edu/" TargetMode="External"/><Relationship Id="rId10" Type="http://schemas.openxmlformats.org/officeDocument/2006/relationships/hyperlink" Target="https://www.env.nm.gov/gwqb/acs/" TargetMode="External"/><Relationship Id="rId31" Type="http://schemas.openxmlformats.org/officeDocument/2006/relationships/hyperlink" Target="https://gis.ose.state.nm.us/gisapps/ose_pod_locations/" TargetMode="External"/><Relationship Id="rId44" Type="http://schemas.openxmlformats.org/officeDocument/2006/relationships/hyperlink" Target="https://www.ose.state.nm.us/Basins/Canadian/isc_Canadian.php" TargetMode="External"/><Relationship Id="rId52" Type="http://schemas.openxmlformats.org/officeDocument/2006/relationships/hyperlink" Target="https://www.ose.state.nm.us/Basins/Pecos/isc_Pecos.php" TargetMode="External"/><Relationship Id="rId60" Type="http://schemas.openxmlformats.org/officeDocument/2006/relationships/hyperlink" Target="https://www.ose.state.nm.us/Basins/LowerPecos/index.php" TargetMode="External"/><Relationship Id="rId65" Type="http://schemas.openxmlformats.org/officeDocument/2006/relationships/hyperlink" Target="https://www.ose.state.nm.us/Basins/RioChama/index.php" TargetMode="External"/><Relationship Id="rId73" Type="http://schemas.openxmlformats.org/officeDocument/2006/relationships/hyperlink" Target="https://www.ose.state.nm.us/Basins/RioGallinas/index.php" TargetMode="External"/><Relationship Id="rId78" Type="http://schemas.openxmlformats.org/officeDocument/2006/relationships/hyperlink" Target="http://meas.ose.state.nm.us/" TargetMode="External"/><Relationship Id="rId81" Type="http://schemas.openxmlformats.org/officeDocument/2006/relationships/hyperlink" Target="https://www.ose.state.nm.us/Hydrology/EBTAG.php" TargetMode="External"/><Relationship Id="rId86" Type="http://schemas.openxmlformats.org/officeDocument/2006/relationships/hyperlink" Target="https://www.ose.state.nm.us/Subdiv/subdiv.php" TargetMode="External"/><Relationship Id="rId94" Type="http://schemas.openxmlformats.org/officeDocument/2006/relationships/hyperlink" Target="https://www.intellusnm.com/" TargetMode="External"/><Relationship Id="rId99" Type="http://schemas.openxmlformats.org/officeDocument/2006/relationships/hyperlink" Target="https://nmwrri.nmsu.edu/5376-2/" TargetMode="External"/><Relationship Id="rId101" Type="http://schemas.openxmlformats.org/officeDocument/2006/relationships/hyperlink" Target="http://octane.nmt.edu/gotech/Water/producedwater.aspx" TargetMode="External"/><Relationship Id="rId4" Type="http://schemas.openxmlformats.org/officeDocument/2006/relationships/hyperlink" Target="http://www.emnrd.state.nm.us/OCD/statistics.html" TargetMode="External"/><Relationship Id="rId9" Type="http://schemas.openxmlformats.org/officeDocument/2006/relationships/hyperlink" Target="https://dww.water.net.env.nm.gov/NMDWW/" TargetMode="External"/><Relationship Id="rId13" Type="http://schemas.openxmlformats.org/officeDocument/2006/relationships/hyperlink" Target="https://www.env.nm.gov/surface-water-quality/tmdl/" TargetMode="External"/><Relationship Id="rId18" Type="http://schemas.openxmlformats.org/officeDocument/2006/relationships/hyperlink" Target="https://www.env.nm.gov/surface-water-quality/npdes-permits/" TargetMode="External"/><Relationship Id="rId39" Type="http://schemas.openxmlformats.org/officeDocument/2006/relationships/hyperlink" Target="https://ose.maps.arcgis.com/home/index.html" TargetMode="External"/><Relationship Id="rId109" Type="http://schemas.openxmlformats.org/officeDocument/2006/relationships/hyperlink" Target="https://maps.nmt.edu/" TargetMode="External"/><Relationship Id="rId34" Type="http://schemas.openxmlformats.org/officeDocument/2006/relationships/hyperlink" Target="http://geospatialdata-ose.opendata.arcgis.com/" TargetMode="External"/><Relationship Id="rId50" Type="http://schemas.openxmlformats.org/officeDocument/2006/relationships/hyperlink" Target="https://www.ose.state.nm.us/Basins/Pecos/isc_Pecos.php" TargetMode="External"/><Relationship Id="rId55" Type="http://schemas.openxmlformats.org/officeDocument/2006/relationships/hyperlink" Target="https://www.ose.state.nm.us/Basins/RioGrande/index.php" TargetMode="External"/><Relationship Id="rId76" Type="http://schemas.openxmlformats.org/officeDocument/2006/relationships/hyperlink" Target="https://www.ose.state.nm.us/ISC/isc_SWR.php" TargetMode="External"/><Relationship Id="rId97" Type="http://schemas.openxmlformats.org/officeDocument/2006/relationships/hyperlink" Target="https://www.env.nm.gov/doeob/doe-ob-sos-data/" TargetMode="External"/><Relationship Id="rId104" Type="http://schemas.openxmlformats.org/officeDocument/2006/relationships/hyperlink" Target="http://rgis.unm.edu/" TargetMode="External"/><Relationship Id="rId7" Type="http://schemas.openxmlformats.org/officeDocument/2006/relationships/hyperlink" Target="https://wwwapps.emnrd.state.nm.us/ocd/ocdpermitting/Data/Wells.aspx" TargetMode="External"/><Relationship Id="rId71" Type="http://schemas.openxmlformats.org/officeDocument/2006/relationships/hyperlink" Target="https://www.ose.state.nm.us/Basins/RioGallinas/index.php" TargetMode="External"/><Relationship Id="rId92" Type="http://schemas.openxmlformats.org/officeDocument/2006/relationships/hyperlink" Target="https://www.intellusnm.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9"/>
  <sheetViews>
    <sheetView workbookViewId="0">
      <selection activeCell="A20" sqref="A20"/>
    </sheetView>
  </sheetViews>
  <sheetFormatPr defaultRowHeight="15.6" x14ac:dyDescent="0.3"/>
  <cols>
    <col min="1" max="16384" width="8.796875" style="1"/>
  </cols>
  <sheetData>
    <row r="2" spans="1:7" x14ac:dyDescent="0.3">
      <c r="A2" s="1" t="s">
        <v>638</v>
      </c>
    </row>
    <row r="3" spans="1:7" x14ac:dyDescent="0.3">
      <c r="A3" s="1" t="s">
        <v>449</v>
      </c>
    </row>
    <row r="4" spans="1:7" x14ac:dyDescent="0.3">
      <c r="A4" s="1" t="s">
        <v>460</v>
      </c>
    </row>
    <row r="5" spans="1:7" x14ac:dyDescent="0.3">
      <c r="A5" s="1" t="s">
        <v>461</v>
      </c>
    </row>
    <row r="6" spans="1:7" x14ac:dyDescent="0.3">
      <c r="A6" s="1" t="s">
        <v>462</v>
      </c>
    </row>
    <row r="7" spans="1:7" x14ac:dyDescent="0.3">
      <c r="A7" s="1" t="s">
        <v>463</v>
      </c>
    </row>
    <row r="9" spans="1:7" x14ac:dyDescent="0.3">
      <c r="A9" s="1" t="s">
        <v>564</v>
      </c>
    </row>
    <row r="11" spans="1:7" x14ac:dyDescent="0.3">
      <c r="A11" s="3" t="s">
        <v>565</v>
      </c>
    </row>
    <row r="12" spans="1:7" x14ac:dyDescent="0.3">
      <c r="A12" s="12" t="s">
        <v>566</v>
      </c>
    </row>
    <row r="13" spans="1:7" x14ac:dyDescent="0.3">
      <c r="A13" s="1" t="s">
        <v>574</v>
      </c>
    </row>
    <row r="14" spans="1:7" x14ac:dyDescent="0.3">
      <c r="A14" t="s">
        <v>587</v>
      </c>
    </row>
    <row r="15" spans="1:7" x14ac:dyDescent="0.3">
      <c r="B15" s="1" t="s">
        <v>588</v>
      </c>
    </row>
    <row r="16" spans="1:7" x14ac:dyDescent="0.3">
      <c r="B16" s="19" t="s">
        <v>589</v>
      </c>
      <c r="C16" s="19"/>
      <c r="D16" s="19"/>
      <c r="E16" s="19"/>
      <c r="F16" s="20"/>
      <c r="G16" s="20"/>
    </row>
    <row r="17" spans="1:7" x14ac:dyDescent="0.3">
      <c r="B17" s="1" t="s">
        <v>590</v>
      </c>
      <c r="G17" s="12" t="s">
        <v>591</v>
      </c>
    </row>
    <row r="19" spans="1:7" x14ac:dyDescent="0.3">
      <c r="A19" s="1" t="s">
        <v>639</v>
      </c>
    </row>
  </sheetData>
  <hyperlinks>
    <hyperlink ref="A12" r:id="rId1"/>
    <hyperlink ref="G17"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topLeftCell="A32" zoomScale="80" zoomScaleNormal="80" workbookViewId="0">
      <selection activeCell="A53" sqref="A53"/>
    </sheetView>
  </sheetViews>
  <sheetFormatPr defaultRowHeight="15.6" x14ac:dyDescent="0.3"/>
  <cols>
    <col min="1" max="1" width="8.796875" style="1"/>
    <col min="2" max="2" width="19.19921875" style="1" customWidth="1"/>
    <col min="3" max="3" width="21.296875" style="1" customWidth="1"/>
    <col min="4" max="5" width="8.796875" style="1"/>
    <col min="6" max="6" width="24.69921875" style="14" customWidth="1"/>
    <col min="7" max="7" width="52.69921875" style="1" customWidth="1"/>
    <col min="8" max="12" width="8.796875" style="11"/>
    <col min="13" max="16384" width="8.796875" style="1"/>
  </cols>
  <sheetData>
    <row r="1" spans="1:12" x14ac:dyDescent="0.3">
      <c r="A1" s="2" t="s">
        <v>88</v>
      </c>
      <c r="B1" s="2" t="s">
        <v>86</v>
      </c>
      <c r="C1" s="2" t="s">
        <v>87</v>
      </c>
      <c r="D1" s="2" t="s">
        <v>89</v>
      </c>
      <c r="E1" s="2" t="s">
        <v>112</v>
      </c>
      <c r="F1" s="2" t="s">
        <v>13</v>
      </c>
      <c r="G1" s="2" t="s">
        <v>14</v>
      </c>
      <c r="H1" s="2" t="s">
        <v>15</v>
      </c>
      <c r="I1" s="2" t="s">
        <v>16</v>
      </c>
      <c r="J1" s="2" t="s">
        <v>17</v>
      </c>
      <c r="K1" s="2" t="s">
        <v>18</v>
      </c>
      <c r="L1" s="2" t="s">
        <v>19</v>
      </c>
    </row>
    <row r="2" spans="1:12" x14ac:dyDescent="0.3">
      <c r="A2" s="1" t="s">
        <v>20</v>
      </c>
      <c r="B2" s="1" t="s">
        <v>114</v>
      </c>
      <c r="C2" s="1" t="s">
        <v>114</v>
      </c>
      <c r="D2" s="1">
        <v>1</v>
      </c>
      <c r="E2" s="1" t="s">
        <v>113</v>
      </c>
      <c r="G2" s="6" t="s">
        <v>115</v>
      </c>
      <c r="H2" s="11" t="s">
        <v>3</v>
      </c>
      <c r="I2" s="11" t="s">
        <v>3</v>
      </c>
      <c r="J2" s="11" t="s">
        <v>3</v>
      </c>
      <c r="K2" s="11" t="s">
        <v>3</v>
      </c>
      <c r="L2" s="11">
        <v>1</v>
      </c>
    </row>
    <row r="3" spans="1:12" x14ac:dyDescent="0.3">
      <c r="A3" s="1" t="s">
        <v>21</v>
      </c>
      <c r="B3" s="1" t="s">
        <v>116</v>
      </c>
      <c r="C3" s="1" t="s">
        <v>116</v>
      </c>
      <c r="D3" s="1">
        <v>2</v>
      </c>
      <c r="E3" s="1" t="s">
        <v>20</v>
      </c>
      <c r="F3" s="14" t="s">
        <v>117</v>
      </c>
      <c r="G3" s="6" t="s">
        <v>118</v>
      </c>
      <c r="H3" s="11" t="s">
        <v>3</v>
      </c>
      <c r="I3" s="11" t="s">
        <v>8</v>
      </c>
      <c r="J3" s="11" t="s">
        <v>3</v>
      </c>
      <c r="K3" s="11" t="s">
        <v>8</v>
      </c>
      <c r="L3" s="11">
        <v>2</v>
      </c>
    </row>
    <row r="4" spans="1:12" x14ac:dyDescent="0.3">
      <c r="A4" s="1" t="s">
        <v>22</v>
      </c>
      <c r="B4" s="1" t="s">
        <v>119</v>
      </c>
      <c r="C4" s="1" t="s">
        <v>116</v>
      </c>
      <c r="D4" s="1">
        <v>2</v>
      </c>
      <c r="E4" s="1" t="s">
        <v>21</v>
      </c>
      <c r="F4" s="14" t="s">
        <v>136</v>
      </c>
      <c r="G4" s="6" t="s">
        <v>120</v>
      </c>
      <c r="H4" s="11" t="s">
        <v>8</v>
      </c>
      <c r="I4" s="11" t="s">
        <v>8</v>
      </c>
      <c r="J4" s="11" t="s">
        <v>3</v>
      </c>
      <c r="K4" s="11" t="s">
        <v>8</v>
      </c>
      <c r="L4" s="11">
        <v>3</v>
      </c>
    </row>
    <row r="5" spans="1:12" x14ac:dyDescent="0.3">
      <c r="A5" s="1" t="s">
        <v>23</v>
      </c>
      <c r="B5" s="1" t="s">
        <v>121</v>
      </c>
      <c r="C5" s="1" t="s">
        <v>116</v>
      </c>
      <c r="D5" s="1">
        <v>2</v>
      </c>
      <c r="E5" s="1" t="s">
        <v>21</v>
      </c>
      <c r="F5" s="15" t="s">
        <v>137</v>
      </c>
      <c r="G5" s="6" t="s">
        <v>122</v>
      </c>
      <c r="H5" s="11" t="s">
        <v>3</v>
      </c>
      <c r="I5" s="11" t="s">
        <v>8</v>
      </c>
      <c r="J5" s="11" t="s">
        <v>3</v>
      </c>
      <c r="K5" s="11" t="s">
        <v>8</v>
      </c>
      <c r="L5" s="11">
        <v>3</v>
      </c>
    </row>
    <row r="6" spans="1:12" x14ac:dyDescent="0.3">
      <c r="A6" s="1" t="s">
        <v>24</v>
      </c>
      <c r="B6" s="1" t="s">
        <v>10</v>
      </c>
      <c r="C6" s="1" t="s">
        <v>10</v>
      </c>
      <c r="D6" s="1">
        <v>3</v>
      </c>
      <c r="E6" s="1" t="s">
        <v>20</v>
      </c>
      <c r="F6" s="14" t="s">
        <v>126</v>
      </c>
      <c r="G6" s="6" t="s">
        <v>127</v>
      </c>
      <c r="H6" s="11" t="s">
        <v>3</v>
      </c>
      <c r="I6" s="11" t="s">
        <v>3</v>
      </c>
      <c r="J6" s="11" t="s">
        <v>8</v>
      </c>
      <c r="K6" s="11" t="s">
        <v>3</v>
      </c>
      <c r="L6" s="11">
        <v>2</v>
      </c>
    </row>
    <row r="7" spans="1:12" x14ac:dyDescent="0.3">
      <c r="A7" s="1" t="s">
        <v>25</v>
      </c>
      <c r="B7" s="1" t="s">
        <v>128</v>
      </c>
      <c r="C7" s="1" t="s">
        <v>10</v>
      </c>
      <c r="D7" s="1">
        <v>3</v>
      </c>
      <c r="E7" s="1" t="s">
        <v>24</v>
      </c>
      <c r="F7" s="14" t="s">
        <v>135</v>
      </c>
      <c r="G7" s="6" t="s">
        <v>138</v>
      </c>
      <c r="H7" s="11" t="s">
        <v>3</v>
      </c>
      <c r="I7" s="11" t="s">
        <v>3</v>
      </c>
      <c r="J7" s="11" t="s">
        <v>8</v>
      </c>
      <c r="K7" s="11" t="s">
        <v>3</v>
      </c>
      <c r="L7" s="11">
        <v>3</v>
      </c>
    </row>
    <row r="8" spans="1:12" x14ac:dyDescent="0.3">
      <c r="A8" s="1" t="s">
        <v>26</v>
      </c>
      <c r="B8" s="1" t="s">
        <v>129</v>
      </c>
      <c r="C8" s="1" t="s">
        <v>10</v>
      </c>
      <c r="D8" s="1">
        <v>3</v>
      </c>
      <c r="E8" s="1" t="s">
        <v>25</v>
      </c>
      <c r="F8" s="14" t="s">
        <v>134</v>
      </c>
      <c r="G8" s="6" t="s">
        <v>133</v>
      </c>
      <c r="H8" s="11" t="s">
        <v>3</v>
      </c>
      <c r="I8" s="11" t="s">
        <v>3</v>
      </c>
      <c r="J8" s="11" t="s">
        <v>8</v>
      </c>
      <c r="K8" s="11" t="s">
        <v>8</v>
      </c>
      <c r="L8" s="11">
        <v>4</v>
      </c>
    </row>
    <row r="9" spans="1:12" x14ac:dyDescent="0.3">
      <c r="A9" s="1" t="s">
        <v>27</v>
      </c>
      <c r="B9" s="1" t="s">
        <v>130</v>
      </c>
      <c r="C9" s="1" t="s">
        <v>10</v>
      </c>
      <c r="D9" s="1">
        <v>3</v>
      </c>
      <c r="E9" s="1" t="s">
        <v>25</v>
      </c>
      <c r="F9" s="16" t="s">
        <v>131</v>
      </c>
      <c r="G9" s="6" t="s">
        <v>132</v>
      </c>
      <c r="H9" s="11" t="s">
        <v>8</v>
      </c>
      <c r="I9" s="11" t="s">
        <v>3</v>
      </c>
      <c r="J9" s="11" t="s">
        <v>8</v>
      </c>
      <c r="K9" s="11" t="s">
        <v>3</v>
      </c>
      <c r="L9" s="11">
        <v>4</v>
      </c>
    </row>
    <row r="10" spans="1:12" x14ac:dyDescent="0.3">
      <c r="A10" s="1" t="s">
        <v>28</v>
      </c>
      <c r="B10" s="1" t="s">
        <v>140</v>
      </c>
      <c r="C10" s="1" t="s">
        <v>140</v>
      </c>
      <c r="D10" s="1">
        <v>4</v>
      </c>
      <c r="E10" s="1" t="s">
        <v>20</v>
      </c>
      <c r="F10" s="14" t="s">
        <v>143</v>
      </c>
      <c r="G10" s="6" t="s">
        <v>144</v>
      </c>
      <c r="H10" s="11" t="s">
        <v>8</v>
      </c>
      <c r="I10" s="11" t="s">
        <v>3</v>
      </c>
      <c r="J10" s="11" t="s">
        <v>3</v>
      </c>
      <c r="K10" s="11" t="s">
        <v>8</v>
      </c>
      <c r="L10" s="11">
        <v>2</v>
      </c>
    </row>
    <row r="11" spans="1:12" x14ac:dyDescent="0.3">
      <c r="A11" s="1" t="s">
        <v>29</v>
      </c>
      <c r="B11" s="1" t="s">
        <v>145</v>
      </c>
      <c r="C11" s="1" t="s">
        <v>140</v>
      </c>
      <c r="D11" s="1">
        <v>4</v>
      </c>
      <c r="E11" s="1" t="s">
        <v>28</v>
      </c>
      <c r="F11" s="14" t="s">
        <v>147</v>
      </c>
      <c r="G11" s="6" t="s">
        <v>146</v>
      </c>
      <c r="H11" s="11" t="s">
        <v>8</v>
      </c>
      <c r="I11" s="11" t="s">
        <v>3</v>
      </c>
      <c r="J11" s="11" t="s">
        <v>8</v>
      </c>
      <c r="K11" s="11" t="s">
        <v>8</v>
      </c>
      <c r="L11" s="11">
        <v>3</v>
      </c>
    </row>
    <row r="12" spans="1:12" x14ac:dyDescent="0.3">
      <c r="A12" s="1" t="s">
        <v>30</v>
      </c>
      <c r="B12" s="1" t="s">
        <v>149</v>
      </c>
      <c r="C12" s="1" t="s">
        <v>140</v>
      </c>
      <c r="D12" s="1">
        <v>4</v>
      </c>
      <c r="E12" s="1" t="s">
        <v>29</v>
      </c>
      <c r="F12" s="14" t="s">
        <v>150</v>
      </c>
      <c r="G12" s="6" t="s">
        <v>148</v>
      </c>
      <c r="H12" s="11" t="s">
        <v>8</v>
      </c>
      <c r="I12" s="11" t="s">
        <v>3</v>
      </c>
      <c r="J12" s="11" t="s">
        <v>8</v>
      </c>
      <c r="K12" s="11" t="s">
        <v>8</v>
      </c>
      <c r="L12" s="11">
        <v>4</v>
      </c>
    </row>
    <row r="13" spans="1:12" x14ac:dyDescent="0.3">
      <c r="A13" s="1" t="s">
        <v>31</v>
      </c>
      <c r="B13" s="1" t="s">
        <v>152</v>
      </c>
      <c r="C13" s="1" t="s">
        <v>152</v>
      </c>
      <c r="D13" s="1">
        <v>4</v>
      </c>
      <c r="E13" s="1" t="s">
        <v>28</v>
      </c>
      <c r="F13" s="14" t="s">
        <v>156</v>
      </c>
      <c r="G13" s="6" t="s">
        <v>157</v>
      </c>
      <c r="H13" s="11" t="s">
        <v>8</v>
      </c>
      <c r="I13" s="11" t="s">
        <v>3</v>
      </c>
      <c r="J13" s="11" t="s">
        <v>8</v>
      </c>
      <c r="K13" s="11" t="s">
        <v>8</v>
      </c>
      <c r="L13" s="11">
        <v>3</v>
      </c>
    </row>
    <row r="14" spans="1:12" x14ac:dyDescent="0.3">
      <c r="A14" s="1" t="s">
        <v>108</v>
      </c>
      <c r="B14" s="1" t="s">
        <v>153</v>
      </c>
      <c r="C14" s="1" t="s">
        <v>152</v>
      </c>
      <c r="D14" s="1">
        <v>4</v>
      </c>
      <c r="E14" s="1" t="s">
        <v>31</v>
      </c>
      <c r="F14" s="14" t="s">
        <v>154</v>
      </c>
      <c r="G14" s="6" t="s">
        <v>155</v>
      </c>
      <c r="H14" s="11" t="s">
        <v>8</v>
      </c>
      <c r="I14" s="11" t="s">
        <v>3</v>
      </c>
      <c r="J14" s="11" t="s">
        <v>8</v>
      </c>
      <c r="K14" s="11" t="s">
        <v>8</v>
      </c>
      <c r="L14" s="11">
        <v>4</v>
      </c>
    </row>
    <row r="15" spans="1:12" x14ac:dyDescent="0.3">
      <c r="A15" s="1" t="s">
        <v>109</v>
      </c>
      <c r="B15" s="1" t="s">
        <v>158</v>
      </c>
      <c r="C15" s="1" t="s">
        <v>152</v>
      </c>
      <c r="D15" s="1">
        <v>4</v>
      </c>
      <c r="E15" s="1" t="s">
        <v>108</v>
      </c>
      <c r="F15" s="14" t="s">
        <v>159</v>
      </c>
      <c r="G15" s="6" t="s">
        <v>160</v>
      </c>
      <c r="H15" s="11" t="s">
        <v>8</v>
      </c>
      <c r="I15" s="11" t="s">
        <v>3</v>
      </c>
      <c r="J15" s="11" t="s">
        <v>8</v>
      </c>
      <c r="K15" s="11" t="s">
        <v>8</v>
      </c>
      <c r="L15" s="11">
        <v>5</v>
      </c>
    </row>
    <row r="16" spans="1:12" x14ac:dyDescent="0.3">
      <c r="A16" s="1" t="s">
        <v>141</v>
      </c>
      <c r="B16" s="1" t="s">
        <v>661</v>
      </c>
      <c r="C16" s="1" t="s">
        <v>661</v>
      </c>
      <c r="D16" s="1">
        <v>4</v>
      </c>
      <c r="E16" s="1" t="s">
        <v>28</v>
      </c>
      <c r="F16" s="14" t="s">
        <v>165</v>
      </c>
      <c r="G16" s="6" t="s">
        <v>166</v>
      </c>
      <c r="H16" s="11" t="s">
        <v>8</v>
      </c>
      <c r="I16" s="11" t="s">
        <v>8</v>
      </c>
      <c r="J16" s="11" t="s">
        <v>3</v>
      </c>
      <c r="K16" s="11" t="s">
        <v>8</v>
      </c>
      <c r="L16" s="11">
        <v>3</v>
      </c>
    </row>
    <row r="17" spans="1:12" x14ac:dyDescent="0.3">
      <c r="A17" s="1" t="s">
        <v>142</v>
      </c>
      <c r="B17" s="1" t="s">
        <v>173</v>
      </c>
      <c r="C17" s="1" t="s">
        <v>661</v>
      </c>
      <c r="D17" s="1">
        <v>4</v>
      </c>
      <c r="E17" s="1" t="s">
        <v>141</v>
      </c>
      <c r="F17" s="14" t="s">
        <v>174</v>
      </c>
      <c r="G17" s="6" t="s">
        <v>175</v>
      </c>
      <c r="H17" s="11" t="s">
        <v>8</v>
      </c>
      <c r="I17" s="11" t="s">
        <v>8</v>
      </c>
      <c r="J17" s="11" t="s">
        <v>3</v>
      </c>
      <c r="K17" s="11" t="s">
        <v>8</v>
      </c>
      <c r="L17" s="11">
        <v>4</v>
      </c>
    </row>
    <row r="18" spans="1:12" x14ac:dyDescent="0.3">
      <c r="A18" s="1" t="s">
        <v>167</v>
      </c>
      <c r="B18" s="1" t="s">
        <v>200</v>
      </c>
      <c r="C18" s="1" t="s">
        <v>200</v>
      </c>
      <c r="D18" s="1">
        <v>7</v>
      </c>
      <c r="E18" s="1" t="s">
        <v>20</v>
      </c>
      <c r="F18" s="14" t="s">
        <v>202</v>
      </c>
      <c r="G18" s="6" t="s">
        <v>201</v>
      </c>
      <c r="H18" s="11" t="s">
        <v>3</v>
      </c>
      <c r="I18" s="11" t="s">
        <v>3</v>
      </c>
      <c r="J18" s="11" t="s">
        <v>3</v>
      </c>
      <c r="K18" s="11" t="s">
        <v>8</v>
      </c>
      <c r="L18" s="11">
        <v>2</v>
      </c>
    </row>
    <row r="19" spans="1:12" x14ac:dyDescent="0.3">
      <c r="A19" s="1" t="s">
        <v>110</v>
      </c>
      <c r="B19" s="1" t="s">
        <v>212</v>
      </c>
      <c r="C19" s="1" t="s">
        <v>200</v>
      </c>
      <c r="D19" s="1">
        <v>7</v>
      </c>
      <c r="E19" s="1" t="s">
        <v>167</v>
      </c>
      <c r="F19" s="14" t="s">
        <v>219</v>
      </c>
      <c r="G19" s="6" t="s">
        <v>220</v>
      </c>
      <c r="H19" s="11" t="s">
        <v>3</v>
      </c>
      <c r="I19" s="11" t="s">
        <v>8</v>
      </c>
      <c r="J19" s="11" t="s">
        <v>3</v>
      </c>
      <c r="K19" s="11" t="s">
        <v>8</v>
      </c>
      <c r="L19" s="11">
        <v>3</v>
      </c>
    </row>
    <row r="20" spans="1:12" x14ac:dyDescent="0.3">
      <c r="A20" s="1" t="s">
        <v>168</v>
      </c>
      <c r="B20" s="1" t="s">
        <v>213</v>
      </c>
      <c r="C20" s="1" t="s">
        <v>200</v>
      </c>
      <c r="D20" s="1">
        <v>7</v>
      </c>
      <c r="E20" s="1" t="s">
        <v>110</v>
      </c>
      <c r="F20" s="14" t="s">
        <v>218</v>
      </c>
      <c r="G20" s="6" t="s">
        <v>217</v>
      </c>
      <c r="H20" s="11" t="s">
        <v>3</v>
      </c>
      <c r="I20" s="11" t="s">
        <v>3</v>
      </c>
      <c r="J20" s="11" t="s">
        <v>3</v>
      </c>
      <c r="K20" s="11" t="s">
        <v>8</v>
      </c>
      <c r="L20" s="11">
        <v>4</v>
      </c>
    </row>
    <row r="21" spans="1:12" x14ac:dyDescent="0.3">
      <c r="A21" s="1" t="s">
        <v>169</v>
      </c>
      <c r="B21" s="1" t="s">
        <v>214</v>
      </c>
      <c r="C21" s="1" t="s">
        <v>200</v>
      </c>
      <c r="D21" s="1">
        <v>7</v>
      </c>
      <c r="E21" s="1" t="s">
        <v>110</v>
      </c>
      <c r="F21" s="14" t="s">
        <v>221</v>
      </c>
      <c r="G21" s="6" t="s">
        <v>222</v>
      </c>
      <c r="H21" s="11" t="s">
        <v>8</v>
      </c>
      <c r="I21" s="11" t="s">
        <v>8</v>
      </c>
      <c r="J21" s="11" t="s">
        <v>3</v>
      </c>
      <c r="K21" s="11" t="s">
        <v>8</v>
      </c>
      <c r="L21" s="11">
        <v>4</v>
      </c>
    </row>
    <row r="22" spans="1:12" x14ac:dyDescent="0.3">
      <c r="A22" s="1" t="s">
        <v>170</v>
      </c>
      <c r="B22" s="1" t="s">
        <v>231</v>
      </c>
      <c r="C22" s="1" t="s">
        <v>200</v>
      </c>
      <c r="D22" s="1">
        <v>7</v>
      </c>
      <c r="E22" s="1" t="s">
        <v>169</v>
      </c>
      <c r="F22" s="17" t="s">
        <v>232</v>
      </c>
      <c r="G22" s="6" t="s">
        <v>233</v>
      </c>
      <c r="H22" s="11" t="s">
        <v>8</v>
      </c>
      <c r="I22" s="11" t="s">
        <v>8</v>
      </c>
      <c r="J22" s="11" t="s">
        <v>3</v>
      </c>
      <c r="K22" s="11" t="s">
        <v>8</v>
      </c>
      <c r="L22" s="11">
        <v>5</v>
      </c>
    </row>
    <row r="23" spans="1:12" x14ac:dyDescent="0.3">
      <c r="A23" s="1" t="s">
        <v>171</v>
      </c>
      <c r="B23" s="1" t="s">
        <v>237</v>
      </c>
      <c r="C23" s="1" t="s">
        <v>200</v>
      </c>
      <c r="D23" s="1">
        <v>7</v>
      </c>
      <c r="E23" s="1" t="s">
        <v>169</v>
      </c>
      <c r="F23" s="17" t="s">
        <v>238</v>
      </c>
      <c r="G23" s="6" t="s">
        <v>239</v>
      </c>
      <c r="H23" s="11" t="s">
        <v>8</v>
      </c>
      <c r="I23" s="11" t="s">
        <v>8</v>
      </c>
      <c r="J23" s="11" t="s">
        <v>3</v>
      </c>
      <c r="K23" s="11" t="s">
        <v>8</v>
      </c>
      <c r="L23" s="11">
        <v>5</v>
      </c>
    </row>
    <row r="24" spans="1:12" x14ac:dyDescent="0.3">
      <c r="A24" s="1" t="s">
        <v>172</v>
      </c>
      <c r="B24" s="1" t="s">
        <v>215</v>
      </c>
      <c r="C24" s="1" t="s">
        <v>200</v>
      </c>
      <c r="D24" s="1">
        <v>7</v>
      </c>
      <c r="E24" s="1" t="s">
        <v>110</v>
      </c>
      <c r="F24" s="14" t="s">
        <v>223</v>
      </c>
      <c r="G24" s="6" t="s">
        <v>224</v>
      </c>
      <c r="H24" s="11" t="s">
        <v>3</v>
      </c>
      <c r="I24" s="11" t="s">
        <v>8</v>
      </c>
      <c r="J24" s="11" t="s">
        <v>3</v>
      </c>
      <c r="K24" s="11" t="s">
        <v>8</v>
      </c>
      <c r="L24" s="11">
        <v>4</v>
      </c>
    </row>
    <row r="25" spans="1:12" x14ac:dyDescent="0.3">
      <c r="A25" s="1" t="s">
        <v>203</v>
      </c>
      <c r="B25" s="1" t="s">
        <v>248</v>
      </c>
      <c r="C25" s="1" t="s">
        <v>200</v>
      </c>
      <c r="D25" s="1">
        <v>7</v>
      </c>
      <c r="E25" s="1" t="s">
        <v>172</v>
      </c>
      <c r="F25" s="14" t="s">
        <v>252</v>
      </c>
      <c r="G25" s="6" t="s">
        <v>251</v>
      </c>
      <c r="H25" s="11" t="s">
        <v>3</v>
      </c>
      <c r="I25" s="11" t="s">
        <v>8</v>
      </c>
      <c r="J25" s="11" t="s">
        <v>3</v>
      </c>
      <c r="K25" s="11" t="s">
        <v>8</v>
      </c>
      <c r="L25" s="11">
        <v>5</v>
      </c>
    </row>
    <row r="26" spans="1:12" x14ac:dyDescent="0.3">
      <c r="A26" s="1" t="s">
        <v>204</v>
      </c>
      <c r="B26" s="1" t="s">
        <v>249</v>
      </c>
      <c r="C26" s="1" t="s">
        <v>200</v>
      </c>
      <c r="D26" s="1">
        <v>7</v>
      </c>
      <c r="E26" s="1" t="s">
        <v>172</v>
      </c>
      <c r="F26" s="14" t="s">
        <v>267</v>
      </c>
      <c r="G26" s="6" t="s">
        <v>266</v>
      </c>
      <c r="H26" s="11" t="s">
        <v>8</v>
      </c>
      <c r="I26" s="11" t="s">
        <v>8</v>
      </c>
      <c r="J26" s="11" t="s">
        <v>3</v>
      </c>
      <c r="K26" s="11" t="s">
        <v>8</v>
      </c>
      <c r="L26" s="11">
        <v>5</v>
      </c>
    </row>
    <row r="27" spans="1:12" x14ac:dyDescent="0.3">
      <c r="A27" s="1" t="s">
        <v>205</v>
      </c>
      <c r="B27" s="1" t="s">
        <v>250</v>
      </c>
      <c r="C27" s="1" t="s">
        <v>200</v>
      </c>
      <c r="D27" s="1">
        <v>7</v>
      </c>
      <c r="E27" s="1" t="s">
        <v>172</v>
      </c>
      <c r="F27" s="14" t="s">
        <v>273</v>
      </c>
      <c r="G27" s="6" t="s">
        <v>274</v>
      </c>
      <c r="H27" s="11" t="s">
        <v>8</v>
      </c>
      <c r="I27" s="11" t="s">
        <v>3</v>
      </c>
      <c r="J27" s="11" t="s">
        <v>3</v>
      </c>
      <c r="K27" s="11" t="s">
        <v>8</v>
      </c>
      <c r="L27" s="11">
        <v>5</v>
      </c>
    </row>
    <row r="28" spans="1:12" x14ac:dyDescent="0.3">
      <c r="A28" s="1" t="s">
        <v>206</v>
      </c>
      <c r="B28" s="1" t="s">
        <v>216</v>
      </c>
      <c r="C28" s="1" t="s">
        <v>200</v>
      </c>
      <c r="D28" s="1">
        <v>7</v>
      </c>
      <c r="E28" s="1" t="s">
        <v>110</v>
      </c>
      <c r="F28" s="14" t="s">
        <v>225</v>
      </c>
      <c r="G28" s="6" t="s">
        <v>226</v>
      </c>
      <c r="H28" s="11" t="s">
        <v>3</v>
      </c>
      <c r="I28" s="11" t="s">
        <v>8</v>
      </c>
      <c r="J28" s="11" t="s">
        <v>8</v>
      </c>
      <c r="K28" s="11" t="s">
        <v>8</v>
      </c>
      <c r="L28" s="11">
        <v>4</v>
      </c>
    </row>
    <row r="29" spans="1:12" x14ac:dyDescent="0.3">
      <c r="A29" s="1" t="s">
        <v>207</v>
      </c>
      <c r="B29" s="1" t="s">
        <v>275</v>
      </c>
      <c r="C29" s="1" t="s">
        <v>200</v>
      </c>
      <c r="D29" s="1">
        <v>7</v>
      </c>
      <c r="E29" s="1" t="s">
        <v>28</v>
      </c>
      <c r="F29" s="14" t="s">
        <v>277</v>
      </c>
      <c r="G29" s="6" t="s">
        <v>276</v>
      </c>
      <c r="H29" s="11" t="s">
        <v>3</v>
      </c>
      <c r="I29" s="11" t="s">
        <v>3</v>
      </c>
      <c r="J29" s="11" t="s">
        <v>8</v>
      </c>
      <c r="K29" s="11" t="s">
        <v>8</v>
      </c>
      <c r="L29" s="11">
        <v>3</v>
      </c>
    </row>
    <row r="30" spans="1:12" x14ac:dyDescent="0.3">
      <c r="A30" s="1" t="s">
        <v>208</v>
      </c>
      <c r="B30" s="1" t="s">
        <v>284</v>
      </c>
      <c r="C30" s="1" t="s">
        <v>200</v>
      </c>
      <c r="D30" s="1">
        <v>7</v>
      </c>
      <c r="E30" s="1" t="s">
        <v>167</v>
      </c>
      <c r="F30" s="14" t="s">
        <v>285</v>
      </c>
      <c r="G30" s="6" t="s">
        <v>286</v>
      </c>
      <c r="H30" s="11" t="s">
        <v>3</v>
      </c>
      <c r="I30" s="11" t="s">
        <v>8</v>
      </c>
      <c r="J30" s="11" t="s">
        <v>3</v>
      </c>
      <c r="K30" s="11" t="s">
        <v>8</v>
      </c>
      <c r="L30" s="11">
        <v>3</v>
      </c>
    </row>
    <row r="31" spans="1:12" x14ac:dyDescent="0.3">
      <c r="A31" s="1" t="s">
        <v>209</v>
      </c>
      <c r="B31" s="1" t="s">
        <v>302</v>
      </c>
      <c r="C31" s="1" t="s">
        <v>200</v>
      </c>
      <c r="D31" s="1">
        <v>7</v>
      </c>
      <c r="E31" s="1" t="s">
        <v>211</v>
      </c>
      <c r="F31" s="14" t="s">
        <v>287</v>
      </c>
      <c r="G31" s="6" t="s">
        <v>288</v>
      </c>
      <c r="H31" s="11" t="s">
        <v>8</v>
      </c>
      <c r="I31" s="11" t="s">
        <v>8</v>
      </c>
      <c r="J31" s="11" t="s">
        <v>3</v>
      </c>
      <c r="K31" s="11" t="s">
        <v>8</v>
      </c>
      <c r="L31" s="11">
        <v>5</v>
      </c>
    </row>
    <row r="32" spans="1:12" x14ac:dyDescent="0.3">
      <c r="A32" s="1" t="s">
        <v>210</v>
      </c>
      <c r="B32" s="1" t="s">
        <v>298</v>
      </c>
      <c r="C32" s="1" t="s">
        <v>200</v>
      </c>
      <c r="D32" s="1">
        <v>7</v>
      </c>
      <c r="E32" s="1" t="s">
        <v>167</v>
      </c>
      <c r="F32" s="14" t="s">
        <v>299</v>
      </c>
      <c r="G32" s="6" t="s">
        <v>300</v>
      </c>
      <c r="H32" s="11" t="s">
        <v>3</v>
      </c>
      <c r="I32" s="11" t="s">
        <v>8</v>
      </c>
      <c r="J32" s="11" t="s">
        <v>3</v>
      </c>
      <c r="K32" s="11" t="s">
        <v>8</v>
      </c>
      <c r="L32" s="11">
        <v>3</v>
      </c>
    </row>
    <row r="33" spans="1:12" x14ac:dyDescent="0.3">
      <c r="A33" s="1" t="s">
        <v>211</v>
      </c>
      <c r="B33" s="1" t="s">
        <v>293</v>
      </c>
      <c r="C33" s="1" t="s">
        <v>200</v>
      </c>
      <c r="D33" s="1">
        <v>7</v>
      </c>
      <c r="E33" s="1" t="s">
        <v>210</v>
      </c>
      <c r="F33" s="14" t="s">
        <v>301</v>
      </c>
      <c r="G33" s="6" t="s">
        <v>309</v>
      </c>
      <c r="H33" s="11" t="s">
        <v>3</v>
      </c>
      <c r="I33" s="11" t="s">
        <v>8</v>
      </c>
      <c r="J33" s="11" t="s">
        <v>3</v>
      </c>
      <c r="K33" s="11" t="s">
        <v>8</v>
      </c>
      <c r="L33" s="11">
        <v>4</v>
      </c>
    </row>
    <row r="34" spans="1:12" x14ac:dyDescent="0.3">
      <c r="A34" s="1" t="s">
        <v>244</v>
      </c>
      <c r="B34" s="1" t="s">
        <v>310</v>
      </c>
      <c r="C34" s="1" t="s">
        <v>200</v>
      </c>
      <c r="D34" s="1">
        <v>8</v>
      </c>
      <c r="E34" s="1" t="s">
        <v>20</v>
      </c>
      <c r="F34" s="14" t="s">
        <v>311</v>
      </c>
      <c r="G34" s="6" t="s">
        <v>312</v>
      </c>
      <c r="H34" s="11" t="s">
        <v>8</v>
      </c>
      <c r="I34" s="11" t="s">
        <v>3</v>
      </c>
      <c r="J34" s="11" t="s">
        <v>3</v>
      </c>
      <c r="K34" s="11" t="s">
        <v>3</v>
      </c>
      <c r="L34" s="11">
        <v>2</v>
      </c>
    </row>
    <row r="35" spans="1:12" x14ac:dyDescent="0.3">
      <c r="A35" s="1" t="s">
        <v>245</v>
      </c>
      <c r="B35" s="1" t="s">
        <v>313</v>
      </c>
      <c r="C35" s="1" t="s">
        <v>200</v>
      </c>
      <c r="D35" s="1">
        <v>8</v>
      </c>
      <c r="E35" s="1" t="s">
        <v>244</v>
      </c>
      <c r="F35" s="14" t="s">
        <v>314</v>
      </c>
      <c r="G35" s="6" t="s">
        <v>318</v>
      </c>
      <c r="H35" s="11" t="s">
        <v>8</v>
      </c>
      <c r="I35" s="11" t="s">
        <v>3</v>
      </c>
      <c r="J35" s="11" t="s">
        <v>3</v>
      </c>
      <c r="K35" s="11" t="s">
        <v>3</v>
      </c>
      <c r="L35" s="11">
        <v>3</v>
      </c>
    </row>
    <row r="36" spans="1:12" x14ac:dyDescent="0.3">
      <c r="A36" s="1" t="s">
        <v>246</v>
      </c>
      <c r="B36" s="1" t="s">
        <v>315</v>
      </c>
      <c r="C36" s="1" t="s">
        <v>200</v>
      </c>
      <c r="D36" s="1">
        <v>8</v>
      </c>
      <c r="E36" s="1" t="s">
        <v>245</v>
      </c>
      <c r="F36" s="14" t="s">
        <v>316</v>
      </c>
      <c r="G36" s="6" t="s">
        <v>317</v>
      </c>
      <c r="H36" s="11" t="s">
        <v>8</v>
      </c>
      <c r="I36" s="11" t="s">
        <v>3</v>
      </c>
      <c r="J36" s="11" t="s">
        <v>3</v>
      </c>
      <c r="K36" s="11" t="s">
        <v>3</v>
      </c>
      <c r="L36" s="11">
        <v>4</v>
      </c>
    </row>
    <row r="37" spans="1:12" x14ac:dyDescent="0.3">
      <c r="A37" s="1" t="s">
        <v>247</v>
      </c>
      <c r="B37" s="1" t="s">
        <v>334</v>
      </c>
      <c r="C37" s="1" t="s">
        <v>334</v>
      </c>
      <c r="D37" s="1">
        <v>9</v>
      </c>
      <c r="E37" s="1" t="s">
        <v>20</v>
      </c>
      <c r="F37" s="14" t="s">
        <v>335</v>
      </c>
      <c r="G37" s="6" t="s">
        <v>336</v>
      </c>
      <c r="H37" s="11" t="s">
        <v>3</v>
      </c>
      <c r="I37" s="11" t="s">
        <v>3</v>
      </c>
      <c r="J37" s="11" t="s">
        <v>3</v>
      </c>
      <c r="K37" s="11" t="s">
        <v>8</v>
      </c>
      <c r="L37" s="11">
        <v>2</v>
      </c>
    </row>
    <row r="38" spans="1:12" x14ac:dyDescent="0.3">
      <c r="A38" s="1" t="s">
        <v>337</v>
      </c>
      <c r="B38" s="1" t="s">
        <v>338</v>
      </c>
      <c r="C38" s="1" t="s">
        <v>338</v>
      </c>
      <c r="D38" s="1">
        <v>10</v>
      </c>
      <c r="E38" s="1" t="s">
        <v>20</v>
      </c>
      <c r="F38" s="14" t="s">
        <v>339</v>
      </c>
      <c r="G38" s="14" t="s">
        <v>113</v>
      </c>
      <c r="H38" s="11" t="s">
        <v>3</v>
      </c>
      <c r="I38" s="11" t="s">
        <v>3</v>
      </c>
      <c r="J38" s="11" t="s">
        <v>3</v>
      </c>
      <c r="K38" s="11" t="s">
        <v>3</v>
      </c>
      <c r="L38" s="11">
        <v>2</v>
      </c>
    </row>
    <row r="39" spans="1:12" x14ac:dyDescent="0.3">
      <c r="A39" s="1" t="s">
        <v>340</v>
      </c>
      <c r="B39" s="1" t="s">
        <v>290</v>
      </c>
      <c r="C39" s="1" t="s">
        <v>338</v>
      </c>
      <c r="D39" s="1">
        <v>11</v>
      </c>
      <c r="E39" s="1" t="s">
        <v>20</v>
      </c>
      <c r="F39" s="14" t="s">
        <v>353</v>
      </c>
      <c r="G39" s="6" t="s">
        <v>352</v>
      </c>
      <c r="H39" s="11" t="s">
        <v>3</v>
      </c>
      <c r="I39" s="11" t="s">
        <v>3</v>
      </c>
      <c r="J39" s="11" t="s">
        <v>3</v>
      </c>
      <c r="K39" s="11" t="s">
        <v>3</v>
      </c>
      <c r="L39" s="11">
        <v>2</v>
      </c>
    </row>
    <row r="40" spans="1:12" x14ac:dyDescent="0.3">
      <c r="A40" s="1" t="s">
        <v>341</v>
      </c>
      <c r="B40" s="1" t="s">
        <v>343</v>
      </c>
      <c r="C40" s="1" t="s">
        <v>338</v>
      </c>
      <c r="D40" s="1">
        <v>11</v>
      </c>
      <c r="E40" s="1" t="s">
        <v>340</v>
      </c>
      <c r="F40" s="14" t="s">
        <v>350</v>
      </c>
      <c r="G40" s="6" t="s">
        <v>351</v>
      </c>
      <c r="H40" s="11" t="s">
        <v>3</v>
      </c>
      <c r="I40" s="11" t="s">
        <v>3</v>
      </c>
      <c r="J40" s="11" t="s">
        <v>3</v>
      </c>
      <c r="K40" s="11" t="s">
        <v>8</v>
      </c>
      <c r="L40" s="11">
        <v>3</v>
      </c>
    </row>
    <row r="41" spans="1:12" x14ac:dyDescent="0.3">
      <c r="A41" s="1" t="s">
        <v>344</v>
      </c>
      <c r="B41" s="1" t="s">
        <v>342</v>
      </c>
      <c r="C41" s="1" t="s">
        <v>338</v>
      </c>
      <c r="D41" s="1">
        <v>11</v>
      </c>
      <c r="E41" s="1" t="s">
        <v>340</v>
      </c>
      <c r="F41" s="14" t="s">
        <v>357</v>
      </c>
      <c r="G41" s="6" t="s">
        <v>356</v>
      </c>
      <c r="H41" s="11" t="s">
        <v>3</v>
      </c>
      <c r="I41" s="11" t="s">
        <v>3</v>
      </c>
      <c r="J41" s="11" t="s">
        <v>3</v>
      </c>
      <c r="K41" s="11" t="s">
        <v>3</v>
      </c>
      <c r="L41" s="11">
        <v>3</v>
      </c>
    </row>
    <row r="42" spans="1:12" x14ac:dyDescent="0.3">
      <c r="A42" s="1" t="s">
        <v>347</v>
      </c>
      <c r="B42" s="1" t="s">
        <v>346</v>
      </c>
      <c r="C42" s="1" t="s">
        <v>338</v>
      </c>
      <c r="D42" s="1">
        <v>11</v>
      </c>
      <c r="E42" s="1" t="s">
        <v>344</v>
      </c>
      <c r="F42" s="14" t="s">
        <v>365</v>
      </c>
      <c r="G42" s="6" t="s">
        <v>364</v>
      </c>
      <c r="H42" s="11" t="s">
        <v>3</v>
      </c>
      <c r="I42" s="11" t="s">
        <v>3</v>
      </c>
      <c r="J42" s="11" t="s">
        <v>3</v>
      </c>
      <c r="K42" s="11" t="s">
        <v>8</v>
      </c>
      <c r="L42" s="11">
        <v>4</v>
      </c>
    </row>
    <row r="43" spans="1:12" x14ac:dyDescent="0.3">
      <c r="A43" s="1" t="s">
        <v>348</v>
      </c>
      <c r="B43" s="1" t="s">
        <v>358</v>
      </c>
      <c r="C43" s="1" t="s">
        <v>338</v>
      </c>
      <c r="D43" s="1">
        <v>11</v>
      </c>
      <c r="E43" s="1" t="s">
        <v>344</v>
      </c>
      <c r="F43" s="14" t="s">
        <v>363</v>
      </c>
      <c r="G43" s="6" t="s">
        <v>367</v>
      </c>
      <c r="H43" s="11" t="s">
        <v>3</v>
      </c>
      <c r="I43" s="11" t="s">
        <v>8</v>
      </c>
      <c r="J43" s="11" t="s">
        <v>3</v>
      </c>
      <c r="K43" s="11" t="s">
        <v>8</v>
      </c>
      <c r="L43" s="11">
        <v>4</v>
      </c>
    </row>
    <row r="44" spans="1:12" x14ac:dyDescent="0.3">
      <c r="A44" s="1" t="s">
        <v>349</v>
      </c>
      <c r="B44" s="1" t="s">
        <v>359</v>
      </c>
      <c r="C44" s="1" t="s">
        <v>338</v>
      </c>
      <c r="D44" s="1">
        <v>11</v>
      </c>
      <c r="E44" s="1" t="s">
        <v>344</v>
      </c>
      <c r="F44" s="14" t="s">
        <v>366</v>
      </c>
      <c r="G44" s="6" t="s">
        <v>368</v>
      </c>
      <c r="H44" s="11" t="s">
        <v>8</v>
      </c>
      <c r="I44" s="11" t="s">
        <v>3</v>
      </c>
      <c r="J44" s="11" t="s">
        <v>8</v>
      </c>
      <c r="K44" s="11" t="s">
        <v>3</v>
      </c>
      <c r="L44" s="11">
        <v>4</v>
      </c>
    </row>
    <row r="45" spans="1:12" x14ac:dyDescent="0.3">
      <c r="A45" s="1" t="s">
        <v>361</v>
      </c>
      <c r="B45" s="1" t="s">
        <v>360</v>
      </c>
      <c r="C45" s="1" t="s">
        <v>338</v>
      </c>
      <c r="D45" s="1">
        <v>11</v>
      </c>
      <c r="E45" s="1" t="s">
        <v>344</v>
      </c>
      <c r="F45" s="14" t="s">
        <v>369</v>
      </c>
      <c r="G45" s="6" t="s">
        <v>370</v>
      </c>
      <c r="H45" s="11" t="s">
        <v>3</v>
      </c>
      <c r="I45" s="11" t="s">
        <v>3</v>
      </c>
      <c r="J45" s="11" t="s">
        <v>8</v>
      </c>
      <c r="K45" s="11" t="s">
        <v>8</v>
      </c>
      <c r="L45" s="11">
        <v>4</v>
      </c>
    </row>
    <row r="46" spans="1:12" x14ac:dyDescent="0.3">
      <c r="A46" s="1" t="s">
        <v>362</v>
      </c>
      <c r="B46" s="1" t="s">
        <v>345</v>
      </c>
      <c r="C46" s="1" t="s">
        <v>338</v>
      </c>
      <c r="D46" s="1">
        <v>11</v>
      </c>
      <c r="E46" s="1" t="s">
        <v>340</v>
      </c>
      <c r="F46" s="14" t="s">
        <v>355</v>
      </c>
      <c r="G46" s="6" t="s">
        <v>354</v>
      </c>
      <c r="H46" s="11" t="s">
        <v>8</v>
      </c>
      <c r="I46" s="11" t="s">
        <v>8</v>
      </c>
      <c r="J46" s="11" t="s">
        <v>3</v>
      </c>
      <c r="K46" s="11" t="s">
        <v>8</v>
      </c>
      <c r="L46" s="11">
        <v>5</v>
      </c>
    </row>
    <row r="47" spans="1:12" x14ac:dyDescent="0.3">
      <c r="A47" s="1" t="s">
        <v>531</v>
      </c>
      <c r="B47" s="1" t="s">
        <v>532</v>
      </c>
      <c r="C47" s="1" t="s">
        <v>532</v>
      </c>
      <c r="D47" s="1">
        <v>10</v>
      </c>
      <c r="E47" s="1" t="s">
        <v>20</v>
      </c>
      <c r="F47" s="14" t="s">
        <v>533</v>
      </c>
      <c r="G47" s="6" t="s">
        <v>534</v>
      </c>
      <c r="H47" s="11" t="s">
        <v>8</v>
      </c>
      <c r="I47" s="11" t="s">
        <v>3</v>
      </c>
      <c r="J47" s="11" t="s">
        <v>8</v>
      </c>
      <c r="K47" s="11" t="s">
        <v>8</v>
      </c>
      <c r="L47" s="11">
        <v>2</v>
      </c>
    </row>
    <row r="48" spans="1:12" x14ac:dyDescent="0.3">
      <c r="A48" s="1" t="s">
        <v>535</v>
      </c>
      <c r="B48" s="1" t="s">
        <v>536</v>
      </c>
      <c r="C48" s="1" t="s">
        <v>532</v>
      </c>
      <c r="D48" s="1">
        <v>10</v>
      </c>
      <c r="E48" s="1" t="s">
        <v>531</v>
      </c>
      <c r="F48" s="14" t="s">
        <v>537</v>
      </c>
      <c r="G48" s="6" t="s">
        <v>538</v>
      </c>
      <c r="H48" s="11" t="s">
        <v>8</v>
      </c>
      <c r="I48" s="11" t="s">
        <v>3</v>
      </c>
      <c r="J48" s="11" t="s">
        <v>8</v>
      </c>
      <c r="K48" s="11" t="s">
        <v>8</v>
      </c>
      <c r="L48" s="11">
        <v>3</v>
      </c>
    </row>
    <row r="49" spans="1:12" x14ac:dyDescent="0.3">
      <c r="A49" s="1" t="s">
        <v>540</v>
      </c>
      <c r="B49" s="1" t="s">
        <v>541</v>
      </c>
      <c r="C49" s="1" t="s">
        <v>338</v>
      </c>
      <c r="D49" s="1">
        <v>10</v>
      </c>
      <c r="E49" s="1" t="s">
        <v>337</v>
      </c>
      <c r="F49" s="14" t="s">
        <v>542</v>
      </c>
      <c r="G49" s="6" t="s">
        <v>539</v>
      </c>
      <c r="H49" s="11" t="s">
        <v>8</v>
      </c>
      <c r="I49" s="11" t="s">
        <v>3</v>
      </c>
      <c r="J49" s="11" t="s">
        <v>8</v>
      </c>
      <c r="K49" s="11" t="s">
        <v>3</v>
      </c>
      <c r="L49" s="11">
        <v>3</v>
      </c>
    </row>
    <row r="50" spans="1:12" x14ac:dyDescent="0.3">
      <c r="A50" s="1" t="s">
        <v>551</v>
      </c>
      <c r="B50" s="1" t="s">
        <v>552</v>
      </c>
      <c r="C50" s="1" t="s">
        <v>338</v>
      </c>
      <c r="D50" s="1">
        <v>10</v>
      </c>
      <c r="E50" s="1" t="s">
        <v>599</v>
      </c>
      <c r="F50" s="14" t="s">
        <v>553</v>
      </c>
      <c r="G50" s="6" t="s">
        <v>554</v>
      </c>
      <c r="H50" s="11" t="s">
        <v>8</v>
      </c>
      <c r="I50" s="11" t="s">
        <v>3</v>
      </c>
      <c r="J50" s="11" t="s">
        <v>8</v>
      </c>
      <c r="K50" s="11" t="s">
        <v>3</v>
      </c>
      <c r="L50" s="11">
        <v>4</v>
      </c>
    </row>
    <row r="51" spans="1:12" x14ac:dyDescent="0.3">
      <c r="A51" s="1" t="s">
        <v>555</v>
      </c>
      <c r="B51" s="1" t="s">
        <v>556</v>
      </c>
      <c r="C51" s="1" t="s">
        <v>338</v>
      </c>
      <c r="D51" s="1">
        <v>10</v>
      </c>
      <c r="E51" s="1" t="s">
        <v>551</v>
      </c>
      <c r="F51" s="14" t="s">
        <v>561</v>
      </c>
      <c r="G51" s="6" t="s">
        <v>562</v>
      </c>
      <c r="H51" s="11" t="s">
        <v>8</v>
      </c>
      <c r="I51" s="11" t="s">
        <v>3</v>
      </c>
      <c r="J51" s="11" t="s">
        <v>8</v>
      </c>
      <c r="K51" s="11" t="s">
        <v>3</v>
      </c>
      <c r="L51" s="11">
        <v>5</v>
      </c>
    </row>
    <row r="52" spans="1:12" x14ac:dyDescent="0.3">
      <c r="A52" s="1" t="s">
        <v>557</v>
      </c>
      <c r="B52" s="1" t="s">
        <v>558</v>
      </c>
      <c r="C52" s="1" t="s">
        <v>338</v>
      </c>
      <c r="D52" s="1">
        <v>10</v>
      </c>
      <c r="E52" s="1" t="s">
        <v>555</v>
      </c>
      <c r="F52" s="14" t="s">
        <v>559</v>
      </c>
      <c r="G52" s="6" t="s">
        <v>560</v>
      </c>
      <c r="H52" s="11" t="s">
        <v>8</v>
      </c>
      <c r="I52" s="11" t="s">
        <v>3</v>
      </c>
      <c r="J52" s="11" t="s">
        <v>8</v>
      </c>
      <c r="K52" s="11" t="s">
        <v>3</v>
      </c>
      <c r="L52" s="11">
        <v>6</v>
      </c>
    </row>
    <row r="53" spans="1:12" x14ac:dyDescent="0.3">
      <c r="A53" s="1" t="s">
        <v>567</v>
      </c>
      <c r="B53" s="1" t="s">
        <v>568</v>
      </c>
      <c r="C53" s="1" t="s">
        <v>200</v>
      </c>
      <c r="D53" s="1">
        <v>10</v>
      </c>
      <c r="E53" s="1" t="s">
        <v>167</v>
      </c>
      <c r="F53" s="14" t="s">
        <v>569</v>
      </c>
      <c r="G53" s="6" t="s">
        <v>570</v>
      </c>
      <c r="H53" s="11" t="s">
        <v>8</v>
      </c>
      <c r="I53" s="11" t="s">
        <v>3</v>
      </c>
      <c r="J53" s="11" t="s">
        <v>8</v>
      </c>
      <c r="K53" s="11" t="s">
        <v>3</v>
      </c>
      <c r="L53" s="11">
        <v>4</v>
      </c>
    </row>
    <row r="54" spans="1:12" x14ac:dyDescent="0.3">
      <c r="A54" s="1" t="s">
        <v>584</v>
      </c>
      <c r="B54" s="1" t="s">
        <v>585</v>
      </c>
      <c r="C54" s="1" t="s">
        <v>338</v>
      </c>
      <c r="D54" s="1">
        <v>10</v>
      </c>
      <c r="E54" s="1" t="s">
        <v>608</v>
      </c>
      <c r="F54" s="14" t="s">
        <v>604</v>
      </c>
      <c r="G54" s="6" t="s">
        <v>586</v>
      </c>
      <c r="H54" s="11" t="s">
        <v>8</v>
      </c>
      <c r="I54" s="11" t="s">
        <v>8</v>
      </c>
      <c r="J54" s="11" t="s">
        <v>8</v>
      </c>
      <c r="K54" s="11" t="s">
        <v>3</v>
      </c>
      <c r="L54" s="11">
        <v>4</v>
      </c>
    </row>
    <row r="55" spans="1:12" x14ac:dyDescent="0.3">
      <c r="A55" s="1" t="s">
        <v>599</v>
      </c>
      <c r="B55" s="1" t="s">
        <v>602</v>
      </c>
      <c r="C55" s="1" t="s">
        <v>338</v>
      </c>
      <c r="D55" s="1">
        <v>10</v>
      </c>
      <c r="E55" s="1" t="s">
        <v>337</v>
      </c>
      <c r="F55" s="14" t="s">
        <v>605</v>
      </c>
      <c r="G55" s="6" t="s">
        <v>603</v>
      </c>
      <c r="H55" s="11" t="s">
        <v>8</v>
      </c>
      <c r="I55" s="11" t="s">
        <v>3</v>
      </c>
      <c r="J55" s="11" t="s">
        <v>8</v>
      </c>
      <c r="K55" s="11" t="s">
        <v>3</v>
      </c>
      <c r="L55" s="11">
        <v>3</v>
      </c>
    </row>
    <row r="56" spans="1:12" x14ac:dyDescent="0.3">
      <c r="A56" s="1" t="s">
        <v>601</v>
      </c>
      <c r="B56" s="1" t="s">
        <v>600</v>
      </c>
      <c r="C56" s="1" t="s">
        <v>338</v>
      </c>
      <c r="D56" s="1">
        <v>10</v>
      </c>
      <c r="E56" s="1" t="s">
        <v>599</v>
      </c>
      <c r="F56" s="14" t="s">
        <v>606</v>
      </c>
      <c r="G56" s="6" t="s">
        <v>607</v>
      </c>
      <c r="H56" s="11" t="s">
        <v>8</v>
      </c>
      <c r="I56" s="11" t="s">
        <v>3</v>
      </c>
      <c r="J56" s="11" t="s">
        <v>8</v>
      </c>
      <c r="K56" s="11" t="s">
        <v>3</v>
      </c>
      <c r="L56" s="11">
        <v>4</v>
      </c>
    </row>
    <row r="57" spans="1:12" x14ac:dyDescent="0.3">
      <c r="A57" s="1" t="s">
        <v>608</v>
      </c>
      <c r="B57" s="1" t="s">
        <v>544</v>
      </c>
      <c r="C57" s="1" t="s">
        <v>338</v>
      </c>
      <c r="D57" s="1">
        <v>10</v>
      </c>
      <c r="E57" s="1" t="s">
        <v>337</v>
      </c>
      <c r="F57" s="14" t="s">
        <v>613</v>
      </c>
      <c r="G57" s="6" t="s">
        <v>614</v>
      </c>
      <c r="H57" s="11" t="s">
        <v>8</v>
      </c>
      <c r="I57" s="11" t="s">
        <v>3</v>
      </c>
      <c r="J57" s="11" t="s">
        <v>8</v>
      </c>
      <c r="K57" s="11" t="s">
        <v>3</v>
      </c>
      <c r="L57" s="11">
        <v>3</v>
      </c>
    </row>
    <row r="58" spans="1:12" x14ac:dyDescent="0.3">
      <c r="A58" s="1" t="s">
        <v>615</v>
      </c>
      <c r="B58" s="1" t="s">
        <v>618</v>
      </c>
      <c r="C58" s="1" t="s">
        <v>338</v>
      </c>
      <c r="D58" s="1">
        <v>10</v>
      </c>
      <c r="E58" s="1" t="s">
        <v>337</v>
      </c>
      <c r="F58" s="14" t="s">
        <v>621</v>
      </c>
      <c r="G58" s="6" t="s">
        <v>620</v>
      </c>
      <c r="H58" s="11" t="s">
        <v>8</v>
      </c>
      <c r="I58" s="11" t="s">
        <v>3</v>
      </c>
      <c r="J58" s="11" t="s">
        <v>8</v>
      </c>
      <c r="K58" s="11" t="s">
        <v>3</v>
      </c>
      <c r="L58" s="11">
        <v>3</v>
      </c>
    </row>
    <row r="59" spans="1:12" x14ac:dyDescent="0.3">
      <c r="A59" s="1" t="s">
        <v>617</v>
      </c>
      <c r="B59" s="1" t="s">
        <v>616</v>
      </c>
      <c r="C59" s="1" t="s">
        <v>338</v>
      </c>
      <c r="D59" s="1">
        <v>10</v>
      </c>
      <c r="E59" s="1" t="s">
        <v>615</v>
      </c>
      <c r="F59" s="14" t="s">
        <v>622</v>
      </c>
      <c r="G59" s="6" t="s">
        <v>619</v>
      </c>
      <c r="H59" s="11" t="s">
        <v>8</v>
      </c>
      <c r="I59" s="11" t="s">
        <v>3</v>
      </c>
      <c r="J59" s="11" t="s">
        <v>8</v>
      </c>
      <c r="K59" s="11" t="s">
        <v>3</v>
      </c>
      <c r="L59" s="11">
        <v>4</v>
      </c>
    </row>
  </sheetData>
  <hyperlinks>
    <hyperlink ref="G2" r:id="rId1"/>
    <hyperlink ref="G3" r:id="rId2"/>
    <hyperlink ref="G4" r:id="rId3"/>
    <hyperlink ref="G5" r:id="rId4"/>
    <hyperlink ref="G6" r:id="rId5"/>
    <hyperlink ref="G9" r:id="rId6"/>
    <hyperlink ref="G8" r:id="rId7"/>
    <hyperlink ref="G7" r:id="rId8"/>
    <hyperlink ref="G10" r:id="rId9"/>
    <hyperlink ref="G11" r:id="rId10"/>
    <hyperlink ref="G12" r:id="rId11"/>
    <hyperlink ref="G14" r:id="rId12"/>
    <hyperlink ref="G13" r:id="rId13"/>
    <hyperlink ref="G15" r:id="rId14" display="https://allaboutwatersheds.org/"/>
    <hyperlink ref="G16" r:id="rId15"/>
    <hyperlink ref="G17" r:id="rId16"/>
    <hyperlink ref="G18" r:id="rId17"/>
    <hyperlink ref="G20" r:id="rId18"/>
    <hyperlink ref="G19" r:id="rId19"/>
    <hyperlink ref="G21" r:id="rId20"/>
    <hyperlink ref="G24" r:id="rId21"/>
    <hyperlink ref="G28" r:id="rId22"/>
    <hyperlink ref="G22" r:id="rId23"/>
    <hyperlink ref="G23" r:id="rId24"/>
    <hyperlink ref="G25" r:id="rId25"/>
    <hyperlink ref="G26" r:id="rId26"/>
    <hyperlink ref="G27" r:id="rId27"/>
    <hyperlink ref="G29" r:id="rId28"/>
    <hyperlink ref="G30" r:id="rId29"/>
    <hyperlink ref="G31" r:id="rId30"/>
    <hyperlink ref="G32" r:id="rId31"/>
    <hyperlink ref="G33" r:id="rId32"/>
    <hyperlink ref="G34" r:id="rId33"/>
    <hyperlink ref="G36" r:id="rId34"/>
    <hyperlink ref="G35" r:id="rId35"/>
    <hyperlink ref="G37" r:id="rId36"/>
    <hyperlink ref="G40" r:id="rId37"/>
    <hyperlink ref="G39" r:id="rId38"/>
    <hyperlink ref="G46" r:id="rId39"/>
    <hyperlink ref="G41" r:id="rId40"/>
    <hyperlink ref="G42" r:id="rId41"/>
    <hyperlink ref="G43" r:id="rId42"/>
    <hyperlink ref="G44" r:id="rId43"/>
    <hyperlink ref="G45" r:id="rId44"/>
    <hyperlink ref="G47" r:id="rId45"/>
    <hyperlink ref="G48" r:id="rId46"/>
    <hyperlink ref="G49" r:id="rId47"/>
    <hyperlink ref="G50" r:id="rId48"/>
    <hyperlink ref="G52" r:id="rId49"/>
    <hyperlink ref="G51" r:id="rId50"/>
    <hyperlink ref="G53" r:id="rId51"/>
    <hyperlink ref="G54" r:id="rId52"/>
    <hyperlink ref="G55" r:id="rId53"/>
    <hyperlink ref="G56" r:id="rId54"/>
    <hyperlink ref="G57" r:id="rId55"/>
    <hyperlink ref="G59" r:id="rId56"/>
    <hyperlink ref="G58" r:id="rId57"/>
  </hyperlinks>
  <pageMargins left="0.7" right="0.7" top="0.75" bottom="0.75" header="0.3" footer="0.3"/>
  <pageSetup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
  <sheetViews>
    <sheetView workbookViewId="0"/>
  </sheetViews>
  <sheetFormatPr defaultRowHeight="15.6" x14ac:dyDescent="0.3"/>
  <cols>
    <col min="1" max="16384" width="8.796875" style="1"/>
  </cols>
  <sheetData>
    <row r="1" spans="1:2" x14ac:dyDescent="0.3">
      <c r="A1" s="5" t="s">
        <v>32</v>
      </c>
      <c r="B1" s="5" t="s">
        <v>33</v>
      </c>
    </row>
    <row r="2" spans="1:2" x14ac:dyDescent="0.3">
      <c r="A2" s="1" t="s">
        <v>20</v>
      </c>
      <c r="B2" s="1" t="s">
        <v>21</v>
      </c>
    </row>
    <row r="3" spans="1:2" x14ac:dyDescent="0.3">
      <c r="A3" s="1" t="s">
        <v>20</v>
      </c>
      <c r="B3" s="1" t="s">
        <v>24</v>
      </c>
    </row>
    <row r="4" spans="1:2" x14ac:dyDescent="0.3">
      <c r="A4" s="1" t="s">
        <v>20</v>
      </c>
      <c r="B4" s="1" t="s">
        <v>28</v>
      </c>
    </row>
    <row r="5" spans="1:2" x14ac:dyDescent="0.3">
      <c r="A5" s="1" t="s">
        <v>20</v>
      </c>
      <c r="B5" s="1" t="s">
        <v>167</v>
      </c>
    </row>
    <row r="6" spans="1:2" x14ac:dyDescent="0.3">
      <c r="A6" s="1" t="s">
        <v>20</v>
      </c>
      <c r="B6" s="1" t="s">
        <v>244</v>
      </c>
    </row>
    <row r="7" spans="1:2" x14ac:dyDescent="0.3">
      <c r="A7" s="1" t="s">
        <v>20</v>
      </c>
      <c r="B7" s="1" t="s">
        <v>247</v>
      </c>
    </row>
    <row r="8" spans="1:2" x14ac:dyDescent="0.3">
      <c r="A8" s="1" t="s">
        <v>20</v>
      </c>
      <c r="B8" s="1" t="s">
        <v>337</v>
      </c>
    </row>
    <row r="9" spans="1:2" x14ac:dyDescent="0.3">
      <c r="A9" s="1" t="s">
        <v>20</v>
      </c>
      <c r="B9" s="1" t="s">
        <v>340</v>
      </c>
    </row>
    <row r="10" spans="1:2" x14ac:dyDescent="0.3">
      <c r="A10" s="1" t="s">
        <v>20</v>
      </c>
      <c r="B10" s="1" t="s">
        <v>531</v>
      </c>
    </row>
    <row r="11" spans="1:2" x14ac:dyDescent="0.3">
      <c r="A11" s="1" t="s">
        <v>21</v>
      </c>
      <c r="B11" s="1" t="s">
        <v>22</v>
      </c>
    </row>
    <row r="12" spans="1:2" x14ac:dyDescent="0.3">
      <c r="A12" s="1" t="s">
        <v>21</v>
      </c>
      <c r="B12" s="1" t="s">
        <v>23</v>
      </c>
    </row>
    <row r="13" spans="1:2" x14ac:dyDescent="0.3">
      <c r="A13" s="1" t="s">
        <v>24</v>
      </c>
      <c r="B13" s="1" t="s">
        <v>25</v>
      </c>
    </row>
    <row r="14" spans="1:2" x14ac:dyDescent="0.3">
      <c r="A14" s="1" t="s">
        <v>25</v>
      </c>
      <c r="B14" s="1" t="s">
        <v>26</v>
      </c>
    </row>
    <row r="15" spans="1:2" x14ac:dyDescent="0.3">
      <c r="A15" s="1" t="s">
        <v>25</v>
      </c>
      <c r="B15" s="1" t="s">
        <v>27</v>
      </c>
    </row>
    <row r="16" spans="1:2" x14ac:dyDescent="0.3">
      <c r="A16" s="1" t="s">
        <v>28</v>
      </c>
      <c r="B16" s="1" t="s">
        <v>29</v>
      </c>
    </row>
    <row r="17" spans="1:2" x14ac:dyDescent="0.3">
      <c r="A17" s="1" t="s">
        <v>28</v>
      </c>
      <c r="B17" s="1" t="s">
        <v>31</v>
      </c>
    </row>
    <row r="18" spans="1:2" x14ac:dyDescent="0.3">
      <c r="A18" s="1" t="s">
        <v>28</v>
      </c>
      <c r="B18" s="1" t="s">
        <v>141</v>
      </c>
    </row>
    <row r="19" spans="1:2" x14ac:dyDescent="0.3">
      <c r="A19" s="1" t="s">
        <v>28</v>
      </c>
      <c r="B19" s="1" t="s">
        <v>207</v>
      </c>
    </row>
    <row r="20" spans="1:2" x14ac:dyDescent="0.3">
      <c r="A20" s="1" t="s">
        <v>29</v>
      </c>
      <c r="B20" s="1" t="s">
        <v>30</v>
      </c>
    </row>
    <row r="21" spans="1:2" x14ac:dyDescent="0.3">
      <c r="A21" s="1" t="s">
        <v>31</v>
      </c>
      <c r="B21" s="1" t="s">
        <v>108</v>
      </c>
    </row>
    <row r="22" spans="1:2" x14ac:dyDescent="0.3">
      <c r="A22" s="1" t="s">
        <v>108</v>
      </c>
      <c r="B22" s="1" t="s">
        <v>109</v>
      </c>
    </row>
    <row r="23" spans="1:2" x14ac:dyDescent="0.3">
      <c r="A23" s="1" t="s">
        <v>141</v>
      </c>
      <c r="B23" s="1" t="s">
        <v>142</v>
      </c>
    </row>
    <row r="24" spans="1:2" x14ac:dyDescent="0.3">
      <c r="A24" s="1" t="s">
        <v>167</v>
      </c>
      <c r="B24" s="1" t="s">
        <v>110</v>
      </c>
    </row>
    <row r="25" spans="1:2" x14ac:dyDescent="0.3">
      <c r="A25" s="1" t="s">
        <v>167</v>
      </c>
      <c r="B25" s="1" t="s">
        <v>208</v>
      </c>
    </row>
    <row r="26" spans="1:2" x14ac:dyDescent="0.3">
      <c r="A26" s="1" t="s">
        <v>167</v>
      </c>
      <c r="B26" s="1" t="s">
        <v>210</v>
      </c>
    </row>
    <row r="27" spans="1:2" x14ac:dyDescent="0.3">
      <c r="A27" s="1" t="s">
        <v>167</v>
      </c>
      <c r="B27" s="1" t="s">
        <v>567</v>
      </c>
    </row>
    <row r="28" spans="1:2" x14ac:dyDescent="0.3">
      <c r="A28" s="1" t="s">
        <v>110</v>
      </c>
      <c r="B28" s="1" t="s">
        <v>168</v>
      </c>
    </row>
    <row r="29" spans="1:2" x14ac:dyDescent="0.3">
      <c r="A29" s="1" t="s">
        <v>110</v>
      </c>
      <c r="B29" s="1" t="s">
        <v>169</v>
      </c>
    </row>
    <row r="30" spans="1:2" x14ac:dyDescent="0.3">
      <c r="A30" s="1" t="s">
        <v>110</v>
      </c>
      <c r="B30" s="1" t="s">
        <v>172</v>
      </c>
    </row>
    <row r="31" spans="1:2" x14ac:dyDescent="0.3">
      <c r="A31" s="1" t="s">
        <v>110</v>
      </c>
      <c r="B31" s="1" t="s">
        <v>206</v>
      </c>
    </row>
    <row r="32" spans="1:2" x14ac:dyDescent="0.3">
      <c r="A32" s="1" t="s">
        <v>169</v>
      </c>
      <c r="B32" s="1" t="s">
        <v>170</v>
      </c>
    </row>
    <row r="33" spans="1:2" x14ac:dyDescent="0.3">
      <c r="A33" s="1" t="s">
        <v>169</v>
      </c>
      <c r="B33" s="1" t="s">
        <v>171</v>
      </c>
    </row>
    <row r="34" spans="1:2" x14ac:dyDescent="0.3">
      <c r="A34" s="1" t="s">
        <v>172</v>
      </c>
      <c r="B34" s="1" t="s">
        <v>203</v>
      </c>
    </row>
    <row r="35" spans="1:2" x14ac:dyDescent="0.3">
      <c r="A35" s="1" t="s">
        <v>172</v>
      </c>
      <c r="B35" s="1" t="s">
        <v>204</v>
      </c>
    </row>
    <row r="36" spans="1:2" x14ac:dyDescent="0.3">
      <c r="A36" s="1" t="s">
        <v>172</v>
      </c>
      <c r="B36" s="1" t="s">
        <v>205</v>
      </c>
    </row>
    <row r="37" spans="1:2" x14ac:dyDescent="0.3">
      <c r="A37" s="1" t="s">
        <v>210</v>
      </c>
      <c r="B37" s="1" t="s">
        <v>211</v>
      </c>
    </row>
    <row r="38" spans="1:2" x14ac:dyDescent="0.3">
      <c r="A38" s="1" t="s">
        <v>211</v>
      </c>
      <c r="B38" s="1" t="s">
        <v>209</v>
      </c>
    </row>
    <row r="39" spans="1:2" x14ac:dyDescent="0.3">
      <c r="A39" s="1" t="s">
        <v>244</v>
      </c>
      <c r="B39" s="1" t="s">
        <v>245</v>
      </c>
    </row>
    <row r="40" spans="1:2" x14ac:dyDescent="0.3">
      <c r="A40" s="1" t="s">
        <v>245</v>
      </c>
      <c r="B40" s="1" t="s">
        <v>246</v>
      </c>
    </row>
    <row r="41" spans="1:2" x14ac:dyDescent="0.3">
      <c r="A41" s="1" t="s">
        <v>337</v>
      </c>
      <c r="B41" s="1" t="s">
        <v>540</v>
      </c>
    </row>
    <row r="42" spans="1:2" x14ac:dyDescent="0.3">
      <c r="A42" s="1" t="s">
        <v>337</v>
      </c>
      <c r="B42" s="1" t="s">
        <v>599</v>
      </c>
    </row>
    <row r="43" spans="1:2" x14ac:dyDescent="0.3">
      <c r="A43" s="1" t="s">
        <v>337</v>
      </c>
      <c r="B43" s="1" t="s">
        <v>608</v>
      </c>
    </row>
    <row r="44" spans="1:2" x14ac:dyDescent="0.3">
      <c r="A44" s="1" t="s">
        <v>337</v>
      </c>
      <c r="B44" s="1" t="s">
        <v>615</v>
      </c>
    </row>
    <row r="45" spans="1:2" x14ac:dyDescent="0.3">
      <c r="A45" s="1" t="s">
        <v>340</v>
      </c>
      <c r="B45" s="1" t="s">
        <v>341</v>
      </c>
    </row>
    <row r="46" spans="1:2" x14ac:dyDescent="0.3">
      <c r="A46" s="1" t="s">
        <v>340</v>
      </c>
      <c r="B46" s="1" t="s">
        <v>344</v>
      </c>
    </row>
    <row r="47" spans="1:2" x14ac:dyDescent="0.3">
      <c r="A47" s="1" t="s">
        <v>340</v>
      </c>
      <c r="B47" s="1" t="s">
        <v>362</v>
      </c>
    </row>
    <row r="48" spans="1:2" x14ac:dyDescent="0.3">
      <c r="A48" s="1" t="s">
        <v>344</v>
      </c>
      <c r="B48" s="1" t="s">
        <v>347</v>
      </c>
    </row>
    <row r="49" spans="1:2" x14ac:dyDescent="0.3">
      <c r="A49" s="1" t="s">
        <v>344</v>
      </c>
      <c r="B49" s="1" t="s">
        <v>348</v>
      </c>
    </row>
    <row r="50" spans="1:2" x14ac:dyDescent="0.3">
      <c r="A50" s="1" t="s">
        <v>344</v>
      </c>
      <c r="B50" s="1" t="s">
        <v>349</v>
      </c>
    </row>
    <row r="51" spans="1:2" x14ac:dyDescent="0.3">
      <c r="A51" s="1" t="s">
        <v>344</v>
      </c>
      <c r="B51" s="1" t="s">
        <v>361</v>
      </c>
    </row>
    <row r="52" spans="1:2" x14ac:dyDescent="0.3">
      <c r="A52" s="1" t="s">
        <v>531</v>
      </c>
      <c r="B52" s="1" t="s">
        <v>535</v>
      </c>
    </row>
    <row r="53" spans="1:2" x14ac:dyDescent="0.3">
      <c r="A53" s="1" t="s">
        <v>551</v>
      </c>
      <c r="B53" s="1" t="s">
        <v>555</v>
      </c>
    </row>
    <row r="54" spans="1:2" x14ac:dyDescent="0.3">
      <c r="A54" s="1" t="s">
        <v>555</v>
      </c>
      <c r="B54" s="1" t="s">
        <v>557</v>
      </c>
    </row>
    <row r="55" spans="1:2" x14ac:dyDescent="0.3">
      <c r="A55" s="1" t="s">
        <v>599</v>
      </c>
      <c r="B55" s="1" t="s">
        <v>551</v>
      </c>
    </row>
    <row r="56" spans="1:2" x14ac:dyDescent="0.3">
      <c r="A56" s="1" t="s">
        <v>599</v>
      </c>
      <c r="B56" s="1" t="s">
        <v>601</v>
      </c>
    </row>
    <row r="57" spans="1:2" x14ac:dyDescent="0.3">
      <c r="A57" s="1" t="s">
        <v>608</v>
      </c>
      <c r="B57" s="1" t="s">
        <v>584</v>
      </c>
    </row>
    <row r="58" spans="1:2" x14ac:dyDescent="0.3">
      <c r="A58" s="1" t="s">
        <v>615</v>
      </c>
      <c r="B58" s="1" t="s">
        <v>617</v>
      </c>
    </row>
    <row r="59" spans="1:2" x14ac:dyDescent="0.3">
      <c r="A59" s="1" t="s">
        <v>615</v>
      </c>
      <c r="B59" s="1" t="s">
        <v>617</v>
      </c>
    </row>
  </sheetData>
  <sortState ref="A2:B59">
    <sortCondition ref="A2"/>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
  <sheetViews>
    <sheetView zoomScale="80" zoomScaleNormal="80" workbookViewId="0">
      <pane xSplit="5" ySplit="1" topLeftCell="F2" activePane="bottomRight" state="frozen"/>
      <selection pane="topRight" activeCell="E1" sqref="E1"/>
      <selection pane="bottomLeft" activeCell="A2" sqref="A2"/>
      <selection pane="bottomRight" activeCell="C22" sqref="C22"/>
    </sheetView>
  </sheetViews>
  <sheetFormatPr defaultRowHeight="15.6" x14ac:dyDescent="0.3"/>
  <cols>
    <col min="1" max="1" width="9.8984375" style="1" bestFit="1" customWidth="1"/>
    <col min="2" max="2" width="29.19921875" style="1" customWidth="1"/>
    <col min="3" max="3" width="7.69921875" style="11" bestFit="1" customWidth="1"/>
    <col min="4" max="4" width="17.3984375" style="1" customWidth="1"/>
    <col min="5" max="5" width="25.69921875" style="1" bestFit="1" customWidth="1"/>
    <col min="6" max="6" width="36" style="1" customWidth="1"/>
    <col min="7" max="7" width="18.3984375" style="1" customWidth="1"/>
    <col min="8" max="8" width="16.09765625" style="11" bestFit="1" customWidth="1"/>
    <col min="9" max="9" width="46.3984375" style="1" customWidth="1"/>
    <col min="10" max="18" width="8.796875" style="1"/>
    <col min="19" max="19" width="12.3984375" style="1" customWidth="1"/>
    <col min="20" max="20" width="8.796875" style="1"/>
    <col min="21" max="21" width="14.8984375" style="1" bestFit="1" customWidth="1"/>
    <col min="22" max="16384" width="8.796875" style="1"/>
  </cols>
  <sheetData>
    <row r="1" spans="1:22" x14ac:dyDescent="0.3">
      <c r="A1" s="3" t="s">
        <v>90</v>
      </c>
      <c r="B1" s="3" t="s">
        <v>91</v>
      </c>
      <c r="C1" s="13" t="s">
        <v>88</v>
      </c>
      <c r="D1" s="3" t="s">
        <v>86</v>
      </c>
      <c r="E1" s="3" t="s">
        <v>92</v>
      </c>
      <c r="F1" s="3" t="s">
        <v>111</v>
      </c>
      <c r="G1" s="3" t="s">
        <v>87</v>
      </c>
      <c r="H1" s="13" t="s">
        <v>89</v>
      </c>
      <c r="I1" s="3" t="s">
        <v>14</v>
      </c>
      <c r="J1" s="3" t="s">
        <v>93</v>
      </c>
      <c r="K1" s="3" t="s">
        <v>94</v>
      </c>
      <c r="L1" s="3" t="s">
        <v>95</v>
      </c>
      <c r="M1" s="3" t="s">
        <v>96</v>
      </c>
      <c r="N1" s="3" t="s">
        <v>97</v>
      </c>
      <c r="O1" s="3" t="s">
        <v>84</v>
      </c>
      <c r="P1" s="3" t="s">
        <v>98</v>
      </c>
      <c r="Q1" s="3" t="s">
        <v>85</v>
      </c>
      <c r="R1" s="3" t="s">
        <v>99</v>
      </c>
      <c r="S1" s="3" t="s">
        <v>100</v>
      </c>
      <c r="T1" s="3" t="s">
        <v>101</v>
      </c>
      <c r="U1" s="3" t="s">
        <v>80</v>
      </c>
      <c r="V1" s="3" t="s">
        <v>306</v>
      </c>
    </row>
    <row r="2" spans="1:22" x14ac:dyDescent="0.3">
      <c r="A2" s="1" t="s">
        <v>35</v>
      </c>
      <c r="B2" s="1" t="s">
        <v>123</v>
      </c>
      <c r="C2" s="11" t="s">
        <v>22</v>
      </c>
      <c r="D2" s="1" t="s">
        <v>119</v>
      </c>
      <c r="E2" s="1" t="s">
        <v>177</v>
      </c>
      <c r="F2" s="1" t="str">
        <f t="shared" ref="F2:F48" si="0">CONCATENATE(E2,": ",B2)</f>
        <v>State Land: Oil, Gas, Minerals, PAs, and UAs</v>
      </c>
      <c r="G2" s="1" t="s">
        <v>116</v>
      </c>
      <c r="H2" s="11">
        <v>2</v>
      </c>
      <c r="I2" s="6" t="s">
        <v>124</v>
      </c>
      <c r="J2" s="1" t="s">
        <v>5</v>
      </c>
      <c r="K2" s="1" t="s">
        <v>1</v>
      </c>
      <c r="L2" s="1" t="s">
        <v>8</v>
      </c>
      <c r="M2" s="1" t="s">
        <v>125</v>
      </c>
      <c r="N2" s="1" t="s">
        <v>4</v>
      </c>
      <c r="O2" s="1" t="s">
        <v>4</v>
      </c>
      <c r="P2" s="1" t="s">
        <v>4</v>
      </c>
      <c r="Q2" s="1" t="s">
        <v>4</v>
      </c>
      <c r="R2" s="1" t="s">
        <v>4</v>
      </c>
      <c r="S2" s="1" t="s">
        <v>4</v>
      </c>
      <c r="T2" s="1" t="s">
        <v>4</v>
      </c>
      <c r="U2" s="1" t="s">
        <v>4</v>
      </c>
    </row>
    <row r="3" spans="1:22" x14ac:dyDescent="0.3">
      <c r="A3" s="1" t="s">
        <v>36</v>
      </c>
      <c r="B3" s="1" t="s">
        <v>152</v>
      </c>
      <c r="C3" s="11" t="s">
        <v>31</v>
      </c>
      <c r="D3" s="1" t="s">
        <v>153</v>
      </c>
      <c r="E3" s="1" t="s">
        <v>651</v>
      </c>
      <c r="F3" s="1" t="str">
        <f t="shared" si="0"/>
        <v>EMNRD: State Forestry</v>
      </c>
      <c r="G3" s="1" t="s">
        <v>151</v>
      </c>
      <c r="H3" s="11">
        <v>4</v>
      </c>
      <c r="I3" s="6" t="s">
        <v>161</v>
      </c>
      <c r="J3" s="1" t="s">
        <v>162</v>
      </c>
      <c r="K3" s="1" t="s">
        <v>1</v>
      </c>
      <c r="L3" s="1" t="s">
        <v>8</v>
      </c>
      <c r="M3" s="1" t="s">
        <v>125</v>
      </c>
      <c r="N3" s="1" t="s">
        <v>4</v>
      </c>
      <c r="O3" s="1" t="s">
        <v>4</v>
      </c>
      <c r="P3" s="1" t="s">
        <v>4</v>
      </c>
      <c r="Q3" s="1" t="s">
        <v>4</v>
      </c>
      <c r="R3" s="1" t="s">
        <v>4</v>
      </c>
      <c r="S3" s="1" t="s">
        <v>4</v>
      </c>
      <c r="T3" s="1" t="s">
        <v>4</v>
      </c>
      <c r="U3" s="1" t="s">
        <v>163</v>
      </c>
    </row>
    <row r="4" spans="1:22" x14ac:dyDescent="0.3">
      <c r="A4" s="1" t="s">
        <v>37</v>
      </c>
      <c r="B4" s="1" t="s">
        <v>176</v>
      </c>
      <c r="C4" s="11" t="s">
        <v>142</v>
      </c>
      <c r="D4" s="1" t="s">
        <v>173</v>
      </c>
      <c r="E4" s="1" t="s">
        <v>662</v>
      </c>
      <c r="F4" s="1" t="str">
        <f t="shared" si="0"/>
        <v>EMNRD-OCD: Data and Statistics</v>
      </c>
      <c r="G4" s="1" t="s">
        <v>151</v>
      </c>
      <c r="H4" s="11">
        <v>4</v>
      </c>
      <c r="I4" s="6" t="s">
        <v>178</v>
      </c>
      <c r="J4" s="1" t="s">
        <v>162</v>
      </c>
      <c r="K4" s="1" t="s">
        <v>1</v>
      </c>
      <c r="L4" s="1" t="s">
        <v>3</v>
      </c>
      <c r="M4" s="1" t="s">
        <v>180</v>
      </c>
      <c r="N4" s="1" t="s">
        <v>182</v>
      </c>
      <c r="O4" s="1" t="s">
        <v>181</v>
      </c>
      <c r="P4" s="1" t="s">
        <v>183</v>
      </c>
      <c r="Q4" s="1" t="s">
        <v>3</v>
      </c>
      <c r="R4" s="1" t="s">
        <v>83</v>
      </c>
      <c r="S4" s="1" t="s">
        <v>8</v>
      </c>
      <c r="T4" s="1" t="s">
        <v>163</v>
      </c>
      <c r="U4" s="1" t="s">
        <v>163</v>
      </c>
    </row>
    <row r="5" spans="1:22" x14ac:dyDescent="0.3">
      <c r="A5" s="1" t="s">
        <v>38</v>
      </c>
      <c r="B5" s="1" t="s">
        <v>184</v>
      </c>
      <c r="C5" s="11" t="s">
        <v>141</v>
      </c>
      <c r="D5" s="1" t="s">
        <v>661</v>
      </c>
      <c r="E5" s="1" t="s">
        <v>662</v>
      </c>
      <c r="F5" s="1" t="str">
        <f t="shared" si="0"/>
        <v>EMNRD-OCD: Well Data</v>
      </c>
      <c r="G5" s="1" t="s">
        <v>151</v>
      </c>
      <c r="H5" s="11">
        <v>4</v>
      </c>
      <c r="I5" s="6" t="s">
        <v>185</v>
      </c>
      <c r="J5" s="1" t="s">
        <v>5</v>
      </c>
      <c r="K5" s="1" t="s">
        <v>1</v>
      </c>
      <c r="L5" s="1" t="s">
        <v>3</v>
      </c>
      <c r="M5" s="1" t="s">
        <v>186</v>
      </c>
      <c r="N5" s="1" t="s">
        <v>187</v>
      </c>
      <c r="O5" s="1" t="s">
        <v>3</v>
      </c>
      <c r="P5" s="1" t="s">
        <v>179</v>
      </c>
      <c r="Q5" s="1" t="s">
        <v>3</v>
      </c>
      <c r="R5" s="1" t="s">
        <v>188</v>
      </c>
      <c r="S5" s="1" t="s">
        <v>3</v>
      </c>
      <c r="T5" s="1" t="s">
        <v>163</v>
      </c>
      <c r="U5" s="1" t="s">
        <v>163</v>
      </c>
    </row>
    <row r="6" spans="1:22" x14ac:dyDescent="0.3">
      <c r="A6" s="1" t="s">
        <v>39</v>
      </c>
      <c r="B6" s="1" t="s">
        <v>192</v>
      </c>
      <c r="C6" s="11" t="s">
        <v>141</v>
      </c>
      <c r="D6" s="1" t="s">
        <v>661</v>
      </c>
      <c r="E6" s="1" t="s">
        <v>662</v>
      </c>
      <c r="F6" s="1" t="str">
        <f t="shared" si="0"/>
        <v>EMNRD-OCD: OCD Permitting Well Search</v>
      </c>
      <c r="G6" s="1" t="s">
        <v>151</v>
      </c>
      <c r="H6" s="11">
        <v>4</v>
      </c>
      <c r="I6" s="6" t="s">
        <v>189</v>
      </c>
      <c r="J6" s="1" t="s">
        <v>5</v>
      </c>
      <c r="K6" s="1" t="s">
        <v>190</v>
      </c>
      <c r="L6" s="1" t="s">
        <v>3</v>
      </c>
      <c r="M6" s="1" t="s">
        <v>228</v>
      </c>
      <c r="N6" s="1" t="s">
        <v>191</v>
      </c>
      <c r="O6" s="1" t="s">
        <v>3</v>
      </c>
      <c r="P6" s="1" t="s">
        <v>7</v>
      </c>
      <c r="Q6" s="1" t="s">
        <v>3</v>
      </c>
      <c r="R6" s="1" t="s">
        <v>193</v>
      </c>
      <c r="S6" s="1" t="s">
        <v>8</v>
      </c>
      <c r="T6" s="1" t="s">
        <v>4</v>
      </c>
      <c r="U6" s="1" t="s">
        <v>81</v>
      </c>
    </row>
    <row r="7" spans="1:22" x14ac:dyDescent="0.3">
      <c r="A7" s="1" t="s">
        <v>40</v>
      </c>
      <c r="B7" s="1" t="s">
        <v>9</v>
      </c>
      <c r="C7" s="11" t="s">
        <v>168</v>
      </c>
      <c r="D7" s="1" t="s">
        <v>213</v>
      </c>
      <c r="E7" s="1" t="s">
        <v>652</v>
      </c>
      <c r="F7" s="1" t="str">
        <f t="shared" si="0"/>
        <v>ENV-DWW: Drinking Water Watch</v>
      </c>
      <c r="G7" s="1" t="s">
        <v>151</v>
      </c>
      <c r="H7" s="11">
        <v>4</v>
      </c>
      <c r="I7" s="6" t="s">
        <v>227</v>
      </c>
      <c r="J7" s="1" t="s">
        <v>162</v>
      </c>
      <c r="K7" s="1" t="s">
        <v>190</v>
      </c>
      <c r="L7" s="1" t="s">
        <v>3</v>
      </c>
      <c r="M7" s="1" t="s">
        <v>6</v>
      </c>
      <c r="N7" s="1" t="s">
        <v>7</v>
      </c>
      <c r="O7" s="1" t="s">
        <v>8</v>
      </c>
      <c r="P7" s="1" t="s">
        <v>8</v>
      </c>
      <c r="Q7" s="1" t="s">
        <v>8</v>
      </c>
      <c r="R7" s="1" t="s">
        <v>8</v>
      </c>
      <c r="S7" s="1" t="s">
        <v>8</v>
      </c>
      <c r="T7" s="1" t="s">
        <v>4</v>
      </c>
      <c r="U7" s="1" t="s">
        <v>82</v>
      </c>
    </row>
    <row r="8" spans="1:22" x14ac:dyDescent="0.3">
      <c r="A8" s="1" t="s">
        <v>41</v>
      </c>
      <c r="B8" s="1" t="s">
        <v>234</v>
      </c>
      <c r="C8" s="11" t="s">
        <v>169</v>
      </c>
      <c r="D8" s="1" t="s">
        <v>214</v>
      </c>
      <c r="E8" s="1" t="s">
        <v>653</v>
      </c>
      <c r="F8" s="1" t="str">
        <f t="shared" si="0"/>
        <v>ENV-GWQB: List of Ag Discharge Permits</v>
      </c>
      <c r="G8" s="1" t="s">
        <v>151</v>
      </c>
      <c r="H8" s="11">
        <v>4</v>
      </c>
      <c r="I8" s="6" t="s">
        <v>233</v>
      </c>
      <c r="J8" s="1" t="s">
        <v>5</v>
      </c>
      <c r="K8" s="1" t="s">
        <v>1</v>
      </c>
      <c r="L8" s="1" t="s">
        <v>3</v>
      </c>
      <c r="M8" s="1" t="s">
        <v>235</v>
      </c>
      <c r="N8" s="1" t="s">
        <v>191</v>
      </c>
      <c r="O8" s="1" t="s">
        <v>8</v>
      </c>
      <c r="P8" s="1" t="s">
        <v>8</v>
      </c>
      <c r="Q8" s="1" t="s">
        <v>8</v>
      </c>
      <c r="R8" s="1" t="s">
        <v>8</v>
      </c>
      <c r="S8" s="1" t="s">
        <v>8</v>
      </c>
      <c r="T8" s="1" t="s">
        <v>4</v>
      </c>
      <c r="U8" s="1" t="s">
        <v>81</v>
      </c>
    </row>
    <row r="9" spans="1:22" x14ac:dyDescent="0.3">
      <c r="A9" s="1" t="s">
        <v>42</v>
      </c>
      <c r="B9" s="1" t="s">
        <v>240</v>
      </c>
      <c r="C9" s="11" t="s">
        <v>169</v>
      </c>
      <c r="D9" s="1" t="s">
        <v>214</v>
      </c>
      <c r="E9" s="1" t="s">
        <v>653</v>
      </c>
      <c r="F9" s="1" t="str">
        <f t="shared" si="0"/>
        <v>ENV-GWQB: Remediation &amp; Superfund Sites</v>
      </c>
      <c r="G9" s="1" t="s">
        <v>151</v>
      </c>
      <c r="H9" s="11">
        <v>4</v>
      </c>
      <c r="I9" s="6" t="s">
        <v>239</v>
      </c>
      <c r="J9" s="1" t="s">
        <v>5</v>
      </c>
      <c r="K9" s="1" t="s">
        <v>1</v>
      </c>
      <c r="L9" s="1" t="s">
        <v>3</v>
      </c>
      <c r="M9" s="1" t="s">
        <v>633</v>
      </c>
      <c r="N9" s="1" t="s">
        <v>241</v>
      </c>
      <c r="O9" s="1" t="s">
        <v>8</v>
      </c>
      <c r="P9" s="1" t="s">
        <v>8</v>
      </c>
      <c r="Q9" s="1" t="s">
        <v>8</v>
      </c>
      <c r="R9" s="1" t="s">
        <v>8</v>
      </c>
      <c r="S9" s="1" t="s">
        <v>8</v>
      </c>
      <c r="T9" s="1" t="s">
        <v>4</v>
      </c>
      <c r="U9" s="1" t="s">
        <v>81</v>
      </c>
    </row>
    <row r="10" spans="1:22" x14ac:dyDescent="0.3">
      <c r="A10" s="1" t="s">
        <v>43</v>
      </c>
      <c r="B10" s="1" t="s">
        <v>253</v>
      </c>
      <c r="C10" s="11" t="s">
        <v>172</v>
      </c>
      <c r="D10" s="1" t="s">
        <v>215</v>
      </c>
      <c r="E10" s="1" t="s">
        <v>654</v>
      </c>
      <c r="F10" s="1" t="str">
        <f t="shared" si="0"/>
        <v>ENV-SWQB: Total Maximum Daily Loads</v>
      </c>
      <c r="G10" s="1" t="s">
        <v>151</v>
      </c>
      <c r="H10" s="11">
        <v>4</v>
      </c>
      <c r="I10" s="6" t="s">
        <v>254</v>
      </c>
      <c r="J10" s="1" t="s">
        <v>5</v>
      </c>
      <c r="K10" s="1" t="s">
        <v>1</v>
      </c>
      <c r="L10" s="1" t="s">
        <v>3</v>
      </c>
      <c r="M10" s="1" t="s">
        <v>235</v>
      </c>
      <c r="N10" s="1" t="s">
        <v>179</v>
      </c>
      <c r="O10" s="1" t="s">
        <v>8</v>
      </c>
      <c r="P10" s="1" t="s">
        <v>256</v>
      </c>
      <c r="Q10" s="1" t="s">
        <v>8</v>
      </c>
      <c r="R10" s="1" t="s">
        <v>83</v>
      </c>
      <c r="S10" s="1" t="s">
        <v>8</v>
      </c>
      <c r="T10" s="1" t="s">
        <v>255</v>
      </c>
      <c r="U10" s="1" t="s">
        <v>82</v>
      </c>
    </row>
    <row r="11" spans="1:22" x14ac:dyDescent="0.3">
      <c r="A11" s="1" t="s">
        <v>44</v>
      </c>
      <c r="B11" s="1" t="s">
        <v>258</v>
      </c>
      <c r="C11" s="11" t="s">
        <v>167</v>
      </c>
      <c r="D11" s="1" t="s">
        <v>200</v>
      </c>
      <c r="E11" s="1" t="s">
        <v>655</v>
      </c>
      <c r="F11" s="1" t="str">
        <f t="shared" si="0"/>
        <v>ENV: Interactive GIS Mapper</v>
      </c>
      <c r="G11" s="1" t="s">
        <v>151</v>
      </c>
      <c r="H11" s="11">
        <v>4</v>
      </c>
      <c r="I11" s="6" t="s">
        <v>257</v>
      </c>
      <c r="J11" s="1" t="s">
        <v>5</v>
      </c>
      <c r="K11" s="1" t="s">
        <v>385</v>
      </c>
      <c r="L11" s="1" t="s">
        <v>3</v>
      </c>
      <c r="M11" s="1" t="s">
        <v>260</v>
      </c>
      <c r="N11" s="1" t="s">
        <v>261</v>
      </c>
      <c r="O11" s="1" t="s">
        <v>3</v>
      </c>
      <c r="P11" s="1" t="s">
        <v>7</v>
      </c>
      <c r="Q11" s="1" t="s">
        <v>8</v>
      </c>
      <c r="R11" s="1" t="s">
        <v>193</v>
      </c>
      <c r="S11" s="1" t="s">
        <v>3</v>
      </c>
      <c r="T11" s="1" t="s">
        <v>4</v>
      </c>
      <c r="U11" s="1" t="s">
        <v>163</v>
      </c>
    </row>
    <row r="12" spans="1:22" x14ac:dyDescent="0.3">
      <c r="A12" s="1" t="s">
        <v>45</v>
      </c>
      <c r="B12" s="1" t="s">
        <v>268</v>
      </c>
      <c r="C12" s="11" t="s">
        <v>204</v>
      </c>
      <c r="D12" s="1" t="s">
        <v>249</v>
      </c>
      <c r="E12" s="1" t="s">
        <v>654</v>
      </c>
      <c r="F12" s="1" t="str">
        <f t="shared" si="0"/>
        <v>ENV-SWQB: NPDES Permits</v>
      </c>
      <c r="G12" s="1" t="s">
        <v>151</v>
      </c>
      <c r="H12" s="11">
        <v>4</v>
      </c>
      <c r="I12" s="6" t="s">
        <v>269</v>
      </c>
      <c r="J12" s="1" t="s">
        <v>5</v>
      </c>
      <c r="K12" s="1" t="s">
        <v>1</v>
      </c>
      <c r="L12" s="1" t="s">
        <v>3</v>
      </c>
      <c r="M12" s="1" t="s">
        <v>6</v>
      </c>
      <c r="N12" s="1" t="s">
        <v>256</v>
      </c>
      <c r="O12" s="1" t="s">
        <v>3</v>
      </c>
      <c r="P12" s="1" t="s">
        <v>256</v>
      </c>
      <c r="Q12" s="1" t="s">
        <v>8</v>
      </c>
      <c r="R12" s="1" t="s">
        <v>193</v>
      </c>
      <c r="S12" s="1" t="s">
        <v>8</v>
      </c>
      <c r="T12" s="1" t="s">
        <v>4</v>
      </c>
      <c r="U12" s="1" t="s">
        <v>270</v>
      </c>
    </row>
    <row r="13" spans="1:22" x14ac:dyDescent="0.3">
      <c r="A13" s="1" t="s">
        <v>278</v>
      </c>
      <c r="B13" s="1" t="s">
        <v>279</v>
      </c>
      <c r="C13" s="11" t="s">
        <v>207</v>
      </c>
      <c r="D13" s="1" t="s">
        <v>275</v>
      </c>
      <c r="E13" s="1" t="s">
        <v>656</v>
      </c>
      <c r="F13" s="1" t="str">
        <f t="shared" si="0"/>
        <v>ENV-Game &amp; Fish: Weekly Stocking Report</v>
      </c>
      <c r="G13" s="1" t="s">
        <v>151</v>
      </c>
      <c r="H13" s="11">
        <v>4</v>
      </c>
      <c r="I13" s="6" t="s">
        <v>280</v>
      </c>
      <c r="J13" s="1" t="s">
        <v>5</v>
      </c>
      <c r="K13" s="1" t="s">
        <v>1</v>
      </c>
      <c r="L13" s="1" t="s">
        <v>3</v>
      </c>
      <c r="M13" s="1" t="s">
        <v>6</v>
      </c>
      <c r="N13" s="1" t="s">
        <v>256</v>
      </c>
      <c r="O13" s="1" t="s">
        <v>8</v>
      </c>
      <c r="P13" s="1" t="s">
        <v>8</v>
      </c>
      <c r="Q13" s="1" t="s">
        <v>8</v>
      </c>
      <c r="R13" s="1" t="s">
        <v>8</v>
      </c>
      <c r="S13" s="1" t="s">
        <v>8</v>
      </c>
      <c r="T13" s="1" t="s">
        <v>281</v>
      </c>
      <c r="U13" s="1" t="s">
        <v>82</v>
      </c>
    </row>
    <row r="14" spans="1:22" x14ac:dyDescent="0.3">
      <c r="A14" s="1" t="s">
        <v>292</v>
      </c>
      <c r="B14" s="1" t="s">
        <v>294</v>
      </c>
      <c r="C14" s="11" t="s">
        <v>206</v>
      </c>
      <c r="D14" s="1" t="s">
        <v>216</v>
      </c>
      <c r="E14" s="1" t="s">
        <v>657</v>
      </c>
      <c r="F14" s="1" t="str">
        <f t="shared" si="0"/>
        <v>ENV-Construction: Infrastructure Development Report</v>
      </c>
      <c r="G14" s="1" t="s">
        <v>151</v>
      </c>
      <c r="H14" s="11">
        <v>4</v>
      </c>
      <c r="I14" s="6" t="s">
        <v>295</v>
      </c>
      <c r="J14" s="1" t="s">
        <v>5</v>
      </c>
      <c r="K14" s="1" t="s">
        <v>1</v>
      </c>
      <c r="L14" s="1" t="s">
        <v>3</v>
      </c>
      <c r="M14" s="1" t="s">
        <v>6</v>
      </c>
      <c r="N14" s="1" t="s">
        <v>256</v>
      </c>
      <c r="O14" s="1" t="s">
        <v>8</v>
      </c>
      <c r="P14" s="1" t="s">
        <v>8</v>
      </c>
      <c r="Q14" s="1" t="s">
        <v>8</v>
      </c>
      <c r="R14" s="1" t="s">
        <v>8</v>
      </c>
      <c r="S14" s="1" t="s">
        <v>8</v>
      </c>
      <c r="T14" s="1" t="s">
        <v>255</v>
      </c>
      <c r="U14" s="1" t="s">
        <v>270</v>
      </c>
    </row>
    <row r="15" spans="1:22" x14ac:dyDescent="0.3">
      <c r="A15" s="1" t="s">
        <v>303</v>
      </c>
      <c r="B15" s="1" t="s">
        <v>304</v>
      </c>
      <c r="C15" s="11" t="s">
        <v>209</v>
      </c>
      <c r="D15" s="1" t="s">
        <v>302</v>
      </c>
      <c r="E15" s="1" t="s">
        <v>658</v>
      </c>
      <c r="F15" s="1" t="str">
        <f t="shared" si="0"/>
        <v>ENV-Liquid Waste Bureau: Wastewater Treatment System Permit Finder</v>
      </c>
      <c r="G15" s="1" t="s">
        <v>151</v>
      </c>
      <c r="H15" s="11">
        <v>4</v>
      </c>
      <c r="I15" s="6" t="s">
        <v>305</v>
      </c>
      <c r="J15" s="1" t="s">
        <v>5</v>
      </c>
      <c r="K15" s="1" t="s">
        <v>1</v>
      </c>
      <c r="L15" s="1" t="s">
        <v>8</v>
      </c>
      <c r="M15" s="1" t="s">
        <v>6</v>
      </c>
      <c r="N15" s="1" t="s">
        <v>4</v>
      </c>
      <c r="O15" s="1" t="s">
        <v>4</v>
      </c>
      <c r="P15" s="1" t="s">
        <v>4</v>
      </c>
      <c r="Q15" s="1" t="s">
        <v>4</v>
      </c>
      <c r="R15" s="1" t="s">
        <v>4</v>
      </c>
      <c r="S15" s="1" t="s">
        <v>4</v>
      </c>
      <c r="T15" s="1" t="s">
        <v>4</v>
      </c>
      <c r="U15" s="1" t="s">
        <v>81</v>
      </c>
      <c r="V15" s="1" t="s">
        <v>307</v>
      </c>
    </row>
    <row r="16" spans="1:22" x14ac:dyDescent="0.3">
      <c r="A16" s="1" t="s">
        <v>308</v>
      </c>
      <c r="B16" s="1" t="s">
        <v>319</v>
      </c>
      <c r="C16" s="11" t="s">
        <v>246</v>
      </c>
      <c r="D16" s="1" t="s">
        <v>315</v>
      </c>
      <c r="E16" s="1" t="s">
        <v>659</v>
      </c>
      <c r="F16" s="1" t="str">
        <f t="shared" si="0"/>
        <v>ENV-EHEB: Environmental Public Health Tracking</v>
      </c>
      <c r="G16" s="1" t="s">
        <v>151</v>
      </c>
      <c r="H16" s="11">
        <v>4</v>
      </c>
      <c r="I16" s="6" t="s">
        <v>320</v>
      </c>
      <c r="J16" s="1" t="s">
        <v>162</v>
      </c>
      <c r="K16" s="1" t="s">
        <v>321</v>
      </c>
      <c r="L16" s="1" t="s">
        <v>322</v>
      </c>
      <c r="M16" s="1" t="s">
        <v>328</v>
      </c>
      <c r="N16" s="1" t="s">
        <v>323</v>
      </c>
      <c r="O16" s="1" t="s">
        <v>3</v>
      </c>
      <c r="P16" s="1" t="s">
        <v>7</v>
      </c>
      <c r="Q16" s="1" t="s">
        <v>3</v>
      </c>
      <c r="R16" s="1" t="s">
        <v>188</v>
      </c>
      <c r="S16" s="1" t="s">
        <v>3</v>
      </c>
      <c r="T16" s="1" t="s">
        <v>255</v>
      </c>
      <c r="U16" s="1" t="s">
        <v>82</v>
      </c>
    </row>
    <row r="17" spans="1:22" x14ac:dyDescent="0.3">
      <c r="A17" s="1" t="s">
        <v>331</v>
      </c>
      <c r="B17" s="1" t="s">
        <v>330</v>
      </c>
      <c r="C17" s="11" t="s">
        <v>246</v>
      </c>
      <c r="D17" s="1" t="s">
        <v>315</v>
      </c>
      <c r="E17" s="1" t="s">
        <v>659</v>
      </c>
      <c r="F17" s="1" t="str">
        <f t="shared" si="0"/>
        <v>ENV-EHEB: Environmental Health Data</v>
      </c>
      <c r="G17" s="1" t="s">
        <v>151</v>
      </c>
      <c r="H17" s="11">
        <v>4</v>
      </c>
      <c r="I17" s="6" t="s">
        <v>329</v>
      </c>
      <c r="J17" s="1" t="s">
        <v>162</v>
      </c>
      <c r="K17" s="1" t="s">
        <v>1</v>
      </c>
      <c r="L17" s="1" t="s">
        <v>3</v>
      </c>
      <c r="M17" s="1" t="s">
        <v>6</v>
      </c>
      <c r="N17" s="1" t="s">
        <v>256</v>
      </c>
      <c r="O17" s="1" t="s">
        <v>3</v>
      </c>
      <c r="P17" s="1" t="s">
        <v>256</v>
      </c>
      <c r="Q17" s="1" t="s">
        <v>3</v>
      </c>
      <c r="R17" s="1" t="s">
        <v>193</v>
      </c>
      <c r="S17" s="1" t="s">
        <v>8</v>
      </c>
      <c r="T17" s="1" t="s">
        <v>4</v>
      </c>
      <c r="U17" s="1" t="s">
        <v>82</v>
      </c>
    </row>
    <row r="18" spans="1:22" x14ac:dyDescent="0.3">
      <c r="A18" s="1" t="s">
        <v>371</v>
      </c>
      <c r="B18" s="1" t="s">
        <v>372</v>
      </c>
      <c r="C18" s="11" t="s">
        <v>340</v>
      </c>
      <c r="D18" s="1" t="s">
        <v>290</v>
      </c>
      <c r="E18" s="1" t="s">
        <v>373</v>
      </c>
      <c r="F18" s="1" t="str">
        <f t="shared" si="0"/>
        <v>OSE: NM Water Rights Reporting System</v>
      </c>
      <c r="G18" s="1" t="s">
        <v>374</v>
      </c>
      <c r="H18" s="11">
        <v>5</v>
      </c>
      <c r="I18" s="6" t="s">
        <v>376</v>
      </c>
      <c r="J18" s="1" t="s">
        <v>375</v>
      </c>
      <c r="K18" s="1" t="s">
        <v>1</v>
      </c>
      <c r="L18" s="1" t="s">
        <v>3</v>
      </c>
      <c r="M18" s="1" t="s">
        <v>6</v>
      </c>
      <c r="N18" s="1" t="s">
        <v>377</v>
      </c>
      <c r="O18" s="1" t="s">
        <v>8</v>
      </c>
      <c r="P18" s="1" t="s">
        <v>8</v>
      </c>
      <c r="Q18" s="1" t="s">
        <v>3</v>
      </c>
      <c r="R18" s="1" t="s">
        <v>8</v>
      </c>
      <c r="S18" s="1" t="s">
        <v>8</v>
      </c>
      <c r="T18" s="1" t="s">
        <v>4</v>
      </c>
      <c r="U18" s="1" t="s">
        <v>81</v>
      </c>
      <c r="V18" s="1" t="s">
        <v>381</v>
      </c>
    </row>
    <row r="19" spans="1:22" x14ac:dyDescent="0.3">
      <c r="A19" s="1" t="s">
        <v>382</v>
      </c>
      <c r="B19" s="1" t="s">
        <v>291</v>
      </c>
      <c r="C19" s="11" t="s">
        <v>340</v>
      </c>
      <c r="D19" s="1" t="s">
        <v>290</v>
      </c>
      <c r="E19" s="1" t="s">
        <v>373</v>
      </c>
      <c r="F19" s="1" t="str">
        <f t="shared" si="0"/>
        <v>OSE: Points of Diversion</v>
      </c>
      <c r="G19" s="1" t="s">
        <v>374</v>
      </c>
      <c r="H19" s="11">
        <v>5</v>
      </c>
      <c r="I19" s="6" t="s">
        <v>384</v>
      </c>
      <c r="J19" s="1" t="s">
        <v>5</v>
      </c>
      <c r="K19" s="1" t="s">
        <v>386</v>
      </c>
      <c r="L19" s="1" t="s">
        <v>3</v>
      </c>
      <c r="M19" s="1" t="s">
        <v>387</v>
      </c>
      <c r="N19" s="1" t="s">
        <v>388</v>
      </c>
      <c r="O19" s="1" t="s">
        <v>3</v>
      </c>
      <c r="P19" s="1" t="s">
        <v>7</v>
      </c>
      <c r="Q19" s="1" t="s">
        <v>3</v>
      </c>
      <c r="R19" s="1" t="s">
        <v>193</v>
      </c>
      <c r="S19" s="1" t="s">
        <v>3</v>
      </c>
      <c r="T19" s="1" t="s">
        <v>289</v>
      </c>
      <c r="U19" s="1" t="s">
        <v>163</v>
      </c>
      <c r="V19" s="1" t="s">
        <v>393</v>
      </c>
    </row>
    <row r="20" spans="1:22" x14ac:dyDescent="0.3">
      <c r="A20" s="1" t="s">
        <v>395</v>
      </c>
      <c r="B20" s="1" t="s">
        <v>396</v>
      </c>
      <c r="C20" s="11" t="s">
        <v>340</v>
      </c>
      <c r="D20" s="1" t="s">
        <v>290</v>
      </c>
      <c r="E20" s="1" t="s">
        <v>373</v>
      </c>
      <c r="F20" s="1" t="str">
        <f t="shared" si="0"/>
        <v>OSE: Geospatial Open Data Site</v>
      </c>
      <c r="G20" s="1" t="s">
        <v>374</v>
      </c>
      <c r="H20" s="11">
        <v>5</v>
      </c>
      <c r="I20" s="6" t="s">
        <v>394</v>
      </c>
      <c r="J20" s="1" t="s">
        <v>162</v>
      </c>
      <c r="K20" s="1" t="s">
        <v>321</v>
      </c>
      <c r="L20" s="1" t="s">
        <v>3</v>
      </c>
      <c r="M20" s="1" t="s">
        <v>398</v>
      </c>
      <c r="N20" s="1" t="s">
        <v>399</v>
      </c>
      <c r="O20" s="1" t="s">
        <v>3</v>
      </c>
      <c r="P20" s="1" t="s">
        <v>7</v>
      </c>
      <c r="Q20" s="1" t="s">
        <v>3</v>
      </c>
      <c r="R20" s="1" t="s">
        <v>188</v>
      </c>
      <c r="S20" s="1" t="s">
        <v>3</v>
      </c>
      <c r="T20" s="1" t="s">
        <v>163</v>
      </c>
      <c r="U20" s="1" t="s">
        <v>270</v>
      </c>
    </row>
    <row r="21" spans="1:22" x14ac:dyDescent="0.3">
      <c r="A21" s="1" t="s">
        <v>402</v>
      </c>
      <c r="B21" s="1" t="s">
        <v>403</v>
      </c>
      <c r="C21" s="11" t="s">
        <v>340</v>
      </c>
      <c r="D21" s="1" t="s">
        <v>290</v>
      </c>
      <c r="E21" s="1" t="s">
        <v>373</v>
      </c>
      <c r="F21" s="1" t="str">
        <f t="shared" si="0"/>
        <v>OSE: Gallery for NM OSE</v>
      </c>
      <c r="G21" s="1" t="s">
        <v>374</v>
      </c>
      <c r="H21" s="11">
        <v>5</v>
      </c>
      <c r="I21" s="6" t="s">
        <v>401</v>
      </c>
      <c r="J21" s="1" t="s">
        <v>162</v>
      </c>
      <c r="K21" s="1" t="s">
        <v>321</v>
      </c>
      <c r="L21" s="1" t="s">
        <v>3</v>
      </c>
      <c r="M21" s="1" t="s">
        <v>398</v>
      </c>
      <c r="N21" s="1" t="s">
        <v>405</v>
      </c>
      <c r="O21" s="1" t="s">
        <v>3</v>
      </c>
      <c r="P21" s="1" t="s">
        <v>7</v>
      </c>
      <c r="Q21" s="1" t="s">
        <v>8</v>
      </c>
      <c r="R21" s="1" t="s">
        <v>406</v>
      </c>
      <c r="S21" s="1" t="s">
        <v>3</v>
      </c>
      <c r="T21" s="1" t="s">
        <v>163</v>
      </c>
      <c r="U21" s="1" t="s">
        <v>163</v>
      </c>
      <c r="V21" s="1" t="s">
        <v>404</v>
      </c>
    </row>
    <row r="22" spans="1:22" x14ac:dyDescent="0.3">
      <c r="A22" s="1" t="s">
        <v>408</v>
      </c>
      <c r="B22" s="1" t="s">
        <v>419</v>
      </c>
      <c r="C22" s="11" t="s">
        <v>340</v>
      </c>
      <c r="D22" s="1" t="s">
        <v>290</v>
      </c>
      <c r="E22" s="1" t="s">
        <v>373</v>
      </c>
      <c r="F22" s="1" t="str">
        <f t="shared" si="0"/>
        <v>OSE: Drought in New Mexico</v>
      </c>
      <c r="G22" s="1" t="s">
        <v>374</v>
      </c>
      <c r="H22" s="11">
        <v>5</v>
      </c>
      <c r="I22" s="6" t="s">
        <v>411</v>
      </c>
      <c r="J22" s="1" t="s">
        <v>5</v>
      </c>
      <c r="K22" s="1" t="s">
        <v>1</v>
      </c>
      <c r="L22" s="1" t="s">
        <v>3</v>
      </c>
      <c r="M22" s="1" t="s">
        <v>328</v>
      </c>
      <c r="N22" s="1" t="s">
        <v>412</v>
      </c>
      <c r="O22" s="1" t="s">
        <v>8</v>
      </c>
      <c r="P22" s="1" t="s">
        <v>8</v>
      </c>
      <c r="Q22" s="1" t="s">
        <v>8</v>
      </c>
      <c r="R22" s="1" t="s">
        <v>8</v>
      </c>
      <c r="S22" s="1" t="s">
        <v>8</v>
      </c>
      <c r="T22" s="1" t="s">
        <v>413</v>
      </c>
      <c r="U22" s="1" t="s">
        <v>270</v>
      </c>
    </row>
    <row r="23" spans="1:22" x14ac:dyDescent="0.3">
      <c r="A23" s="1" t="s">
        <v>420</v>
      </c>
      <c r="B23" s="1" t="s">
        <v>422</v>
      </c>
      <c r="C23" s="11" t="s">
        <v>340</v>
      </c>
      <c r="D23" s="1" t="s">
        <v>290</v>
      </c>
      <c r="E23" s="1" t="s">
        <v>373</v>
      </c>
      <c r="F23" s="1" t="str">
        <f t="shared" si="0"/>
        <v>OSE: Water Planning in New Mexico</v>
      </c>
      <c r="G23" s="1" t="s">
        <v>374</v>
      </c>
      <c r="H23" s="11">
        <v>5</v>
      </c>
      <c r="I23" s="6" t="s">
        <v>421</v>
      </c>
      <c r="J23" s="1" t="s">
        <v>5</v>
      </c>
      <c r="K23" s="1" t="s">
        <v>1</v>
      </c>
      <c r="L23" s="1" t="s">
        <v>8</v>
      </c>
      <c r="M23" s="1" t="s">
        <v>6</v>
      </c>
      <c r="N23" s="1" t="s">
        <v>256</v>
      </c>
      <c r="O23" s="1" t="s">
        <v>181</v>
      </c>
      <c r="P23" s="1" t="s">
        <v>256</v>
      </c>
      <c r="Q23" s="1" t="s">
        <v>3</v>
      </c>
      <c r="R23" s="1" t="s">
        <v>423</v>
      </c>
      <c r="S23" s="1" t="s">
        <v>8</v>
      </c>
      <c r="T23" s="1" t="s">
        <v>163</v>
      </c>
      <c r="U23" s="1" t="s">
        <v>81</v>
      </c>
    </row>
    <row r="24" spans="1:22" x14ac:dyDescent="0.3">
      <c r="A24" s="1" t="s">
        <v>427</v>
      </c>
      <c r="B24" s="1" t="s">
        <v>428</v>
      </c>
      <c r="C24" s="11" t="s">
        <v>341</v>
      </c>
      <c r="D24" s="1" t="s">
        <v>343</v>
      </c>
      <c r="E24" s="1" t="s">
        <v>429</v>
      </c>
      <c r="F24" s="1" t="str">
        <f t="shared" si="0"/>
        <v>OSE-ISC: Canadian River Basin</v>
      </c>
      <c r="G24" s="1" t="s">
        <v>374</v>
      </c>
      <c r="H24" s="11">
        <v>5</v>
      </c>
      <c r="I24" s="6" t="s">
        <v>430</v>
      </c>
      <c r="J24" s="1" t="s">
        <v>5</v>
      </c>
      <c r="K24" s="1" t="s">
        <v>1</v>
      </c>
      <c r="L24" s="1" t="s">
        <v>3</v>
      </c>
      <c r="M24" s="1" t="s">
        <v>259</v>
      </c>
      <c r="N24" s="1" t="s">
        <v>4</v>
      </c>
      <c r="O24" s="1" t="s">
        <v>181</v>
      </c>
      <c r="P24" s="1" t="s">
        <v>4</v>
      </c>
      <c r="Q24" s="1" t="s">
        <v>8</v>
      </c>
      <c r="R24" s="1" t="s">
        <v>4</v>
      </c>
      <c r="S24" s="1" t="s">
        <v>181</v>
      </c>
      <c r="T24" s="1" t="s">
        <v>413</v>
      </c>
      <c r="U24" s="1" t="s">
        <v>81</v>
      </c>
      <c r="V24" s="1" t="s">
        <v>431</v>
      </c>
    </row>
    <row r="25" spans="1:22" x14ac:dyDescent="0.3">
      <c r="A25" s="1" t="s">
        <v>433</v>
      </c>
      <c r="B25" s="1" t="s">
        <v>434</v>
      </c>
      <c r="C25" s="11" t="s">
        <v>341</v>
      </c>
      <c r="D25" s="1" t="s">
        <v>343</v>
      </c>
      <c r="E25" s="1" t="s">
        <v>429</v>
      </c>
      <c r="F25" s="1" t="str">
        <f t="shared" si="0"/>
        <v>OSE-ISC: Colorado River Basin</v>
      </c>
      <c r="G25" s="1" t="s">
        <v>374</v>
      </c>
      <c r="H25" s="11">
        <v>5</v>
      </c>
      <c r="I25" s="6" t="s">
        <v>435</v>
      </c>
      <c r="J25" s="1" t="s">
        <v>5</v>
      </c>
      <c r="K25" s="1" t="s">
        <v>1</v>
      </c>
      <c r="L25" s="1" t="s">
        <v>3</v>
      </c>
      <c r="M25" s="1" t="s">
        <v>259</v>
      </c>
      <c r="N25" s="1" t="s">
        <v>4</v>
      </c>
      <c r="O25" s="1" t="s">
        <v>181</v>
      </c>
      <c r="P25" s="1" t="s">
        <v>4</v>
      </c>
      <c r="Q25" s="1" t="s">
        <v>8</v>
      </c>
      <c r="R25" s="1" t="s">
        <v>4</v>
      </c>
      <c r="S25" s="1" t="s">
        <v>181</v>
      </c>
      <c r="T25" s="1" t="s">
        <v>413</v>
      </c>
      <c r="U25" s="1" t="s">
        <v>81</v>
      </c>
      <c r="V25" s="1" t="s">
        <v>431</v>
      </c>
    </row>
    <row r="26" spans="1:22" x14ac:dyDescent="0.3">
      <c r="A26" s="1" t="s">
        <v>437</v>
      </c>
      <c r="B26" s="1" t="s">
        <v>438</v>
      </c>
      <c r="C26" s="11" t="s">
        <v>341</v>
      </c>
      <c r="D26" s="1" t="s">
        <v>343</v>
      </c>
      <c r="E26" s="1" t="s">
        <v>429</v>
      </c>
      <c r="F26" s="1" t="str">
        <f t="shared" si="0"/>
        <v>OSE-ISC: Pecos River Basin</v>
      </c>
      <c r="G26" s="1" t="s">
        <v>374</v>
      </c>
      <c r="H26" s="11">
        <v>5</v>
      </c>
      <c r="I26" s="6" t="s">
        <v>439</v>
      </c>
      <c r="J26" s="1" t="s">
        <v>5</v>
      </c>
      <c r="K26" s="1" t="s">
        <v>1</v>
      </c>
      <c r="L26" s="1" t="s">
        <v>3</v>
      </c>
      <c r="M26" s="1" t="s">
        <v>259</v>
      </c>
      <c r="N26" s="1" t="s">
        <v>442</v>
      </c>
      <c r="O26" s="1" t="s">
        <v>181</v>
      </c>
      <c r="P26" s="1" t="s">
        <v>4</v>
      </c>
      <c r="Q26" s="1" t="s">
        <v>8</v>
      </c>
      <c r="R26" s="1" t="s">
        <v>4</v>
      </c>
      <c r="S26" s="1" t="s">
        <v>181</v>
      </c>
      <c r="T26" s="1" t="s">
        <v>413</v>
      </c>
      <c r="U26" s="1" t="s">
        <v>82</v>
      </c>
    </row>
    <row r="27" spans="1:22" x14ac:dyDescent="0.3">
      <c r="A27" s="1" t="s">
        <v>443</v>
      </c>
      <c r="B27" s="1" t="s">
        <v>444</v>
      </c>
      <c r="C27" s="11" t="s">
        <v>341</v>
      </c>
      <c r="D27" s="1" t="s">
        <v>343</v>
      </c>
      <c r="E27" s="1" t="s">
        <v>429</v>
      </c>
      <c r="F27" s="1" t="str">
        <f t="shared" si="0"/>
        <v>OSE-ISC: Rio Grande River Basin</v>
      </c>
      <c r="G27" s="1" t="s">
        <v>374</v>
      </c>
      <c r="H27" s="11">
        <v>5</v>
      </c>
      <c r="I27" s="6" t="s">
        <v>445</v>
      </c>
      <c r="J27" s="1" t="s">
        <v>5</v>
      </c>
      <c r="K27" s="1" t="s">
        <v>1</v>
      </c>
      <c r="L27" s="1" t="s">
        <v>3</v>
      </c>
      <c r="M27" s="1" t="s">
        <v>259</v>
      </c>
      <c r="N27" s="1" t="s">
        <v>446</v>
      </c>
      <c r="O27" s="1" t="s">
        <v>181</v>
      </c>
      <c r="P27" s="1" t="s">
        <v>4</v>
      </c>
      <c r="Q27" s="1" t="s">
        <v>8</v>
      </c>
      <c r="R27" s="1" t="s">
        <v>4</v>
      </c>
      <c r="S27" s="1" t="s">
        <v>181</v>
      </c>
      <c r="T27" s="1" t="s">
        <v>413</v>
      </c>
      <c r="U27" s="1" t="s">
        <v>82</v>
      </c>
      <c r="V27" s="1" t="s">
        <v>447</v>
      </c>
    </row>
    <row r="28" spans="1:22" x14ac:dyDescent="0.3">
      <c r="A28" s="1" t="s">
        <v>450</v>
      </c>
      <c r="B28" s="1" t="s">
        <v>451</v>
      </c>
      <c r="C28" s="11" t="s">
        <v>341</v>
      </c>
      <c r="D28" s="1" t="s">
        <v>343</v>
      </c>
      <c r="E28" s="1" t="s">
        <v>429</v>
      </c>
      <c r="F28" s="1" t="str">
        <f t="shared" si="0"/>
        <v>OSE-ISC: Lower Pecos River Basin</v>
      </c>
      <c r="G28" s="1" t="s">
        <v>374</v>
      </c>
      <c r="H28" s="11">
        <v>5</v>
      </c>
      <c r="I28" s="6" t="s">
        <v>459</v>
      </c>
      <c r="J28" s="1" t="s">
        <v>5</v>
      </c>
      <c r="K28" s="1" t="s">
        <v>1</v>
      </c>
      <c r="L28" s="1" t="s">
        <v>3</v>
      </c>
      <c r="M28" s="1" t="s">
        <v>259</v>
      </c>
      <c r="N28" s="1" t="s">
        <v>452</v>
      </c>
      <c r="O28" s="1" t="s">
        <v>8</v>
      </c>
      <c r="P28" s="1" t="s">
        <v>8</v>
      </c>
      <c r="Q28" s="1" t="s">
        <v>8</v>
      </c>
      <c r="R28" s="1" t="s">
        <v>8</v>
      </c>
      <c r="S28" s="1" t="s">
        <v>8</v>
      </c>
      <c r="T28" s="1" t="s">
        <v>255</v>
      </c>
      <c r="U28" s="1" t="s">
        <v>81</v>
      </c>
    </row>
    <row r="29" spans="1:22" x14ac:dyDescent="0.3">
      <c r="A29" s="1" t="s">
        <v>464</v>
      </c>
      <c r="B29" s="1" t="s">
        <v>465</v>
      </c>
      <c r="C29" s="11" t="s">
        <v>341</v>
      </c>
      <c r="D29" s="1" t="s">
        <v>343</v>
      </c>
      <c r="E29" s="1" t="s">
        <v>429</v>
      </c>
      <c r="F29" s="1" t="str">
        <f t="shared" si="0"/>
        <v>OSE-ISC: Mimbres River Basin</v>
      </c>
      <c r="G29" s="1" t="s">
        <v>374</v>
      </c>
      <c r="H29" s="11">
        <v>5</v>
      </c>
      <c r="I29" s="6" t="s">
        <v>466</v>
      </c>
      <c r="J29" s="1" t="s">
        <v>5</v>
      </c>
      <c r="K29" s="1" t="s">
        <v>1</v>
      </c>
      <c r="L29" s="1" t="s">
        <v>3</v>
      </c>
      <c r="M29" s="1" t="s">
        <v>259</v>
      </c>
      <c r="N29" s="1" t="s">
        <v>452</v>
      </c>
      <c r="O29" s="1" t="s">
        <v>8</v>
      </c>
      <c r="P29" s="1" t="s">
        <v>8</v>
      </c>
      <c r="Q29" s="1" t="s">
        <v>8</v>
      </c>
      <c r="R29" s="1" t="s">
        <v>8</v>
      </c>
      <c r="S29" s="1" t="s">
        <v>8</v>
      </c>
      <c r="T29" s="1" t="s">
        <v>4</v>
      </c>
      <c r="U29" s="1" t="s">
        <v>82</v>
      </c>
    </row>
    <row r="30" spans="1:22" x14ac:dyDescent="0.3">
      <c r="A30" s="1" t="s">
        <v>469</v>
      </c>
      <c r="B30" s="1" t="s">
        <v>470</v>
      </c>
      <c r="C30" s="11" t="s">
        <v>341</v>
      </c>
      <c r="D30" s="1" t="s">
        <v>343</v>
      </c>
      <c r="E30" s="1" t="s">
        <v>429</v>
      </c>
      <c r="F30" s="1" t="str">
        <f t="shared" si="0"/>
        <v>OSE-ISC: Rio Chama River Basin</v>
      </c>
      <c r="G30" s="1" t="s">
        <v>374</v>
      </c>
      <c r="H30" s="11">
        <v>5</v>
      </c>
      <c r="I30" s="6" t="s">
        <v>471</v>
      </c>
      <c r="J30" s="1" t="s">
        <v>5</v>
      </c>
      <c r="K30" s="1" t="s">
        <v>1</v>
      </c>
      <c r="L30" s="1" t="s">
        <v>3</v>
      </c>
      <c r="M30" s="1" t="s">
        <v>259</v>
      </c>
      <c r="N30" s="1" t="s">
        <v>452</v>
      </c>
      <c r="O30" s="1" t="s">
        <v>8</v>
      </c>
      <c r="P30" s="1" t="s">
        <v>8</v>
      </c>
      <c r="Q30" s="1" t="s">
        <v>3</v>
      </c>
      <c r="R30" s="1" t="s">
        <v>8</v>
      </c>
      <c r="S30" s="1" t="s">
        <v>8</v>
      </c>
      <c r="T30" s="1" t="s">
        <v>4</v>
      </c>
      <c r="U30" s="1" t="s">
        <v>82</v>
      </c>
    </row>
    <row r="31" spans="1:22" x14ac:dyDescent="0.3">
      <c r="A31" s="1" t="s">
        <v>474</v>
      </c>
      <c r="B31" s="1" t="s">
        <v>475</v>
      </c>
      <c r="C31" s="11" t="s">
        <v>341</v>
      </c>
      <c r="D31" s="1" t="s">
        <v>343</v>
      </c>
      <c r="E31" s="1" t="s">
        <v>429</v>
      </c>
      <c r="F31" s="1" t="str">
        <f t="shared" si="0"/>
        <v>OSE-ISC: Rio Gallinas River Basin</v>
      </c>
      <c r="G31" s="1" t="s">
        <v>374</v>
      </c>
      <c r="H31" s="11">
        <v>5</v>
      </c>
      <c r="I31" s="6" t="s">
        <v>476</v>
      </c>
      <c r="J31" s="1" t="s">
        <v>5</v>
      </c>
      <c r="K31" s="1" t="s">
        <v>1</v>
      </c>
      <c r="L31" s="1" t="s">
        <v>3</v>
      </c>
      <c r="M31" s="1" t="s">
        <v>259</v>
      </c>
      <c r="N31" s="1" t="s">
        <v>446</v>
      </c>
      <c r="O31" s="1" t="s">
        <v>181</v>
      </c>
      <c r="P31" s="1" t="s">
        <v>4</v>
      </c>
      <c r="Q31" s="1" t="s">
        <v>3</v>
      </c>
      <c r="R31" s="1" t="s">
        <v>4</v>
      </c>
      <c r="S31" s="1" t="s">
        <v>181</v>
      </c>
      <c r="T31" s="1" t="s">
        <v>4</v>
      </c>
      <c r="U31" s="1" t="s">
        <v>82</v>
      </c>
    </row>
    <row r="32" spans="1:22" x14ac:dyDescent="0.3">
      <c r="A32" s="1" t="s">
        <v>482</v>
      </c>
      <c r="B32" s="1" t="s">
        <v>483</v>
      </c>
      <c r="C32" s="11" t="s">
        <v>341</v>
      </c>
      <c r="D32" s="1" t="s">
        <v>343</v>
      </c>
      <c r="E32" s="1" t="s">
        <v>429</v>
      </c>
      <c r="F32" s="1" t="str">
        <f t="shared" si="0"/>
        <v>OSE-ISC: River Basin Compacts</v>
      </c>
      <c r="G32" s="1" t="s">
        <v>374</v>
      </c>
      <c r="H32" s="11">
        <v>5</v>
      </c>
      <c r="I32" s="6" t="s">
        <v>479</v>
      </c>
      <c r="J32" s="1" t="s">
        <v>5</v>
      </c>
      <c r="K32" s="1" t="s">
        <v>1</v>
      </c>
      <c r="L32" s="1" t="s">
        <v>3</v>
      </c>
      <c r="M32" s="1" t="s">
        <v>6</v>
      </c>
      <c r="N32" s="1" t="s">
        <v>256</v>
      </c>
      <c r="O32" s="1" t="s">
        <v>3</v>
      </c>
      <c r="P32" s="1" t="s">
        <v>256</v>
      </c>
      <c r="Q32" s="1" t="s">
        <v>3</v>
      </c>
      <c r="R32" s="1" t="s">
        <v>193</v>
      </c>
      <c r="S32" s="1" t="s">
        <v>8</v>
      </c>
      <c r="T32" s="1" t="s">
        <v>4</v>
      </c>
      <c r="U32" s="1" t="s">
        <v>270</v>
      </c>
      <c r="V32" s="1" t="s">
        <v>484</v>
      </c>
    </row>
    <row r="33" spans="1:22" x14ac:dyDescent="0.3">
      <c r="A33" s="1" t="s">
        <v>485</v>
      </c>
      <c r="B33" s="1" t="s">
        <v>486</v>
      </c>
      <c r="C33" s="11" t="s">
        <v>341</v>
      </c>
      <c r="D33" s="1" t="s">
        <v>343</v>
      </c>
      <c r="E33" s="1" t="s">
        <v>429</v>
      </c>
      <c r="F33" s="1" t="str">
        <f t="shared" si="0"/>
        <v>OSE-ISC: Strategic Water Reserve</v>
      </c>
      <c r="G33" s="1" t="s">
        <v>374</v>
      </c>
      <c r="H33" s="11">
        <v>5</v>
      </c>
      <c r="I33" s="6" t="s">
        <v>487</v>
      </c>
      <c r="J33" s="1" t="s">
        <v>5</v>
      </c>
      <c r="K33" s="1" t="s">
        <v>1</v>
      </c>
      <c r="L33" s="1" t="s">
        <v>3</v>
      </c>
      <c r="M33" s="1" t="s">
        <v>6</v>
      </c>
      <c r="N33" s="1" t="s">
        <v>256</v>
      </c>
      <c r="O33" s="1" t="s">
        <v>8</v>
      </c>
      <c r="P33" s="1" t="s">
        <v>8</v>
      </c>
      <c r="Q33" s="1" t="s">
        <v>8</v>
      </c>
      <c r="R33" s="1" t="s">
        <v>8</v>
      </c>
      <c r="S33" s="1" t="s">
        <v>8</v>
      </c>
      <c r="T33" s="1" t="s">
        <v>255</v>
      </c>
      <c r="U33" s="1" t="s">
        <v>270</v>
      </c>
    </row>
    <row r="34" spans="1:22" x14ac:dyDescent="0.3">
      <c r="A34" s="1" t="s">
        <v>489</v>
      </c>
      <c r="B34" s="1" t="s">
        <v>490</v>
      </c>
      <c r="C34" s="11" t="s">
        <v>344</v>
      </c>
      <c r="D34" s="1" t="s">
        <v>342</v>
      </c>
      <c r="E34" s="1" t="s">
        <v>410</v>
      </c>
      <c r="F34" s="1" t="str">
        <f t="shared" si="0"/>
        <v>OSE-WRAP: Water Master Reports</v>
      </c>
      <c r="G34" s="1" t="s">
        <v>374</v>
      </c>
      <c r="H34" s="11">
        <v>5</v>
      </c>
      <c r="I34" s="6" t="s">
        <v>491</v>
      </c>
      <c r="J34" s="1" t="s">
        <v>5</v>
      </c>
      <c r="K34" s="1" t="s">
        <v>1</v>
      </c>
      <c r="L34" s="1" t="s">
        <v>3</v>
      </c>
      <c r="M34" s="1" t="s">
        <v>6</v>
      </c>
      <c r="N34" s="1" t="s">
        <v>256</v>
      </c>
      <c r="O34" s="1" t="s">
        <v>3</v>
      </c>
      <c r="P34" s="1" t="s">
        <v>256</v>
      </c>
      <c r="Q34" s="1" t="s">
        <v>3</v>
      </c>
      <c r="R34" s="1" t="s">
        <v>193</v>
      </c>
      <c r="S34" s="1" t="s">
        <v>8</v>
      </c>
      <c r="T34" s="1" t="s">
        <v>255</v>
      </c>
      <c r="U34" s="1" t="s">
        <v>82</v>
      </c>
    </row>
    <row r="35" spans="1:22" x14ac:dyDescent="0.3">
      <c r="A35" s="1" t="s">
        <v>492</v>
      </c>
      <c r="B35" s="1" t="s">
        <v>493</v>
      </c>
      <c r="C35" s="11" t="s">
        <v>344</v>
      </c>
      <c r="D35" s="1" t="s">
        <v>342</v>
      </c>
      <c r="E35" s="1" t="s">
        <v>410</v>
      </c>
      <c r="F35" s="1" t="str">
        <f t="shared" si="0"/>
        <v>OSE-WRAP: Real Time Information &amp; Measurement System</v>
      </c>
      <c r="G35" s="1" t="s">
        <v>374</v>
      </c>
      <c r="H35" s="11">
        <v>5</v>
      </c>
      <c r="I35" s="6" t="s">
        <v>494</v>
      </c>
      <c r="J35" s="1" t="s">
        <v>162</v>
      </c>
      <c r="K35" s="1" t="s">
        <v>1</v>
      </c>
      <c r="L35" s="1" t="s">
        <v>3</v>
      </c>
      <c r="M35" s="1" t="s">
        <v>495</v>
      </c>
      <c r="N35" s="1" t="s">
        <v>496</v>
      </c>
      <c r="O35" s="1" t="s">
        <v>181</v>
      </c>
      <c r="P35" s="1" t="s">
        <v>4</v>
      </c>
      <c r="Q35" s="1" t="s">
        <v>8</v>
      </c>
      <c r="R35" s="1" t="s">
        <v>4</v>
      </c>
      <c r="S35" s="1" t="s">
        <v>181</v>
      </c>
      <c r="T35" s="1" t="s">
        <v>413</v>
      </c>
      <c r="U35" s="1" t="s">
        <v>270</v>
      </c>
    </row>
    <row r="36" spans="1:22" x14ac:dyDescent="0.3">
      <c r="A36" s="1" t="s">
        <v>500</v>
      </c>
      <c r="B36" s="1" t="s">
        <v>503</v>
      </c>
      <c r="C36" s="11" t="s">
        <v>349</v>
      </c>
      <c r="D36" s="1" t="s">
        <v>359</v>
      </c>
      <c r="E36" s="1" t="s">
        <v>502</v>
      </c>
      <c r="F36" s="1" t="str">
        <f t="shared" si="0"/>
        <v>OSE-Hydrology: Aquifer Test</v>
      </c>
      <c r="G36" s="1" t="s">
        <v>374</v>
      </c>
      <c r="H36" s="11">
        <v>5</v>
      </c>
      <c r="I36" s="6" t="s">
        <v>499</v>
      </c>
      <c r="J36" s="1" t="s">
        <v>5</v>
      </c>
      <c r="K36" s="1" t="s">
        <v>1</v>
      </c>
      <c r="L36" s="1" t="s">
        <v>3</v>
      </c>
      <c r="M36" s="1" t="s">
        <v>235</v>
      </c>
      <c r="N36" s="1" t="s">
        <v>179</v>
      </c>
      <c r="O36" s="1" t="s">
        <v>3</v>
      </c>
      <c r="P36" s="1" t="s">
        <v>191</v>
      </c>
      <c r="Q36" s="1" t="s">
        <v>3</v>
      </c>
      <c r="R36" s="1" t="s">
        <v>83</v>
      </c>
      <c r="S36" s="1" t="s">
        <v>8</v>
      </c>
      <c r="T36" s="1" t="s">
        <v>4</v>
      </c>
      <c r="U36" s="1" t="s">
        <v>81</v>
      </c>
      <c r="V36" s="1" t="s">
        <v>504</v>
      </c>
    </row>
    <row r="37" spans="1:22" x14ac:dyDescent="0.3">
      <c r="A37" s="1" t="s">
        <v>505</v>
      </c>
      <c r="B37" s="1" t="s">
        <v>506</v>
      </c>
      <c r="C37" s="11" t="s">
        <v>349</v>
      </c>
      <c r="D37" s="1" t="s">
        <v>359</v>
      </c>
      <c r="E37" s="1" t="s">
        <v>502</v>
      </c>
      <c r="F37" s="1" t="str">
        <f t="shared" si="0"/>
        <v>OSE-Hydrology: Espanola Basin Technology Advisory Group GIS Data</v>
      </c>
      <c r="G37" s="1" t="s">
        <v>374</v>
      </c>
      <c r="H37" s="11">
        <v>5</v>
      </c>
      <c r="I37" s="6" t="s">
        <v>507</v>
      </c>
      <c r="J37" s="1" t="s">
        <v>5</v>
      </c>
      <c r="K37" s="1" t="s">
        <v>1</v>
      </c>
      <c r="L37" s="1" t="s">
        <v>3</v>
      </c>
      <c r="M37" s="1" t="s">
        <v>228</v>
      </c>
      <c r="N37" s="1" t="s">
        <v>508</v>
      </c>
      <c r="O37" s="1" t="s">
        <v>181</v>
      </c>
      <c r="P37" s="1" t="s">
        <v>7</v>
      </c>
      <c r="Q37" s="1" t="s">
        <v>8</v>
      </c>
      <c r="R37" s="1" t="s">
        <v>423</v>
      </c>
      <c r="S37" s="1" t="s">
        <v>181</v>
      </c>
      <c r="T37" s="1" t="s">
        <v>4</v>
      </c>
      <c r="U37" s="1" t="s">
        <v>270</v>
      </c>
    </row>
    <row r="38" spans="1:22" x14ac:dyDescent="0.3">
      <c r="A38" s="1" t="s">
        <v>509</v>
      </c>
      <c r="B38" s="1" t="s">
        <v>510</v>
      </c>
      <c r="C38" s="11" t="s">
        <v>349</v>
      </c>
      <c r="D38" s="1" t="s">
        <v>359</v>
      </c>
      <c r="E38" s="1" t="s">
        <v>502</v>
      </c>
      <c r="F38" s="1" t="str">
        <f t="shared" si="0"/>
        <v>OSE-Hydrology: Statewide Groundwater Level Monitoring Program</v>
      </c>
      <c r="G38" s="1" t="s">
        <v>374</v>
      </c>
      <c r="H38" s="11">
        <v>5</v>
      </c>
      <c r="I38" s="6" t="s">
        <v>511</v>
      </c>
      <c r="J38" s="1" t="s">
        <v>5</v>
      </c>
      <c r="K38" s="1" t="s">
        <v>1</v>
      </c>
      <c r="L38" s="1" t="s">
        <v>3</v>
      </c>
      <c r="M38" s="1" t="s">
        <v>259</v>
      </c>
      <c r="N38" s="1" t="s">
        <v>4</v>
      </c>
      <c r="O38" s="1" t="s">
        <v>3</v>
      </c>
      <c r="P38" s="1" t="s">
        <v>512</v>
      </c>
      <c r="Q38" s="1" t="s">
        <v>3</v>
      </c>
      <c r="R38" s="1" t="s">
        <v>423</v>
      </c>
      <c r="S38" s="1" t="s">
        <v>8</v>
      </c>
      <c r="T38" s="1" t="s">
        <v>413</v>
      </c>
      <c r="U38" s="1" t="s">
        <v>81</v>
      </c>
      <c r="V38" s="1" t="s">
        <v>513</v>
      </c>
    </row>
    <row r="39" spans="1:22" x14ac:dyDescent="0.3">
      <c r="A39" s="1" t="s">
        <v>514</v>
      </c>
      <c r="B39" s="1" t="s">
        <v>515</v>
      </c>
      <c r="C39" s="11" t="s">
        <v>361</v>
      </c>
      <c r="D39" s="1" t="s">
        <v>360</v>
      </c>
      <c r="E39" s="1" t="s">
        <v>516</v>
      </c>
      <c r="F39" s="1" t="str">
        <f t="shared" si="0"/>
        <v>OSE-WUC: Water Use</v>
      </c>
      <c r="G39" s="1" t="s">
        <v>374</v>
      </c>
      <c r="H39" s="11">
        <v>5</v>
      </c>
      <c r="I39" s="6" t="s">
        <v>520</v>
      </c>
      <c r="J39" s="1" t="s">
        <v>5</v>
      </c>
      <c r="K39" s="1" t="s">
        <v>1</v>
      </c>
      <c r="L39" s="1" t="s">
        <v>3</v>
      </c>
      <c r="M39" s="1" t="s">
        <v>6</v>
      </c>
      <c r="N39" s="1" t="s">
        <v>256</v>
      </c>
      <c r="O39" s="1" t="s">
        <v>8</v>
      </c>
      <c r="P39" s="1" t="s">
        <v>8</v>
      </c>
      <c r="Q39" s="1" t="s">
        <v>8</v>
      </c>
      <c r="R39" s="1" t="s">
        <v>8</v>
      </c>
      <c r="S39" s="1" t="s">
        <v>8</v>
      </c>
      <c r="T39" s="1" t="s">
        <v>4</v>
      </c>
      <c r="U39" s="1" t="s">
        <v>81</v>
      </c>
      <c r="V39" s="1" t="s">
        <v>521</v>
      </c>
    </row>
    <row r="40" spans="1:22" x14ac:dyDescent="0.3">
      <c r="A40" s="1" t="s">
        <v>522</v>
      </c>
      <c r="B40" s="1" t="s">
        <v>523</v>
      </c>
      <c r="C40" s="11" t="s">
        <v>361</v>
      </c>
      <c r="D40" s="1" t="s">
        <v>360</v>
      </c>
      <c r="E40" s="1" t="s">
        <v>516</v>
      </c>
      <c r="F40" s="1" t="str">
        <f t="shared" si="0"/>
        <v>OSE-WUC: NM Water Audits</v>
      </c>
      <c r="G40" s="1" t="s">
        <v>374</v>
      </c>
      <c r="H40" s="11">
        <v>5</v>
      </c>
      <c r="I40" s="6" t="s">
        <v>524</v>
      </c>
      <c r="J40" s="1" t="s">
        <v>5</v>
      </c>
      <c r="K40" s="1" t="s">
        <v>1</v>
      </c>
      <c r="L40" s="1" t="s">
        <v>3</v>
      </c>
      <c r="M40" s="1" t="s">
        <v>6</v>
      </c>
      <c r="N40" s="1" t="s">
        <v>256</v>
      </c>
      <c r="O40" s="1" t="s">
        <v>8</v>
      </c>
      <c r="P40" s="1" t="s">
        <v>8</v>
      </c>
      <c r="Q40" s="1" t="s">
        <v>8</v>
      </c>
      <c r="R40" s="1" t="s">
        <v>8</v>
      </c>
      <c r="S40" s="1" t="s">
        <v>8</v>
      </c>
      <c r="T40" s="1" t="s">
        <v>4</v>
      </c>
      <c r="U40" s="1" t="s">
        <v>82</v>
      </c>
    </row>
    <row r="41" spans="1:22" x14ac:dyDescent="0.3">
      <c r="A41" s="1" t="s">
        <v>527</v>
      </c>
      <c r="B41" s="1" t="s">
        <v>528</v>
      </c>
      <c r="C41" s="11" t="s">
        <v>361</v>
      </c>
      <c r="D41" s="1" t="s">
        <v>360</v>
      </c>
      <c r="E41" s="1" t="s">
        <v>516</v>
      </c>
      <c r="F41" s="1" t="str">
        <f t="shared" si="0"/>
        <v>OSE-WUC: Subdivision Review</v>
      </c>
      <c r="G41" s="1" t="s">
        <v>374</v>
      </c>
      <c r="H41" s="11">
        <v>5</v>
      </c>
      <c r="I41" s="6" t="s">
        <v>526</v>
      </c>
      <c r="J41" s="1" t="s">
        <v>5</v>
      </c>
      <c r="K41" s="1" t="s">
        <v>1</v>
      </c>
      <c r="L41" s="1" t="s">
        <v>3</v>
      </c>
      <c r="M41" s="1" t="s">
        <v>6</v>
      </c>
      <c r="N41" s="1" t="s">
        <v>256</v>
      </c>
      <c r="O41" s="1" t="s">
        <v>8</v>
      </c>
      <c r="P41" s="1" t="s">
        <v>8</v>
      </c>
      <c r="Q41" s="1" t="s">
        <v>8</v>
      </c>
      <c r="R41" s="1" t="s">
        <v>8</v>
      </c>
      <c r="S41" s="1" t="s">
        <v>8</v>
      </c>
      <c r="T41" s="1" t="s">
        <v>4</v>
      </c>
      <c r="U41" s="1" t="s">
        <v>81</v>
      </c>
    </row>
    <row r="42" spans="1:22" x14ac:dyDescent="0.3">
      <c r="A42" s="1" t="s">
        <v>543</v>
      </c>
      <c r="B42" s="1" t="s">
        <v>541</v>
      </c>
      <c r="C42" s="11" t="s">
        <v>540</v>
      </c>
      <c r="D42" s="1" t="s">
        <v>541</v>
      </c>
      <c r="E42" s="1" t="s">
        <v>545</v>
      </c>
      <c r="F42" s="1" t="str">
        <f t="shared" si="0"/>
        <v>NMSU: New Mexico Climate Center</v>
      </c>
      <c r="G42" s="1" t="s">
        <v>374</v>
      </c>
      <c r="H42" s="11">
        <v>5</v>
      </c>
      <c r="I42" s="6" t="s">
        <v>539</v>
      </c>
      <c r="J42" s="1" t="s">
        <v>5</v>
      </c>
      <c r="K42" s="1" t="s">
        <v>190</v>
      </c>
      <c r="L42" s="1" t="s">
        <v>3</v>
      </c>
      <c r="M42" s="1" t="s">
        <v>328</v>
      </c>
      <c r="N42" s="1" t="s">
        <v>548</v>
      </c>
      <c r="O42" s="1" t="s">
        <v>3</v>
      </c>
      <c r="P42" s="1" t="s">
        <v>7</v>
      </c>
      <c r="Q42" s="1" t="s">
        <v>8</v>
      </c>
      <c r="R42" s="1" t="s">
        <v>406</v>
      </c>
      <c r="S42" s="1" t="s">
        <v>4</v>
      </c>
      <c r="T42" s="1" t="s">
        <v>413</v>
      </c>
      <c r="U42" s="1" t="s">
        <v>82</v>
      </c>
      <c r="V42" s="1" t="s">
        <v>549</v>
      </c>
    </row>
    <row r="43" spans="1:22" x14ac:dyDescent="0.3">
      <c r="A43" s="1" t="s">
        <v>563</v>
      </c>
      <c r="B43" s="1" t="s">
        <v>571</v>
      </c>
      <c r="C43" s="11" t="s">
        <v>567</v>
      </c>
      <c r="D43" s="1" t="s">
        <v>568</v>
      </c>
      <c r="E43" s="1" t="s">
        <v>660</v>
      </c>
      <c r="F43" s="1" t="str">
        <f t="shared" si="0"/>
        <v>ENV-DOE-OB: Los Alamos Oversight Section</v>
      </c>
      <c r="G43" s="1" t="s">
        <v>151</v>
      </c>
      <c r="H43" s="11">
        <v>4</v>
      </c>
      <c r="I43" s="12" t="s">
        <v>572</v>
      </c>
      <c r="J43" s="1" t="s">
        <v>5</v>
      </c>
      <c r="K43" s="1" t="s">
        <v>385</v>
      </c>
      <c r="L43" s="1" t="s">
        <v>3</v>
      </c>
      <c r="M43" s="1" t="s">
        <v>228</v>
      </c>
      <c r="N43" s="1" t="s">
        <v>573</v>
      </c>
      <c r="O43" s="1" t="s">
        <v>3</v>
      </c>
      <c r="P43" s="1" t="s">
        <v>7</v>
      </c>
      <c r="Q43" s="1" t="s">
        <v>3</v>
      </c>
      <c r="R43" s="1" t="s">
        <v>406</v>
      </c>
      <c r="S43" s="1" t="s">
        <v>4</v>
      </c>
      <c r="T43" s="1" t="s">
        <v>4</v>
      </c>
      <c r="U43" s="1" t="s">
        <v>82</v>
      </c>
      <c r="V43" s="1" t="s">
        <v>575</v>
      </c>
    </row>
    <row r="44" spans="1:22" x14ac:dyDescent="0.3">
      <c r="A44" s="1" t="s">
        <v>580</v>
      </c>
      <c r="B44" s="1" t="s">
        <v>581</v>
      </c>
      <c r="C44" s="11" t="s">
        <v>567</v>
      </c>
      <c r="D44" s="1" t="s">
        <v>568</v>
      </c>
      <c r="E44" s="1" t="s">
        <v>660</v>
      </c>
      <c r="F44" s="1" t="str">
        <f t="shared" si="0"/>
        <v>ENV-DOE-OB: Sandia Oversight Section</v>
      </c>
      <c r="G44" s="1" t="s">
        <v>151</v>
      </c>
      <c r="H44" s="11">
        <v>4</v>
      </c>
      <c r="I44" s="12" t="s">
        <v>582</v>
      </c>
      <c r="J44" s="1" t="s">
        <v>5</v>
      </c>
      <c r="K44" s="1" t="s">
        <v>1</v>
      </c>
      <c r="L44" s="1" t="s">
        <v>3</v>
      </c>
      <c r="M44" s="1" t="s">
        <v>6</v>
      </c>
      <c r="N44" s="1" t="s">
        <v>256</v>
      </c>
      <c r="O44" s="1" t="s">
        <v>3</v>
      </c>
      <c r="P44" s="1" t="s">
        <v>256</v>
      </c>
      <c r="Q44" s="1" t="s">
        <v>8</v>
      </c>
      <c r="R44" s="1" t="s">
        <v>83</v>
      </c>
      <c r="S44" s="1" t="s">
        <v>8</v>
      </c>
      <c r="T44" s="1" t="s">
        <v>255</v>
      </c>
      <c r="U44" s="1" t="s">
        <v>81</v>
      </c>
    </row>
    <row r="45" spans="1:22" x14ac:dyDescent="0.3">
      <c r="A45" s="1" t="s">
        <v>593</v>
      </c>
      <c r="B45" s="1" t="s">
        <v>596</v>
      </c>
      <c r="C45" s="11" t="s">
        <v>584</v>
      </c>
      <c r="D45" s="1" t="s">
        <v>585</v>
      </c>
      <c r="E45" s="1" t="s">
        <v>545</v>
      </c>
      <c r="F45" s="1" t="str">
        <f t="shared" si="0"/>
        <v>NMSU: Statewide Water Assessment</v>
      </c>
      <c r="G45" s="1" t="s">
        <v>374</v>
      </c>
      <c r="H45" s="11">
        <v>5</v>
      </c>
      <c r="I45" s="12" t="s">
        <v>594</v>
      </c>
      <c r="J45" s="1" t="s">
        <v>5</v>
      </c>
      <c r="K45" s="1" t="s">
        <v>1</v>
      </c>
      <c r="L45" s="1" t="s">
        <v>3</v>
      </c>
      <c r="M45" s="1" t="s">
        <v>259</v>
      </c>
      <c r="N45" s="1" t="s">
        <v>452</v>
      </c>
      <c r="O45" s="1" t="s">
        <v>3</v>
      </c>
      <c r="P45" s="1" t="s">
        <v>595</v>
      </c>
      <c r="Q45" s="1" t="s">
        <v>4</v>
      </c>
      <c r="R45" s="1" t="s">
        <v>193</v>
      </c>
      <c r="S45" s="1" t="s">
        <v>4</v>
      </c>
      <c r="T45" s="1" t="s">
        <v>4</v>
      </c>
      <c r="U45" s="1" t="s">
        <v>81</v>
      </c>
    </row>
    <row r="46" spans="1:22" x14ac:dyDescent="0.3">
      <c r="A46" s="1" t="s">
        <v>609</v>
      </c>
      <c r="B46" s="1" t="s">
        <v>610</v>
      </c>
      <c r="C46" s="11" t="s">
        <v>601</v>
      </c>
      <c r="D46" s="1" t="s">
        <v>600</v>
      </c>
      <c r="E46" s="1" t="s">
        <v>611</v>
      </c>
      <c r="F46" s="1" t="str">
        <f t="shared" si="0"/>
        <v>NMT-GO-TECH: Produced Water Data</v>
      </c>
      <c r="G46" s="1" t="s">
        <v>374</v>
      </c>
      <c r="H46" s="11">
        <v>5</v>
      </c>
      <c r="I46" s="12" t="s">
        <v>591</v>
      </c>
      <c r="J46" s="1" t="s">
        <v>5</v>
      </c>
      <c r="K46" s="1" t="s">
        <v>1</v>
      </c>
      <c r="L46" s="1" t="s">
        <v>3</v>
      </c>
      <c r="M46" s="1" t="s">
        <v>228</v>
      </c>
      <c r="N46" s="1" t="s">
        <v>183</v>
      </c>
      <c r="O46" s="1" t="s">
        <v>8</v>
      </c>
      <c r="P46" s="1" t="s">
        <v>8</v>
      </c>
      <c r="Q46" s="1" t="s">
        <v>8</v>
      </c>
      <c r="R46" s="1" t="s">
        <v>8</v>
      </c>
      <c r="S46" s="1" t="s">
        <v>8</v>
      </c>
      <c r="T46" s="1" t="s">
        <v>4</v>
      </c>
      <c r="U46" s="1" t="s">
        <v>4</v>
      </c>
    </row>
    <row r="47" spans="1:22" x14ac:dyDescent="0.3">
      <c r="A47" s="1" t="s">
        <v>624</v>
      </c>
      <c r="B47" s="1" t="s">
        <v>626</v>
      </c>
      <c r="C47" s="11" t="s">
        <v>615</v>
      </c>
      <c r="D47" s="1" t="s">
        <v>616</v>
      </c>
      <c r="E47" s="1" t="s">
        <v>625</v>
      </c>
      <c r="F47" s="1" t="str">
        <f t="shared" si="0"/>
        <v>UNM-EDAC: Resource Geographic Information System (RGIS)</v>
      </c>
      <c r="G47" s="1" t="s">
        <v>374</v>
      </c>
      <c r="H47" s="11">
        <v>5</v>
      </c>
      <c r="I47" s="12" t="s">
        <v>623</v>
      </c>
      <c r="J47" s="1" t="s">
        <v>162</v>
      </c>
      <c r="K47" s="1" t="s">
        <v>321</v>
      </c>
      <c r="L47" s="1" t="s">
        <v>3</v>
      </c>
      <c r="M47" s="1" t="s">
        <v>634</v>
      </c>
      <c r="N47" s="1" t="s">
        <v>635</v>
      </c>
      <c r="O47" s="1" t="s">
        <v>3</v>
      </c>
      <c r="P47" s="1" t="s">
        <v>630</v>
      </c>
      <c r="Q47" s="1" t="s">
        <v>3</v>
      </c>
      <c r="R47" s="1" t="s">
        <v>406</v>
      </c>
      <c r="S47" s="1" t="s">
        <v>3</v>
      </c>
      <c r="T47" s="1" t="s">
        <v>163</v>
      </c>
      <c r="U47" s="1" t="s">
        <v>163</v>
      </c>
      <c r="V47" s="1" t="s">
        <v>632</v>
      </c>
    </row>
    <row r="48" spans="1:22" x14ac:dyDescent="0.3">
      <c r="A48" s="1" t="s">
        <v>640</v>
      </c>
      <c r="B48" s="1" t="s">
        <v>641</v>
      </c>
      <c r="C48" s="11" t="s">
        <v>617</v>
      </c>
      <c r="D48" s="1" t="s">
        <v>552</v>
      </c>
      <c r="E48" s="1" t="s">
        <v>642</v>
      </c>
      <c r="F48" s="1" t="str">
        <f t="shared" si="0"/>
        <v>NMT-BGMR: NMBGMR Interative Map</v>
      </c>
      <c r="G48" s="1" t="s">
        <v>374</v>
      </c>
      <c r="H48" s="11">
        <v>5</v>
      </c>
      <c r="I48" s="12" t="s">
        <v>643</v>
      </c>
      <c r="J48" s="1" t="s">
        <v>125</v>
      </c>
      <c r="K48" s="1" t="s">
        <v>385</v>
      </c>
      <c r="L48" s="1" t="s">
        <v>3</v>
      </c>
      <c r="M48" s="1" t="s">
        <v>645</v>
      </c>
      <c r="N48" s="1" t="s">
        <v>644</v>
      </c>
      <c r="O48" s="1" t="s">
        <v>181</v>
      </c>
      <c r="P48" s="1" t="s">
        <v>7</v>
      </c>
      <c r="Q48" s="1" t="s">
        <v>8</v>
      </c>
      <c r="R48" s="1" t="s">
        <v>193</v>
      </c>
      <c r="S48" s="1" t="s">
        <v>181</v>
      </c>
      <c r="T48" s="1" t="s">
        <v>4</v>
      </c>
      <c r="U48" s="1" t="s">
        <v>81</v>
      </c>
      <c r="V48" s="1" t="s">
        <v>646</v>
      </c>
    </row>
  </sheetData>
  <hyperlinks>
    <hyperlink ref="I2" r:id="rId1"/>
    <hyperlink ref="I3" r:id="rId2"/>
    <hyperlink ref="I4" r:id="rId3"/>
    <hyperlink ref="I5" r:id="rId4"/>
    <hyperlink ref="I6" r:id="rId5" display="https://wwwapps.emnrd.state.nm.us/ocd/ocdpermitting/Data/Wells.aspx"/>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location="DSWB" display="https://nmwrri.nmsu.edu/category-blocks-swa/ - DSWB"/>
    <hyperlink ref="I46" r:id="rId45"/>
    <hyperlink ref="I47" r:id="rId46"/>
    <hyperlink ref="I48" r:id="rId47"/>
  </hyperlinks>
  <pageMargins left="0.7" right="0.7" top="0.75" bottom="0.75" header="0.3" footer="0.3"/>
  <pageSetup orientation="portrait" r:id="rId4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2"/>
  <sheetViews>
    <sheetView zoomScale="80" zoomScaleNormal="80" workbookViewId="0">
      <pane ySplit="1" topLeftCell="A90" activePane="bottomLeft" state="frozen"/>
      <selection pane="bottomLeft" activeCell="D126" sqref="D126"/>
    </sheetView>
  </sheetViews>
  <sheetFormatPr defaultRowHeight="15.6" x14ac:dyDescent="0.3"/>
  <cols>
    <col min="1" max="1" width="5.5" style="1" bestFit="1" customWidth="1"/>
    <col min="2" max="2" width="33.8984375" style="1" customWidth="1"/>
    <col min="3" max="4" width="19.796875" style="1" customWidth="1"/>
    <col min="5" max="5" width="19.69921875" style="1" customWidth="1"/>
    <col min="6" max="6" width="14.59765625" style="1" bestFit="1" customWidth="1"/>
    <col min="7" max="7" width="16.796875" style="1" customWidth="1"/>
    <col min="8" max="8" width="13.5" style="1" bestFit="1" customWidth="1"/>
    <col min="9" max="9" width="9.5" style="1" bestFit="1" customWidth="1"/>
    <col min="10" max="12" width="8.796875" style="1"/>
    <col min="13" max="13" width="16.796875" style="1" customWidth="1"/>
    <col min="14" max="16384" width="8.796875" style="1"/>
  </cols>
  <sheetData>
    <row r="1" spans="1:14" x14ac:dyDescent="0.3">
      <c r="A1" s="3" t="s">
        <v>90</v>
      </c>
      <c r="B1" s="9" t="s">
        <v>91</v>
      </c>
      <c r="C1" s="8" t="s">
        <v>86</v>
      </c>
      <c r="D1" s="8" t="s">
        <v>87</v>
      </c>
      <c r="E1" s="9" t="s">
        <v>14</v>
      </c>
      <c r="F1" s="8" t="s">
        <v>102</v>
      </c>
      <c r="G1" s="8" t="s">
        <v>104</v>
      </c>
      <c r="H1" s="8" t="s">
        <v>103</v>
      </c>
      <c r="I1" s="10" t="s">
        <v>105</v>
      </c>
      <c r="J1" s="8" t="s">
        <v>0</v>
      </c>
      <c r="M1" s="1" t="s">
        <v>107</v>
      </c>
      <c r="N1" s="1" t="s">
        <v>106</v>
      </c>
    </row>
    <row r="2" spans="1:14" x14ac:dyDescent="0.3">
      <c r="A2" s="1" t="s">
        <v>35</v>
      </c>
      <c r="B2" s="1" t="s">
        <v>123</v>
      </c>
      <c r="C2" s="1" t="s">
        <v>119</v>
      </c>
      <c r="D2" s="1" t="s">
        <v>116</v>
      </c>
      <c r="E2" s="6" t="s">
        <v>124</v>
      </c>
      <c r="F2" s="1" t="s">
        <v>197</v>
      </c>
      <c r="G2" s="1" t="s">
        <v>67</v>
      </c>
      <c r="H2" s="1" t="s">
        <v>55</v>
      </c>
      <c r="I2" s="1" t="str">
        <f t="shared" ref="I2:I35" si="0">VLOOKUP(G2,$M$2:$N$19,2,FALSE)</f>
        <v>d01</v>
      </c>
      <c r="M2" s="7" t="s">
        <v>67</v>
      </c>
      <c r="N2" s="4" t="s">
        <v>46</v>
      </c>
    </row>
    <row r="3" spans="1:14" x14ac:dyDescent="0.3">
      <c r="A3" s="1" t="s">
        <v>36</v>
      </c>
      <c r="B3" s="1" t="s">
        <v>152</v>
      </c>
      <c r="C3" s="1" t="s">
        <v>153</v>
      </c>
      <c r="D3" s="1" t="s">
        <v>139</v>
      </c>
      <c r="E3" s="6" t="s">
        <v>161</v>
      </c>
      <c r="F3" s="1" t="s">
        <v>194</v>
      </c>
      <c r="G3" s="1" t="s">
        <v>68</v>
      </c>
      <c r="H3" s="1" t="s">
        <v>55</v>
      </c>
      <c r="I3" s="1" t="str">
        <f t="shared" si="0"/>
        <v>d02</v>
      </c>
      <c r="M3" s="7" t="s">
        <v>68</v>
      </c>
      <c r="N3" s="4" t="s">
        <v>47</v>
      </c>
    </row>
    <row r="4" spans="1:14" x14ac:dyDescent="0.3">
      <c r="A4" s="1" t="s">
        <v>37</v>
      </c>
      <c r="B4" s="1" t="s">
        <v>176</v>
      </c>
      <c r="C4" s="1" t="s">
        <v>173</v>
      </c>
      <c r="D4" s="1" t="s">
        <v>139</v>
      </c>
      <c r="E4" s="6" t="s">
        <v>178</v>
      </c>
      <c r="F4" s="1" t="s">
        <v>195</v>
      </c>
      <c r="G4" s="1" t="s">
        <v>61</v>
      </c>
      <c r="H4" s="1" t="s">
        <v>69</v>
      </c>
      <c r="I4" s="1" t="str">
        <f t="shared" si="0"/>
        <v>d04</v>
      </c>
      <c r="M4" s="7" t="s">
        <v>69</v>
      </c>
      <c r="N4" s="4" t="s">
        <v>49</v>
      </c>
    </row>
    <row r="5" spans="1:14" x14ac:dyDescent="0.3">
      <c r="A5" s="1" t="s">
        <v>37</v>
      </c>
      <c r="B5" s="1" t="s">
        <v>176</v>
      </c>
      <c r="C5" s="1" t="s">
        <v>173</v>
      </c>
      <c r="D5" s="1" t="s">
        <v>139</v>
      </c>
      <c r="E5" s="6" t="s">
        <v>178</v>
      </c>
      <c r="F5" s="1" t="s">
        <v>196</v>
      </c>
      <c r="G5" s="1" t="s">
        <v>69</v>
      </c>
      <c r="H5" s="1" t="s">
        <v>69</v>
      </c>
      <c r="I5" s="1" t="str">
        <f t="shared" si="0"/>
        <v>d03</v>
      </c>
      <c r="M5" s="7" t="s">
        <v>61</v>
      </c>
      <c r="N5" s="4" t="s">
        <v>70</v>
      </c>
    </row>
    <row r="6" spans="1:14" x14ac:dyDescent="0.3">
      <c r="A6" s="1" t="s">
        <v>38</v>
      </c>
      <c r="B6" s="1" t="s">
        <v>184</v>
      </c>
      <c r="C6" s="1" t="s">
        <v>164</v>
      </c>
      <c r="D6" s="1" t="s">
        <v>139</v>
      </c>
      <c r="E6" s="6" t="s">
        <v>185</v>
      </c>
      <c r="F6" s="1" t="s">
        <v>197</v>
      </c>
      <c r="G6" s="1" t="s">
        <v>67</v>
      </c>
      <c r="H6" s="1" t="s">
        <v>55</v>
      </c>
      <c r="I6" s="1" t="str">
        <f t="shared" si="0"/>
        <v>d01</v>
      </c>
      <c r="M6" s="7" t="s">
        <v>48</v>
      </c>
      <c r="N6" s="4" t="s">
        <v>50</v>
      </c>
    </row>
    <row r="7" spans="1:14" x14ac:dyDescent="0.3">
      <c r="A7" s="1" t="s">
        <v>39</v>
      </c>
      <c r="B7" s="1" t="s">
        <v>192</v>
      </c>
      <c r="C7" s="1" t="s">
        <v>164</v>
      </c>
      <c r="D7" s="1" t="s">
        <v>139</v>
      </c>
      <c r="E7" s="6" t="s">
        <v>189</v>
      </c>
      <c r="F7" s="1" t="s">
        <v>198</v>
      </c>
      <c r="G7" s="1" t="s">
        <v>67</v>
      </c>
      <c r="H7" s="1" t="s">
        <v>55</v>
      </c>
      <c r="I7" s="1" t="str">
        <f t="shared" si="0"/>
        <v>d01</v>
      </c>
      <c r="M7" s="7" t="s">
        <v>72</v>
      </c>
      <c r="N7" s="4" t="s">
        <v>51</v>
      </c>
    </row>
    <row r="8" spans="1:14" x14ac:dyDescent="0.3">
      <c r="A8" s="1" t="s">
        <v>39</v>
      </c>
      <c r="B8" s="1" t="s">
        <v>192</v>
      </c>
      <c r="C8" s="1" t="s">
        <v>164</v>
      </c>
      <c r="D8" s="1" t="s">
        <v>139</v>
      </c>
      <c r="E8" s="6" t="s">
        <v>189</v>
      </c>
      <c r="F8" s="1" t="s">
        <v>199</v>
      </c>
      <c r="G8" s="1" t="s">
        <v>61</v>
      </c>
      <c r="H8" s="1" t="s">
        <v>69</v>
      </c>
      <c r="I8" s="1" t="str">
        <f t="shared" si="0"/>
        <v>d04</v>
      </c>
      <c r="M8" s="7" t="s">
        <v>73</v>
      </c>
      <c r="N8" s="4" t="s">
        <v>52</v>
      </c>
    </row>
    <row r="9" spans="1:14" x14ac:dyDescent="0.3">
      <c r="A9" s="1" t="s">
        <v>40</v>
      </c>
      <c r="B9" s="1" t="s">
        <v>9</v>
      </c>
      <c r="C9" s="1" t="s">
        <v>213</v>
      </c>
      <c r="D9" s="1" t="s">
        <v>139</v>
      </c>
      <c r="E9" s="6" t="s">
        <v>227</v>
      </c>
      <c r="F9" s="1" t="s">
        <v>229</v>
      </c>
      <c r="G9" s="1" t="s">
        <v>34</v>
      </c>
      <c r="H9" s="1" t="s">
        <v>76</v>
      </c>
      <c r="I9" s="1" t="str">
        <f t="shared" si="0"/>
        <v>d17</v>
      </c>
      <c r="M9" s="7" t="s">
        <v>2</v>
      </c>
      <c r="N9" s="4" t="s">
        <v>54</v>
      </c>
    </row>
    <row r="10" spans="1:14" x14ac:dyDescent="0.3">
      <c r="A10" s="1" t="s">
        <v>40</v>
      </c>
      <c r="B10" s="1" t="s">
        <v>9</v>
      </c>
      <c r="C10" s="1" t="s">
        <v>213</v>
      </c>
      <c r="D10" s="1" t="s">
        <v>139</v>
      </c>
      <c r="E10" s="6" t="s">
        <v>227</v>
      </c>
      <c r="F10" s="1" t="s">
        <v>230</v>
      </c>
      <c r="G10" s="1" t="s">
        <v>61</v>
      </c>
      <c r="H10" s="1" t="s">
        <v>69</v>
      </c>
      <c r="I10" s="1" t="str">
        <f t="shared" si="0"/>
        <v>d04</v>
      </c>
      <c r="M10" s="7" t="s">
        <v>57</v>
      </c>
      <c r="N10" s="4" t="s">
        <v>74</v>
      </c>
    </row>
    <row r="11" spans="1:14" x14ac:dyDescent="0.3">
      <c r="A11" s="1" t="s">
        <v>41</v>
      </c>
      <c r="B11" s="1" t="s">
        <v>234</v>
      </c>
      <c r="C11" s="1" t="s">
        <v>214</v>
      </c>
      <c r="D11" s="1" t="s">
        <v>139</v>
      </c>
      <c r="E11" s="6" t="s">
        <v>233</v>
      </c>
      <c r="F11" s="1" t="s">
        <v>236</v>
      </c>
      <c r="G11" s="1" t="s">
        <v>2</v>
      </c>
      <c r="H11" s="1" t="s">
        <v>71</v>
      </c>
      <c r="I11" s="1" t="str">
        <f t="shared" si="0"/>
        <v>d08</v>
      </c>
      <c r="M11" s="7" t="s">
        <v>59</v>
      </c>
      <c r="N11" s="4" t="s">
        <v>56</v>
      </c>
    </row>
    <row r="12" spans="1:14" x14ac:dyDescent="0.3">
      <c r="A12" s="1" t="s">
        <v>42</v>
      </c>
      <c r="B12" s="1" t="s">
        <v>240</v>
      </c>
      <c r="C12" s="1" t="s">
        <v>214</v>
      </c>
      <c r="D12" s="1" t="s">
        <v>139</v>
      </c>
      <c r="E12" s="6" t="s">
        <v>239</v>
      </c>
      <c r="F12" s="1" t="s">
        <v>243</v>
      </c>
      <c r="G12" s="1" t="s">
        <v>61</v>
      </c>
      <c r="H12" s="1" t="s">
        <v>69</v>
      </c>
      <c r="I12" s="1" t="str">
        <f t="shared" si="0"/>
        <v>d04</v>
      </c>
      <c r="M12" s="7" t="s">
        <v>12</v>
      </c>
      <c r="N12" s="4" t="s">
        <v>58</v>
      </c>
    </row>
    <row r="13" spans="1:14" x14ac:dyDescent="0.3">
      <c r="A13" s="1" t="s">
        <v>42</v>
      </c>
      <c r="B13" s="1" t="s">
        <v>240</v>
      </c>
      <c r="C13" s="1" t="s">
        <v>214</v>
      </c>
      <c r="D13" s="1" t="s">
        <v>139</v>
      </c>
      <c r="E13" s="6" t="s">
        <v>239</v>
      </c>
      <c r="F13" s="1" t="s">
        <v>242</v>
      </c>
      <c r="G13" s="1" t="s">
        <v>2</v>
      </c>
      <c r="H13" s="1" t="s">
        <v>71</v>
      </c>
      <c r="I13" s="1" t="str">
        <f t="shared" si="0"/>
        <v>d08</v>
      </c>
      <c r="M13" s="7" t="s">
        <v>64</v>
      </c>
      <c r="N13" s="4" t="s">
        <v>60</v>
      </c>
    </row>
    <row r="14" spans="1:14" x14ac:dyDescent="0.3">
      <c r="A14" s="1" t="s">
        <v>43</v>
      </c>
      <c r="B14" s="1" t="s">
        <v>253</v>
      </c>
      <c r="C14" s="1" t="s">
        <v>215</v>
      </c>
      <c r="D14" s="1" t="s">
        <v>139</v>
      </c>
      <c r="E14" s="6" t="s">
        <v>254</v>
      </c>
      <c r="F14" s="1" t="s">
        <v>262</v>
      </c>
      <c r="G14" s="1" t="s">
        <v>61</v>
      </c>
      <c r="H14" s="1" t="s">
        <v>69</v>
      </c>
      <c r="I14" s="1" t="str">
        <f t="shared" si="0"/>
        <v>d04</v>
      </c>
      <c r="M14" s="7" t="s">
        <v>11</v>
      </c>
      <c r="N14" s="4" t="s">
        <v>62</v>
      </c>
    </row>
    <row r="15" spans="1:14" x14ac:dyDescent="0.3">
      <c r="A15" s="1" t="s">
        <v>44</v>
      </c>
      <c r="B15" s="1" t="s">
        <v>258</v>
      </c>
      <c r="C15" s="1" t="s">
        <v>215</v>
      </c>
      <c r="D15" s="1" t="s">
        <v>139</v>
      </c>
      <c r="E15" s="6" t="s">
        <v>257</v>
      </c>
      <c r="F15" s="1" t="s">
        <v>272</v>
      </c>
      <c r="G15" s="1" t="s">
        <v>67</v>
      </c>
      <c r="H15" s="1" t="s">
        <v>55</v>
      </c>
      <c r="I15" s="1" t="str">
        <f t="shared" si="0"/>
        <v>d01</v>
      </c>
      <c r="M15" s="7" t="s">
        <v>53</v>
      </c>
      <c r="N15" s="4" t="s">
        <v>75</v>
      </c>
    </row>
    <row r="16" spans="1:14" x14ac:dyDescent="0.3">
      <c r="A16" s="1" t="s">
        <v>44</v>
      </c>
      <c r="B16" s="1" t="s">
        <v>258</v>
      </c>
      <c r="C16" s="1" t="s">
        <v>215</v>
      </c>
      <c r="D16" s="1" t="s">
        <v>139</v>
      </c>
      <c r="E16" s="6" t="s">
        <v>257</v>
      </c>
      <c r="F16" s="1" t="s">
        <v>263</v>
      </c>
      <c r="G16" s="1" t="s">
        <v>68</v>
      </c>
      <c r="H16" s="1" t="s">
        <v>55</v>
      </c>
      <c r="I16" s="1" t="str">
        <f t="shared" si="0"/>
        <v>d02</v>
      </c>
      <c r="M16" s="7" t="s">
        <v>78</v>
      </c>
      <c r="N16" s="4" t="s">
        <v>77</v>
      </c>
    </row>
    <row r="17" spans="1:14" x14ac:dyDescent="0.3">
      <c r="A17" s="1" t="s">
        <v>44</v>
      </c>
      <c r="B17" s="1" t="s">
        <v>258</v>
      </c>
      <c r="C17" s="1" t="s">
        <v>215</v>
      </c>
      <c r="D17" s="1" t="s">
        <v>139</v>
      </c>
      <c r="E17" s="6" t="s">
        <v>257</v>
      </c>
      <c r="F17" s="1" t="s">
        <v>264</v>
      </c>
      <c r="G17" s="1" t="s">
        <v>69</v>
      </c>
      <c r="H17" s="1" t="s">
        <v>69</v>
      </c>
      <c r="I17" s="1" t="str">
        <f t="shared" si="0"/>
        <v>d03</v>
      </c>
      <c r="M17" s="7" t="s">
        <v>76</v>
      </c>
      <c r="N17" s="4" t="s">
        <v>63</v>
      </c>
    </row>
    <row r="18" spans="1:14" x14ac:dyDescent="0.3">
      <c r="A18" s="1" t="s">
        <v>44</v>
      </c>
      <c r="B18" s="1" t="s">
        <v>258</v>
      </c>
      <c r="C18" s="1" t="s">
        <v>215</v>
      </c>
      <c r="D18" s="1" t="s">
        <v>139</v>
      </c>
      <c r="E18" s="6" t="s">
        <v>257</v>
      </c>
      <c r="F18" s="1" t="s">
        <v>265</v>
      </c>
      <c r="G18" s="1" t="s">
        <v>61</v>
      </c>
      <c r="H18" s="1" t="s">
        <v>69</v>
      </c>
      <c r="I18" s="1" t="str">
        <f t="shared" si="0"/>
        <v>d04</v>
      </c>
      <c r="M18" s="7" t="s">
        <v>34</v>
      </c>
      <c r="N18" s="4" t="s">
        <v>65</v>
      </c>
    </row>
    <row r="19" spans="1:14" x14ac:dyDescent="0.3">
      <c r="A19" s="1" t="s">
        <v>45</v>
      </c>
      <c r="B19" s="1" t="s">
        <v>268</v>
      </c>
      <c r="C19" s="1" t="s">
        <v>215</v>
      </c>
      <c r="D19" s="1" t="s">
        <v>139</v>
      </c>
      <c r="E19" s="6" t="s">
        <v>269</v>
      </c>
      <c r="F19" s="1" t="s">
        <v>271</v>
      </c>
      <c r="G19" s="1" t="s">
        <v>61</v>
      </c>
      <c r="H19" s="1" t="s">
        <v>69</v>
      </c>
      <c r="I19" s="1" t="str">
        <f t="shared" si="0"/>
        <v>d04</v>
      </c>
      <c r="M19" s="7" t="s">
        <v>79</v>
      </c>
      <c r="N19" s="4" t="s">
        <v>66</v>
      </c>
    </row>
    <row r="20" spans="1:14" x14ac:dyDescent="0.3">
      <c r="A20" s="1" t="s">
        <v>278</v>
      </c>
      <c r="B20" s="1" t="s">
        <v>279</v>
      </c>
      <c r="C20" s="1" t="s">
        <v>275</v>
      </c>
      <c r="D20" s="1" t="s">
        <v>139</v>
      </c>
      <c r="E20" s="6" t="s">
        <v>280</v>
      </c>
      <c r="F20" s="1" t="s">
        <v>282</v>
      </c>
      <c r="G20" s="1" t="s">
        <v>79</v>
      </c>
      <c r="H20" s="1" t="s">
        <v>76</v>
      </c>
      <c r="I20" s="1" t="str">
        <f t="shared" si="0"/>
        <v>d18</v>
      </c>
      <c r="J20" s="1" t="s">
        <v>283</v>
      </c>
    </row>
    <row r="21" spans="1:14" x14ac:dyDescent="0.3">
      <c r="A21" s="1" t="s">
        <v>292</v>
      </c>
      <c r="B21" s="1" t="s">
        <v>294</v>
      </c>
      <c r="C21" s="1" t="s">
        <v>216</v>
      </c>
      <c r="D21" s="1" t="s">
        <v>139</v>
      </c>
      <c r="E21" s="6" t="s">
        <v>295</v>
      </c>
      <c r="F21" s="1" t="s">
        <v>296</v>
      </c>
      <c r="G21" s="1" t="s">
        <v>79</v>
      </c>
      <c r="H21" s="1" t="s">
        <v>76</v>
      </c>
      <c r="I21" s="1" t="str">
        <f t="shared" si="0"/>
        <v>d18</v>
      </c>
      <c r="J21" s="1" t="s">
        <v>297</v>
      </c>
    </row>
    <row r="22" spans="1:14" x14ac:dyDescent="0.3">
      <c r="A22" s="1" t="s">
        <v>303</v>
      </c>
      <c r="B22" s="1" t="s">
        <v>304</v>
      </c>
      <c r="C22" s="1" t="s">
        <v>302</v>
      </c>
      <c r="D22" s="1" t="s">
        <v>139</v>
      </c>
      <c r="E22" s="6" t="s">
        <v>305</v>
      </c>
      <c r="F22" s="1" t="s">
        <v>636</v>
      </c>
      <c r="G22" s="1" t="s">
        <v>34</v>
      </c>
      <c r="H22" s="1" t="s">
        <v>76</v>
      </c>
      <c r="I22" s="1" t="str">
        <f t="shared" si="0"/>
        <v>d17</v>
      </c>
    </row>
    <row r="23" spans="1:14" x14ac:dyDescent="0.3">
      <c r="A23" s="1" t="s">
        <v>303</v>
      </c>
      <c r="B23" s="1" t="s">
        <v>304</v>
      </c>
      <c r="C23" s="1" t="s">
        <v>302</v>
      </c>
      <c r="D23" s="1" t="s">
        <v>139</v>
      </c>
      <c r="E23" s="6" t="s">
        <v>305</v>
      </c>
      <c r="F23" s="1" t="s">
        <v>637</v>
      </c>
      <c r="G23" s="1" t="s">
        <v>67</v>
      </c>
      <c r="H23" s="1" t="s">
        <v>55</v>
      </c>
      <c r="I23" s="1" t="str">
        <f t="shared" si="0"/>
        <v>d01</v>
      </c>
    </row>
    <row r="24" spans="1:14" x14ac:dyDescent="0.3">
      <c r="A24" s="1" t="s">
        <v>308</v>
      </c>
      <c r="B24" s="1" t="s">
        <v>319</v>
      </c>
      <c r="C24" s="1" t="s">
        <v>315</v>
      </c>
      <c r="D24" s="1" t="s">
        <v>139</v>
      </c>
      <c r="E24" s="6" t="s">
        <v>325</v>
      </c>
      <c r="F24" s="1" t="s">
        <v>324</v>
      </c>
      <c r="G24" s="1" t="s">
        <v>34</v>
      </c>
      <c r="H24" s="1" t="s">
        <v>76</v>
      </c>
      <c r="I24" s="1" t="str">
        <f t="shared" si="0"/>
        <v>d17</v>
      </c>
    </row>
    <row r="25" spans="1:14" x14ac:dyDescent="0.3">
      <c r="A25" s="1" t="s">
        <v>308</v>
      </c>
      <c r="B25" s="1" t="s">
        <v>319</v>
      </c>
      <c r="C25" s="1" t="s">
        <v>315</v>
      </c>
      <c r="D25" s="1" t="s">
        <v>139</v>
      </c>
      <c r="E25" s="6" t="s">
        <v>325</v>
      </c>
      <c r="F25" s="1" t="s">
        <v>326</v>
      </c>
      <c r="G25" s="1" t="s">
        <v>69</v>
      </c>
      <c r="H25" s="1" t="s">
        <v>69</v>
      </c>
      <c r="I25" s="1" t="str">
        <f t="shared" si="0"/>
        <v>d03</v>
      </c>
    </row>
    <row r="26" spans="1:14" x14ac:dyDescent="0.3">
      <c r="A26" s="1" t="s">
        <v>308</v>
      </c>
      <c r="B26" s="1" t="s">
        <v>319</v>
      </c>
      <c r="C26" s="1" t="s">
        <v>315</v>
      </c>
      <c r="D26" s="1" t="s">
        <v>139</v>
      </c>
      <c r="E26" s="6" t="s">
        <v>325</v>
      </c>
      <c r="F26" s="1" t="s">
        <v>327</v>
      </c>
      <c r="G26" s="1" t="s">
        <v>57</v>
      </c>
      <c r="H26" s="1" t="s">
        <v>71</v>
      </c>
      <c r="I26" s="1" t="str">
        <f t="shared" si="0"/>
        <v>d09</v>
      </c>
    </row>
    <row r="27" spans="1:14" x14ac:dyDescent="0.3">
      <c r="A27" s="1" t="s">
        <v>331</v>
      </c>
      <c r="B27" s="1" t="s">
        <v>330</v>
      </c>
      <c r="C27" s="1" t="s">
        <v>315</v>
      </c>
      <c r="D27" s="1" t="s">
        <v>139</v>
      </c>
      <c r="E27" s="6" t="s">
        <v>329</v>
      </c>
      <c r="F27" s="1" t="s">
        <v>332</v>
      </c>
      <c r="G27" s="1" t="s">
        <v>61</v>
      </c>
      <c r="H27" s="1" t="s">
        <v>69</v>
      </c>
      <c r="I27" s="1" t="str">
        <f t="shared" si="0"/>
        <v>d04</v>
      </c>
    </row>
    <row r="28" spans="1:14" x14ac:dyDescent="0.3">
      <c r="A28" s="1" t="s">
        <v>331</v>
      </c>
      <c r="B28" s="1" t="s">
        <v>330</v>
      </c>
      <c r="C28" s="1" t="s">
        <v>315</v>
      </c>
      <c r="D28" s="1" t="s">
        <v>139</v>
      </c>
      <c r="E28" s="6" t="s">
        <v>329</v>
      </c>
      <c r="F28" s="1" t="s">
        <v>333</v>
      </c>
      <c r="G28" s="1" t="s">
        <v>34</v>
      </c>
      <c r="H28" s="1" t="s">
        <v>76</v>
      </c>
      <c r="I28" s="1" t="str">
        <f t="shared" si="0"/>
        <v>d17</v>
      </c>
    </row>
    <row r="29" spans="1:14" x14ac:dyDescent="0.3">
      <c r="A29" s="1" t="s">
        <v>371</v>
      </c>
      <c r="B29" s="1" t="s">
        <v>372</v>
      </c>
      <c r="C29" s="1" t="s">
        <v>290</v>
      </c>
      <c r="D29" s="1" t="s">
        <v>374</v>
      </c>
      <c r="E29" s="6" t="s">
        <v>376</v>
      </c>
      <c r="F29" s="1" t="s">
        <v>378</v>
      </c>
      <c r="G29" s="1" t="s">
        <v>67</v>
      </c>
      <c r="H29" s="1" t="s">
        <v>55</v>
      </c>
      <c r="I29" s="1" t="str">
        <f t="shared" si="0"/>
        <v>d01</v>
      </c>
    </row>
    <row r="30" spans="1:14" x14ac:dyDescent="0.3">
      <c r="A30" s="1" t="s">
        <v>371</v>
      </c>
      <c r="B30" s="1" t="s">
        <v>372</v>
      </c>
      <c r="C30" s="1" t="s">
        <v>290</v>
      </c>
      <c r="D30" s="1" t="s">
        <v>374</v>
      </c>
      <c r="E30" s="6" t="s">
        <v>376</v>
      </c>
      <c r="F30" s="1" t="s">
        <v>379</v>
      </c>
      <c r="G30" s="1" t="s">
        <v>2</v>
      </c>
      <c r="H30" s="1" t="s">
        <v>71</v>
      </c>
      <c r="I30" s="1" t="str">
        <f t="shared" si="0"/>
        <v>d08</v>
      </c>
    </row>
    <row r="31" spans="1:14" x14ac:dyDescent="0.3">
      <c r="A31" s="1" t="s">
        <v>371</v>
      </c>
      <c r="B31" s="1" t="s">
        <v>372</v>
      </c>
      <c r="C31" s="1" t="s">
        <v>290</v>
      </c>
      <c r="D31" s="1" t="s">
        <v>374</v>
      </c>
      <c r="E31" s="6" t="s">
        <v>376</v>
      </c>
      <c r="F31" s="1" t="s">
        <v>380</v>
      </c>
      <c r="G31" s="1" t="s">
        <v>76</v>
      </c>
      <c r="H31" s="1" t="s">
        <v>76</v>
      </c>
      <c r="I31" s="1" t="str">
        <f t="shared" si="0"/>
        <v>d16</v>
      </c>
    </row>
    <row r="32" spans="1:14" x14ac:dyDescent="0.3">
      <c r="A32" s="1" t="s">
        <v>382</v>
      </c>
      <c r="B32" s="1" t="s">
        <v>383</v>
      </c>
      <c r="C32" s="1" t="s">
        <v>290</v>
      </c>
      <c r="D32" s="1" t="s">
        <v>374</v>
      </c>
      <c r="E32" s="6" t="s">
        <v>384</v>
      </c>
      <c r="F32" s="1" t="s">
        <v>391</v>
      </c>
      <c r="G32" s="1" t="s">
        <v>67</v>
      </c>
      <c r="H32" s="1" t="s">
        <v>55</v>
      </c>
      <c r="I32" s="1" t="str">
        <f t="shared" si="0"/>
        <v>d01</v>
      </c>
    </row>
    <row r="33" spans="1:10" x14ac:dyDescent="0.3">
      <c r="A33" s="1" t="s">
        <v>382</v>
      </c>
      <c r="B33" s="1" t="s">
        <v>383</v>
      </c>
      <c r="C33" s="1" t="s">
        <v>290</v>
      </c>
      <c r="D33" s="1" t="s">
        <v>374</v>
      </c>
      <c r="E33" s="6" t="s">
        <v>384</v>
      </c>
      <c r="F33" s="1" t="s">
        <v>242</v>
      </c>
      <c r="G33" s="1" t="s">
        <v>2</v>
      </c>
      <c r="H33" s="1" t="s">
        <v>71</v>
      </c>
      <c r="I33" s="1" t="str">
        <f t="shared" si="0"/>
        <v>d08</v>
      </c>
    </row>
    <row r="34" spans="1:10" x14ac:dyDescent="0.3">
      <c r="A34" s="1" t="s">
        <v>382</v>
      </c>
      <c r="B34" s="1" t="s">
        <v>383</v>
      </c>
      <c r="C34" s="1" t="s">
        <v>290</v>
      </c>
      <c r="D34" s="1" t="s">
        <v>374</v>
      </c>
      <c r="E34" s="6" t="s">
        <v>384</v>
      </c>
      <c r="F34" s="1" t="s">
        <v>389</v>
      </c>
      <c r="G34" s="1" t="s">
        <v>76</v>
      </c>
      <c r="H34" s="1" t="s">
        <v>76</v>
      </c>
      <c r="I34" s="1" t="str">
        <f t="shared" si="0"/>
        <v>d16</v>
      </c>
    </row>
    <row r="35" spans="1:10" x14ac:dyDescent="0.3">
      <c r="A35" s="1" t="s">
        <v>382</v>
      </c>
      <c r="B35" s="1" t="s">
        <v>383</v>
      </c>
      <c r="C35" s="1" t="s">
        <v>290</v>
      </c>
      <c r="D35" s="1" t="s">
        <v>374</v>
      </c>
      <c r="E35" s="6" t="s">
        <v>384</v>
      </c>
      <c r="F35" s="1" t="s">
        <v>390</v>
      </c>
      <c r="G35" s="1" t="s">
        <v>61</v>
      </c>
      <c r="H35" s="1" t="s">
        <v>69</v>
      </c>
      <c r="I35" s="1" t="str">
        <f t="shared" si="0"/>
        <v>d04</v>
      </c>
    </row>
    <row r="36" spans="1:10" x14ac:dyDescent="0.3">
      <c r="A36" s="1" t="s">
        <v>382</v>
      </c>
      <c r="B36" s="1" t="s">
        <v>383</v>
      </c>
      <c r="C36" s="1" t="s">
        <v>290</v>
      </c>
      <c r="D36" s="1" t="s">
        <v>374</v>
      </c>
      <c r="E36" s="6" t="s">
        <v>384</v>
      </c>
      <c r="F36" s="1" t="s">
        <v>392</v>
      </c>
      <c r="G36" s="1" t="s">
        <v>68</v>
      </c>
      <c r="H36" s="1" t="s">
        <v>55</v>
      </c>
      <c r="I36" s="1" t="str">
        <f t="shared" ref="I36:I67" si="1">VLOOKUP(G36,$M$2:$N$19,2,FALSE)</f>
        <v>d02</v>
      </c>
    </row>
    <row r="37" spans="1:10" x14ac:dyDescent="0.3">
      <c r="A37" s="1" t="s">
        <v>395</v>
      </c>
      <c r="B37" s="1" t="s">
        <v>396</v>
      </c>
      <c r="C37" s="1" t="s">
        <v>290</v>
      </c>
      <c r="D37" s="1" t="s">
        <v>374</v>
      </c>
      <c r="E37" s="6" t="s">
        <v>400</v>
      </c>
      <c r="F37" s="1" t="s">
        <v>397</v>
      </c>
      <c r="G37" s="1" t="s">
        <v>67</v>
      </c>
      <c r="H37" s="1" t="s">
        <v>55</v>
      </c>
      <c r="I37" s="1" t="str">
        <f t="shared" si="1"/>
        <v>d01</v>
      </c>
    </row>
    <row r="38" spans="1:10" x14ac:dyDescent="0.3">
      <c r="A38" s="1" t="s">
        <v>395</v>
      </c>
      <c r="B38" s="1" t="s">
        <v>396</v>
      </c>
      <c r="C38" s="1" t="s">
        <v>290</v>
      </c>
      <c r="D38" s="1" t="s">
        <v>374</v>
      </c>
      <c r="E38" s="6" t="s">
        <v>400</v>
      </c>
      <c r="F38" s="1" t="s">
        <v>397</v>
      </c>
      <c r="G38" s="1" t="s">
        <v>68</v>
      </c>
      <c r="H38" s="1" t="s">
        <v>55</v>
      </c>
      <c r="I38" s="1" t="str">
        <f t="shared" si="1"/>
        <v>d02</v>
      </c>
    </row>
    <row r="39" spans="1:10" x14ac:dyDescent="0.3">
      <c r="A39" s="1" t="s">
        <v>402</v>
      </c>
      <c r="B39" s="1" t="s">
        <v>403</v>
      </c>
      <c r="C39" s="1" t="s">
        <v>290</v>
      </c>
      <c r="D39" s="1" t="s">
        <v>374</v>
      </c>
      <c r="E39" s="6" t="s">
        <v>401</v>
      </c>
      <c r="F39" s="1" t="s">
        <v>407</v>
      </c>
      <c r="G39" s="1" t="s">
        <v>67</v>
      </c>
      <c r="H39" s="1" t="s">
        <v>55</v>
      </c>
      <c r="I39" s="1" t="str">
        <f t="shared" si="1"/>
        <v>d01</v>
      </c>
    </row>
    <row r="40" spans="1:10" x14ac:dyDescent="0.3">
      <c r="A40" s="1" t="s">
        <v>408</v>
      </c>
      <c r="B40" s="1" t="s">
        <v>409</v>
      </c>
      <c r="C40" s="1" t="s">
        <v>290</v>
      </c>
      <c r="D40" s="1" t="s">
        <v>374</v>
      </c>
      <c r="E40" s="6" t="s">
        <v>401</v>
      </c>
      <c r="F40" s="1" t="s">
        <v>414</v>
      </c>
      <c r="G40" s="1" t="s">
        <v>72</v>
      </c>
      <c r="H40" s="1" t="s">
        <v>71</v>
      </c>
      <c r="I40" s="1" t="str">
        <f t="shared" si="1"/>
        <v>d06</v>
      </c>
    </row>
    <row r="41" spans="1:10" x14ac:dyDescent="0.3">
      <c r="A41" s="1" t="s">
        <v>408</v>
      </c>
      <c r="B41" s="1" t="s">
        <v>409</v>
      </c>
      <c r="C41" s="1" t="s">
        <v>290</v>
      </c>
      <c r="D41" s="1" t="s">
        <v>374</v>
      </c>
      <c r="E41" s="6" t="s">
        <v>401</v>
      </c>
      <c r="F41" s="1" t="s">
        <v>415</v>
      </c>
      <c r="G41" s="1" t="s">
        <v>59</v>
      </c>
      <c r="H41" s="1" t="s">
        <v>71</v>
      </c>
      <c r="I41" s="1" t="str">
        <f t="shared" si="1"/>
        <v>d10</v>
      </c>
    </row>
    <row r="42" spans="1:10" x14ac:dyDescent="0.3">
      <c r="A42" s="1" t="s">
        <v>408</v>
      </c>
      <c r="B42" s="1" t="s">
        <v>409</v>
      </c>
      <c r="C42" s="1" t="s">
        <v>290</v>
      </c>
      <c r="D42" s="1" t="s">
        <v>374</v>
      </c>
      <c r="E42" s="6" t="s">
        <v>401</v>
      </c>
      <c r="F42" s="1" t="s">
        <v>416</v>
      </c>
      <c r="G42" s="1" t="s">
        <v>11</v>
      </c>
      <c r="H42" s="1" t="s">
        <v>71</v>
      </c>
      <c r="I42" s="1" t="str">
        <f t="shared" si="1"/>
        <v>d13</v>
      </c>
    </row>
    <row r="43" spans="1:10" x14ac:dyDescent="0.3">
      <c r="A43" s="1" t="s">
        <v>408</v>
      </c>
      <c r="B43" s="1" t="s">
        <v>409</v>
      </c>
      <c r="C43" s="1" t="s">
        <v>290</v>
      </c>
      <c r="D43" s="1" t="s">
        <v>374</v>
      </c>
      <c r="E43" s="6" t="s">
        <v>401</v>
      </c>
      <c r="F43" s="1" t="s">
        <v>417</v>
      </c>
      <c r="G43" s="1" t="s">
        <v>12</v>
      </c>
      <c r="H43" s="1" t="s">
        <v>71</v>
      </c>
      <c r="I43" s="1" t="str">
        <f t="shared" si="1"/>
        <v>d11</v>
      </c>
    </row>
    <row r="44" spans="1:10" x14ac:dyDescent="0.3">
      <c r="A44" s="1" t="s">
        <v>408</v>
      </c>
      <c r="B44" s="1" t="s">
        <v>409</v>
      </c>
      <c r="C44" s="1" t="s">
        <v>290</v>
      </c>
      <c r="D44" s="1" t="s">
        <v>374</v>
      </c>
      <c r="E44" s="6" t="s">
        <v>401</v>
      </c>
      <c r="F44" s="1" t="s">
        <v>418</v>
      </c>
      <c r="G44" s="1" t="s">
        <v>73</v>
      </c>
      <c r="H44" s="1" t="s">
        <v>71</v>
      </c>
      <c r="I44" s="1" t="str">
        <f t="shared" si="1"/>
        <v>d07</v>
      </c>
    </row>
    <row r="45" spans="1:10" x14ac:dyDescent="0.3">
      <c r="A45" s="1" t="s">
        <v>420</v>
      </c>
      <c r="B45" s="1" t="s">
        <v>422</v>
      </c>
      <c r="C45" s="1" t="s">
        <v>290</v>
      </c>
      <c r="D45" s="1" t="s">
        <v>374</v>
      </c>
      <c r="E45" s="6" t="s">
        <v>424</v>
      </c>
      <c r="F45" s="1" t="s">
        <v>425</v>
      </c>
      <c r="G45" s="1" t="s">
        <v>79</v>
      </c>
      <c r="H45" s="1" t="s">
        <v>76</v>
      </c>
      <c r="I45" s="1" t="str">
        <f t="shared" si="1"/>
        <v>d18</v>
      </c>
      <c r="J45" s="1" t="s">
        <v>426</v>
      </c>
    </row>
    <row r="46" spans="1:10" x14ac:dyDescent="0.3">
      <c r="A46" s="1" t="s">
        <v>427</v>
      </c>
      <c r="B46" s="1" t="s">
        <v>428</v>
      </c>
      <c r="C46" s="1" t="s">
        <v>343</v>
      </c>
      <c r="D46" s="1" t="s">
        <v>374</v>
      </c>
      <c r="E46" s="6" t="s">
        <v>430</v>
      </c>
      <c r="F46" s="1" t="s">
        <v>417</v>
      </c>
      <c r="G46" s="1" t="s">
        <v>12</v>
      </c>
      <c r="H46" s="1" t="s">
        <v>71</v>
      </c>
      <c r="I46" s="1" t="str">
        <f t="shared" si="1"/>
        <v>d11</v>
      </c>
    </row>
    <row r="47" spans="1:10" x14ac:dyDescent="0.3">
      <c r="A47" s="1" t="s">
        <v>427</v>
      </c>
      <c r="B47" s="1" t="s">
        <v>428</v>
      </c>
      <c r="C47" s="1" t="s">
        <v>343</v>
      </c>
      <c r="D47" s="1" t="s">
        <v>374</v>
      </c>
      <c r="E47" s="6" t="s">
        <v>430</v>
      </c>
      <c r="F47" s="1" t="s">
        <v>416</v>
      </c>
      <c r="G47" s="1" t="s">
        <v>11</v>
      </c>
      <c r="H47" s="1" t="s">
        <v>71</v>
      </c>
      <c r="I47" s="1" t="str">
        <f t="shared" si="1"/>
        <v>d13</v>
      </c>
    </row>
    <row r="48" spans="1:10" x14ac:dyDescent="0.3">
      <c r="A48" s="1" t="s">
        <v>427</v>
      </c>
      <c r="B48" s="1" t="s">
        <v>428</v>
      </c>
      <c r="C48" s="1" t="s">
        <v>343</v>
      </c>
      <c r="D48" s="1" t="s">
        <v>374</v>
      </c>
      <c r="E48" s="6" t="s">
        <v>430</v>
      </c>
      <c r="F48" s="1" t="s">
        <v>432</v>
      </c>
      <c r="G48" s="1" t="s">
        <v>79</v>
      </c>
      <c r="H48" s="1" t="s">
        <v>76</v>
      </c>
      <c r="I48" s="1" t="str">
        <f t="shared" si="1"/>
        <v>d18</v>
      </c>
    </row>
    <row r="49" spans="1:10" x14ac:dyDescent="0.3">
      <c r="A49" s="1" t="s">
        <v>433</v>
      </c>
      <c r="B49" s="1" t="s">
        <v>434</v>
      </c>
      <c r="C49" s="1" t="s">
        <v>343</v>
      </c>
      <c r="D49" s="1" t="s">
        <v>374</v>
      </c>
      <c r="E49" s="6" t="s">
        <v>435</v>
      </c>
      <c r="F49" s="1" t="s">
        <v>436</v>
      </c>
      <c r="G49" s="1" t="s">
        <v>76</v>
      </c>
      <c r="H49" s="1" t="s">
        <v>76</v>
      </c>
      <c r="I49" s="1" t="str">
        <f t="shared" si="1"/>
        <v>d16</v>
      </c>
    </row>
    <row r="50" spans="1:10" x14ac:dyDescent="0.3">
      <c r="A50" s="1" t="s">
        <v>433</v>
      </c>
      <c r="B50" s="1" t="s">
        <v>434</v>
      </c>
      <c r="C50" s="1" t="s">
        <v>343</v>
      </c>
      <c r="D50" s="1" t="s">
        <v>374</v>
      </c>
      <c r="E50" s="6" t="s">
        <v>435</v>
      </c>
      <c r="F50" s="1" t="s">
        <v>432</v>
      </c>
      <c r="G50" s="1" t="s">
        <v>79</v>
      </c>
      <c r="H50" s="1" t="s">
        <v>76</v>
      </c>
      <c r="I50" s="1" t="str">
        <f t="shared" si="1"/>
        <v>d18</v>
      </c>
    </row>
    <row r="51" spans="1:10" x14ac:dyDescent="0.3">
      <c r="A51" s="1" t="s">
        <v>433</v>
      </c>
      <c r="B51" s="1" t="s">
        <v>434</v>
      </c>
      <c r="C51" s="1" t="s">
        <v>343</v>
      </c>
      <c r="D51" s="1" t="s">
        <v>374</v>
      </c>
      <c r="E51" s="6" t="s">
        <v>435</v>
      </c>
      <c r="F51" s="1" t="s">
        <v>416</v>
      </c>
      <c r="G51" s="1" t="s">
        <v>11</v>
      </c>
      <c r="H51" s="1" t="s">
        <v>71</v>
      </c>
      <c r="I51" s="1" t="str">
        <f t="shared" si="1"/>
        <v>d13</v>
      </c>
    </row>
    <row r="52" spans="1:10" x14ac:dyDescent="0.3">
      <c r="A52" s="1" t="s">
        <v>437</v>
      </c>
      <c r="B52" s="1" t="s">
        <v>438</v>
      </c>
      <c r="C52" s="1" t="s">
        <v>343</v>
      </c>
      <c r="D52" s="1" t="s">
        <v>374</v>
      </c>
      <c r="E52" s="6" t="s">
        <v>439</v>
      </c>
      <c r="F52" s="1" t="s">
        <v>440</v>
      </c>
      <c r="G52" s="1" t="s">
        <v>2</v>
      </c>
      <c r="H52" s="1" t="s">
        <v>71</v>
      </c>
      <c r="I52" s="1" t="str">
        <f t="shared" si="1"/>
        <v>d08</v>
      </c>
    </row>
    <row r="53" spans="1:10" x14ac:dyDescent="0.3">
      <c r="A53" s="1" t="s">
        <v>437</v>
      </c>
      <c r="B53" s="1" t="s">
        <v>438</v>
      </c>
      <c r="C53" s="1" t="s">
        <v>343</v>
      </c>
      <c r="D53" s="1" t="s">
        <v>374</v>
      </c>
      <c r="E53" s="6" t="s">
        <v>439</v>
      </c>
      <c r="F53" s="1" t="s">
        <v>417</v>
      </c>
      <c r="G53" s="1" t="s">
        <v>12</v>
      </c>
      <c r="H53" s="1" t="s">
        <v>71</v>
      </c>
      <c r="I53" s="1" t="str">
        <f t="shared" si="1"/>
        <v>d11</v>
      </c>
    </row>
    <row r="54" spans="1:10" x14ac:dyDescent="0.3">
      <c r="A54" s="1" t="s">
        <v>437</v>
      </c>
      <c r="B54" s="1" t="s">
        <v>438</v>
      </c>
      <c r="C54" s="1" t="s">
        <v>343</v>
      </c>
      <c r="D54" s="1" t="s">
        <v>374</v>
      </c>
      <c r="E54" s="6" t="s">
        <v>439</v>
      </c>
      <c r="F54" s="1" t="s">
        <v>441</v>
      </c>
      <c r="G54" s="1" t="s">
        <v>78</v>
      </c>
      <c r="H54" s="1" t="s">
        <v>71</v>
      </c>
      <c r="I54" s="1" t="str">
        <f t="shared" si="1"/>
        <v>d15</v>
      </c>
    </row>
    <row r="55" spans="1:10" x14ac:dyDescent="0.3">
      <c r="A55" s="1" t="s">
        <v>437</v>
      </c>
      <c r="B55" s="1" t="s">
        <v>438</v>
      </c>
      <c r="C55" s="1" t="s">
        <v>343</v>
      </c>
      <c r="D55" s="1" t="s">
        <v>374</v>
      </c>
      <c r="E55" s="6" t="s">
        <v>439</v>
      </c>
      <c r="F55" s="1" t="s">
        <v>441</v>
      </c>
      <c r="G55" s="1" t="s">
        <v>11</v>
      </c>
      <c r="H55" s="1" t="s">
        <v>71</v>
      </c>
      <c r="I55" s="1" t="str">
        <f t="shared" si="1"/>
        <v>d13</v>
      </c>
    </row>
    <row r="56" spans="1:10" x14ac:dyDescent="0.3">
      <c r="A56" s="1" t="s">
        <v>443</v>
      </c>
      <c r="B56" s="1" t="s">
        <v>444</v>
      </c>
      <c r="C56" s="1" t="s">
        <v>343</v>
      </c>
      <c r="D56" s="1" t="s">
        <v>374</v>
      </c>
      <c r="E56" s="12" t="s">
        <v>445</v>
      </c>
      <c r="F56" s="1" t="s">
        <v>454</v>
      </c>
      <c r="G56" s="1" t="s">
        <v>67</v>
      </c>
      <c r="H56" s="1" t="s">
        <v>55</v>
      </c>
      <c r="I56" s="1" t="str">
        <f t="shared" si="1"/>
        <v>d01</v>
      </c>
    </row>
    <row r="57" spans="1:10" x14ac:dyDescent="0.3">
      <c r="A57" s="1" t="s">
        <v>443</v>
      </c>
      <c r="B57" s="1" t="s">
        <v>444</v>
      </c>
      <c r="C57" s="1" t="s">
        <v>343</v>
      </c>
      <c r="D57" s="1" t="s">
        <v>374</v>
      </c>
      <c r="E57" s="12" t="s">
        <v>445</v>
      </c>
      <c r="F57" s="1" t="s">
        <v>453</v>
      </c>
      <c r="G57" s="1" t="s">
        <v>11</v>
      </c>
      <c r="H57" s="1" t="s">
        <v>71</v>
      </c>
      <c r="I57" s="1" t="str">
        <f t="shared" si="1"/>
        <v>d13</v>
      </c>
    </row>
    <row r="58" spans="1:10" x14ac:dyDescent="0.3">
      <c r="A58" s="1" t="s">
        <v>443</v>
      </c>
      <c r="B58" s="1" t="s">
        <v>444</v>
      </c>
      <c r="C58" s="1" t="s">
        <v>343</v>
      </c>
      <c r="D58" s="1" t="s">
        <v>374</v>
      </c>
      <c r="E58" s="12" t="s">
        <v>445</v>
      </c>
      <c r="F58" s="1" t="s">
        <v>417</v>
      </c>
      <c r="G58" s="1" t="s">
        <v>12</v>
      </c>
      <c r="H58" s="1" t="s">
        <v>71</v>
      </c>
      <c r="I58" s="1" t="str">
        <f t="shared" si="1"/>
        <v>d11</v>
      </c>
    </row>
    <row r="59" spans="1:10" x14ac:dyDescent="0.3">
      <c r="A59" s="1" t="s">
        <v>443</v>
      </c>
      <c r="B59" s="1" t="s">
        <v>444</v>
      </c>
      <c r="C59" s="1" t="s">
        <v>343</v>
      </c>
      <c r="D59" s="1" t="s">
        <v>374</v>
      </c>
      <c r="E59" s="12" t="s">
        <v>445</v>
      </c>
      <c r="F59" s="1" t="s">
        <v>455</v>
      </c>
      <c r="G59" s="1" t="s">
        <v>76</v>
      </c>
      <c r="H59" s="1" t="s">
        <v>76</v>
      </c>
      <c r="I59" s="1" t="str">
        <f t="shared" si="1"/>
        <v>d16</v>
      </c>
    </row>
    <row r="60" spans="1:10" x14ac:dyDescent="0.3">
      <c r="A60" s="1" t="s">
        <v>443</v>
      </c>
      <c r="B60" s="1" t="s">
        <v>444</v>
      </c>
      <c r="C60" s="1" t="s">
        <v>343</v>
      </c>
      <c r="D60" s="1" t="s">
        <v>374</v>
      </c>
      <c r="E60" s="12" t="s">
        <v>445</v>
      </c>
      <c r="F60" s="1" t="s">
        <v>456</v>
      </c>
      <c r="G60" s="1" t="s">
        <v>78</v>
      </c>
      <c r="H60" s="1" t="s">
        <v>76</v>
      </c>
      <c r="I60" s="1" t="str">
        <f t="shared" si="1"/>
        <v>d15</v>
      </c>
      <c r="J60" s="1" t="s">
        <v>448</v>
      </c>
    </row>
    <row r="61" spans="1:10" x14ac:dyDescent="0.3">
      <c r="A61" s="1" t="s">
        <v>450</v>
      </c>
      <c r="B61" s="1" t="s">
        <v>451</v>
      </c>
      <c r="C61" s="1" t="s">
        <v>343</v>
      </c>
      <c r="D61" s="1" t="s">
        <v>374</v>
      </c>
      <c r="E61" s="12" t="s">
        <v>459</v>
      </c>
      <c r="F61" s="1" t="s">
        <v>457</v>
      </c>
      <c r="G61" s="1" t="s">
        <v>12</v>
      </c>
      <c r="H61" s="1" t="s">
        <v>71</v>
      </c>
      <c r="I61" s="1" t="str">
        <f t="shared" si="1"/>
        <v>d11</v>
      </c>
    </row>
    <row r="62" spans="1:10" x14ac:dyDescent="0.3">
      <c r="A62" s="1" t="s">
        <v>450</v>
      </c>
      <c r="B62" s="1" t="s">
        <v>451</v>
      </c>
      <c r="C62" s="1" t="s">
        <v>343</v>
      </c>
      <c r="D62" s="1" t="s">
        <v>374</v>
      </c>
      <c r="E62" s="12" t="s">
        <v>459</v>
      </c>
      <c r="F62" s="1" t="s">
        <v>453</v>
      </c>
      <c r="G62" s="1" t="s">
        <v>11</v>
      </c>
      <c r="H62" s="1" t="s">
        <v>71</v>
      </c>
      <c r="I62" s="1" t="str">
        <f t="shared" si="1"/>
        <v>d13</v>
      </c>
    </row>
    <row r="63" spans="1:10" x14ac:dyDescent="0.3">
      <c r="A63" s="1" t="s">
        <v>450</v>
      </c>
      <c r="B63" s="1" t="s">
        <v>451</v>
      </c>
      <c r="C63" s="1" t="s">
        <v>343</v>
      </c>
      <c r="D63" s="1" t="s">
        <v>374</v>
      </c>
      <c r="E63" s="12" t="s">
        <v>459</v>
      </c>
      <c r="F63" s="1" t="s">
        <v>458</v>
      </c>
      <c r="G63" s="1" t="s">
        <v>76</v>
      </c>
      <c r="H63" s="1" t="s">
        <v>76</v>
      </c>
      <c r="I63" s="1" t="str">
        <f t="shared" si="1"/>
        <v>d16</v>
      </c>
    </row>
    <row r="64" spans="1:10" x14ac:dyDescent="0.3">
      <c r="A64" s="1" t="s">
        <v>464</v>
      </c>
      <c r="B64" s="1" t="s">
        <v>465</v>
      </c>
      <c r="C64" s="1" t="s">
        <v>343</v>
      </c>
      <c r="D64" s="1" t="s">
        <v>374</v>
      </c>
      <c r="E64" s="12" t="s">
        <v>466</v>
      </c>
      <c r="F64" s="1" t="s">
        <v>458</v>
      </c>
      <c r="G64" s="1" t="s">
        <v>76</v>
      </c>
      <c r="H64" s="1" t="s">
        <v>76</v>
      </c>
      <c r="I64" s="1" t="str">
        <f t="shared" si="1"/>
        <v>d16</v>
      </c>
    </row>
    <row r="65" spans="1:10" x14ac:dyDescent="0.3">
      <c r="A65" s="1" t="s">
        <v>464</v>
      </c>
      <c r="B65" s="1" t="s">
        <v>465</v>
      </c>
      <c r="C65" s="1" t="s">
        <v>343</v>
      </c>
      <c r="D65" s="1" t="s">
        <v>374</v>
      </c>
      <c r="E65" s="12" t="s">
        <v>466</v>
      </c>
      <c r="F65" s="14" t="s">
        <v>467</v>
      </c>
      <c r="G65" s="14" t="s">
        <v>73</v>
      </c>
      <c r="H65" s="18" t="s">
        <v>71</v>
      </c>
      <c r="I65" s="14" t="str">
        <f t="shared" si="1"/>
        <v>d07</v>
      </c>
    </row>
    <row r="66" spans="1:10" x14ac:dyDescent="0.3">
      <c r="A66" s="1" t="s">
        <v>464</v>
      </c>
      <c r="B66" s="1" t="s">
        <v>465</v>
      </c>
      <c r="C66" s="1" t="s">
        <v>343</v>
      </c>
      <c r="D66" s="1" t="s">
        <v>374</v>
      </c>
      <c r="E66" s="12" t="s">
        <v>466</v>
      </c>
      <c r="F66" s="1" t="s">
        <v>468</v>
      </c>
      <c r="G66" s="1" t="s">
        <v>72</v>
      </c>
      <c r="H66" s="1" t="s">
        <v>71</v>
      </c>
      <c r="I66" s="1" t="str">
        <f t="shared" si="1"/>
        <v>d06</v>
      </c>
    </row>
    <row r="67" spans="1:10" x14ac:dyDescent="0.3">
      <c r="A67" s="1" t="s">
        <v>464</v>
      </c>
      <c r="B67" s="1" t="s">
        <v>465</v>
      </c>
      <c r="C67" s="1" t="s">
        <v>343</v>
      </c>
      <c r="D67" s="1" t="s">
        <v>374</v>
      </c>
      <c r="E67" s="12" t="s">
        <v>466</v>
      </c>
      <c r="F67" s="1" t="s">
        <v>415</v>
      </c>
      <c r="G67" s="1" t="s">
        <v>59</v>
      </c>
      <c r="H67" s="1" t="s">
        <v>71</v>
      </c>
      <c r="I67" s="1" t="str">
        <f t="shared" si="1"/>
        <v>d10</v>
      </c>
    </row>
    <row r="68" spans="1:10" x14ac:dyDescent="0.3">
      <c r="A68" s="1" t="s">
        <v>469</v>
      </c>
      <c r="B68" s="1" t="s">
        <v>470</v>
      </c>
      <c r="C68" s="1" t="s">
        <v>343</v>
      </c>
      <c r="D68" s="1" t="s">
        <v>374</v>
      </c>
      <c r="E68" s="12" t="s">
        <v>471</v>
      </c>
      <c r="F68" s="1" t="s">
        <v>472</v>
      </c>
      <c r="G68" s="1" t="s">
        <v>34</v>
      </c>
      <c r="H68" s="1" t="s">
        <v>71</v>
      </c>
      <c r="I68" s="1" t="str">
        <f t="shared" ref="I68:I112" si="2">VLOOKUP(G68,$M$2:$N$19,2,FALSE)</f>
        <v>d17</v>
      </c>
    </row>
    <row r="69" spans="1:10" x14ac:dyDescent="0.3">
      <c r="A69" s="1" t="s">
        <v>469</v>
      </c>
      <c r="B69" s="1" t="s">
        <v>470</v>
      </c>
      <c r="C69" s="1" t="s">
        <v>343</v>
      </c>
      <c r="D69" s="1" t="s">
        <v>374</v>
      </c>
      <c r="E69" s="12" t="s">
        <v>471</v>
      </c>
      <c r="F69" s="1" t="s">
        <v>473</v>
      </c>
      <c r="G69" s="1" t="s">
        <v>78</v>
      </c>
      <c r="H69" s="1" t="s">
        <v>71</v>
      </c>
      <c r="I69" s="1" t="str">
        <f t="shared" si="2"/>
        <v>d15</v>
      </c>
    </row>
    <row r="70" spans="1:10" x14ac:dyDescent="0.3">
      <c r="A70" s="1" t="s">
        <v>469</v>
      </c>
      <c r="B70" s="1" t="s">
        <v>470</v>
      </c>
      <c r="C70" s="1" t="s">
        <v>343</v>
      </c>
      <c r="D70" s="1" t="s">
        <v>374</v>
      </c>
      <c r="E70" s="12" t="s">
        <v>471</v>
      </c>
      <c r="F70" s="1" t="s">
        <v>414</v>
      </c>
      <c r="G70" s="1" t="s">
        <v>72</v>
      </c>
      <c r="H70" s="1" t="s">
        <v>71</v>
      </c>
      <c r="I70" s="1" t="str">
        <f t="shared" si="2"/>
        <v>d06</v>
      </c>
    </row>
    <row r="71" spans="1:10" x14ac:dyDescent="0.3">
      <c r="A71" s="1" t="s">
        <v>469</v>
      </c>
      <c r="B71" s="1" t="s">
        <v>470</v>
      </c>
      <c r="C71" s="1" t="s">
        <v>343</v>
      </c>
      <c r="D71" s="1" t="s">
        <v>374</v>
      </c>
      <c r="E71" s="12" t="s">
        <v>471</v>
      </c>
      <c r="F71" s="1" t="s">
        <v>417</v>
      </c>
      <c r="G71" s="1" t="s">
        <v>12</v>
      </c>
      <c r="H71" s="1" t="s">
        <v>71</v>
      </c>
      <c r="I71" s="1" t="str">
        <f t="shared" si="2"/>
        <v>d11</v>
      </c>
    </row>
    <row r="72" spans="1:10" x14ac:dyDescent="0.3">
      <c r="A72" s="1" t="s">
        <v>474</v>
      </c>
      <c r="B72" s="1" t="s">
        <v>475</v>
      </c>
      <c r="C72" s="1" t="s">
        <v>343</v>
      </c>
      <c r="D72" s="1" t="s">
        <v>374</v>
      </c>
      <c r="E72" s="12" t="s">
        <v>476</v>
      </c>
      <c r="F72" s="1" t="s">
        <v>453</v>
      </c>
      <c r="G72" s="1" t="s">
        <v>11</v>
      </c>
      <c r="H72" s="1" t="s">
        <v>71</v>
      </c>
      <c r="I72" s="1" t="str">
        <f t="shared" si="2"/>
        <v>d13</v>
      </c>
    </row>
    <row r="73" spans="1:10" x14ac:dyDescent="0.3">
      <c r="A73" s="1" t="s">
        <v>474</v>
      </c>
      <c r="B73" s="1" t="s">
        <v>475</v>
      </c>
      <c r="C73" s="1" t="s">
        <v>343</v>
      </c>
      <c r="D73" s="1" t="s">
        <v>374</v>
      </c>
      <c r="E73" s="12" t="s">
        <v>476</v>
      </c>
      <c r="F73" s="1" t="s">
        <v>477</v>
      </c>
      <c r="G73" s="1" t="s">
        <v>76</v>
      </c>
      <c r="H73" s="1" t="s">
        <v>76</v>
      </c>
      <c r="I73" s="1" t="str">
        <f t="shared" si="2"/>
        <v>d16</v>
      </c>
    </row>
    <row r="74" spans="1:10" x14ac:dyDescent="0.3">
      <c r="A74" s="1" t="s">
        <v>474</v>
      </c>
      <c r="B74" s="1" t="s">
        <v>475</v>
      </c>
      <c r="C74" s="1" t="s">
        <v>343</v>
      </c>
      <c r="D74" s="1" t="s">
        <v>374</v>
      </c>
      <c r="E74" s="12" t="s">
        <v>476</v>
      </c>
      <c r="F74" s="1" t="s">
        <v>473</v>
      </c>
      <c r="G74" s="1" t="s">
        <v>78</v>
      </c>
      <c r="H74" s="1" t="s">
        <v>76</v>
      </c>
      <c r="I74" s="1" t="str">
        <f t="shared" si="2"/>
        <v>d15</v>
      </c>
    </row>
    <row r="75" spans="1:10" x14ac:dyDescent="0.3">
      <c r="A75" s="1" t="s">
        <v>474</v>
      </c>
      <c r="B75" s="1" t="s">
        <v>475</v>
      </c>
      <c r="C75" s="1" t="s">
        <v>343</v>
      </c>
      <c r="D75" s="1" t="s">
        <v>374</v>
      </c>
      <c r="E75" s="12" t="s">
        <v>476</v>
      </c>
      <c r="F75" s="1" t="s">
        <v>457</v>
      </c>
      <c r="G75" s="1" t="s">
        <v>12</v>
      </c>
      <c r="H75" s="1" t="s">
        <v>71</v>
      </c>
      <c r="I75" s="1" t="str">
        <f t="shared" si="2"/>
        <v>d11</v>
      </c>
    </row>
    <row r="76" spans="1:10" x14ac:dyDescent="0.3">
      <c r="A76" s="1" t="s">
        <v>474</v>
      </c>
      <c r="B76" s="1" t="s">
        <v>475</v>
      </c>
      <c r="C76" s="1" t="s">
        <v>343</v>
      </c>
      <c r="D76" s="1" t="s">
        <v>374</v>
      </c>
      <c r="E76" s="12" t="s">
        <v>476</v>
      </c>
      <c r="F76" s="1" t="s">
        <v>415</v>
      </c>
      <c r="G76" s="1" t="s">
        <v>59</v>
      </c>
      <c r="H76" s="1" t="s">
        <v>71</v>
      </c>
      <c r="I76" s="1" t="str">
        <f t="shared" si="2"/>
        <v>d10</v>
      </c>
    </row>
    <row r="77" spans="1:10" x14ac:dyDescent="0.3">
      <c r="A77" s="1" t="s">
        <v>474</v>
      </c>
      <c r="B77" s="1" t="s">
        <v>475</v>
      </c>
      <c r="C77" s="1" t="s">
        <v>343</v>
      </c>
      <c r="D77" s="1" t="s">
        <v>374</v>
      </c>
      <c r="E77" s="12" t="s">
        <v>476</v>
      </c>
      <c r="F77" s="1" t="s">
        <v>478</v>
      </c>
      <c r="G77" s="1" t="s">
        <v>73</v>
      </c>
      <c r="H77" s="1" t="s">
        <v>71</v>
      </c>
      <c r="I77" s="1" t="str">
        <f t="shared" si="2"/>
        <v>d07</v>
      </c>
    </row>
    <row r="78" spans="1:10" x14ac:dyDescent="0.3">
      <c r="A78" s="1" t="s">
        <v>482</v>
      </c>
      <c r="B78" s="1" t="s">
        <v>483</v>
      </c>
      <c r="C78" s="1" t="s">
        <v>343</v>
      </c>
      <c r="D78" s="1" t="s">
        <v>374</v>
      </c>
      <c r="E78" s="12" t="s">
        <v>479</v>
      </c>
      <c r="F78" s="1" t="s">
        <v>480</v>
      </c>
      <c r="G78" s="1" t="s">
        <v>79</v>
      </c>
      <c r="H78" s="1" t="s">
        <v>76</v>
      </c>
      <c r="I78" s="1" t="str">
        <f t="shared" si="2"/>
        <v>d18</v>
      </c>
      <c r="J78" s="1" t="s">
        <v>481</v>
      </c>
    </row>
    <row r="79" spans="1:10" x14ac:dyDescent="0.3">
      <c r="A79" s="1" t="s">
        <v>485</v>
      </c>
      <c r="B79" s="1" t="s">
        <v>486</v>
      </c>
      <c r="C79" s="1" t="s">
        <v>343</v>
      </c>
      <c r="D79" s="1" t="s">
        <v>374</v>
      </c>
      <c r="E79" s="12" t="s">
        <v>487</v>
      </c>
      <c r="F79" s="1" t="s">
        <v>488</v>
      </c>
      <c r="G79" s="1" t="s">
        <v>76</v>
      </c>
      <c r="H79" s="1" t="s">
        <v>76</v>
      </c>
      <c r="I79" s="1" t="str">
        <f t="shared" si="2"/>
        <v>d16</v>
      </c>
    </row>
    <row r="80" spans="1:10" x14ac:dyDescent="0.3">
      <c r="A80" s="1" t="s">
        <v>489</v>
      </c>
      <c r="B80" s="1" t="s">
        <v>490</v>
      </c>
      <c r="C80" s="1" t="s">
        <v>342</v>
      </c>
      <c r="D80" s="1" t="s">
        <v>374</v>
      </c>
      <c r="E80" s="12" t="s">
        <v>491</v>
      </c>
      <c r="F80" s="1" t="s">
        <v>477</v>
      </c>
      <c r="G80" s="1" t="s">
        <v>76</v>
      </c>
      <c r="H80" s="1" t="s">
        <v>76</v>
      </c>
      <c r="I80" s="1" t="str">
        <f t="shared" si="2"/>
        <v>d16</v>
      </c>
    </row>
    <row r="81" spans="1:10" x14ac:dyDescent="0.3">
      <c r="A81" s="1" t="s">
        <v>492</v>
      </c>
      <c r="B81" s="1" t="s">
        <v>493</v>
      </c>
      <c r="C81" s="1" t="s">
        <v>342</v>
      </c>
      <c r="D81" s="1" t="s">
        <v>374</v>
      </c>
      <c r="E81" s="12" t="s">
        <v>494</v>
      </c>
      <c r="F81" s="1" t="s">
        <v>453</v>
      </c>
      <c r="G81" s="1" t="s">
        <v>11</v>
      </c>
      <c r="H81" s="1" t="s">
        <v>71</v>
      </c>
      <c r="I81" s="1" t="str">
        <f t="shared" si="2"/>
        <v>d13</v>
      </c>
    </row>
    <row r="82" spans="1:10" x14ac:dyDescent="0.3">
      <c r="A82" s="1" t="s">
        <v>492</v>
      </c>
      <c r="B82" s="1" t="s">
        <v>493</v>
      </c>
      <c r="C82" s="1" t="s">
        <v>342</v>
      </c>
      <c r="D82" s="1" t="s">
        <v>374</v>
      </c>
      <c r="E82" s="12" t="s">
        <v>494</v>
      </c>
      <c r="F82" s="1" t="s">
        <v>497</v>
      </c>
      <c r="G82" s="1" t="s">
        <v>76</v>
      </c>
      <c r="H82" s="1" t="s">
        <v>76</v>
      </c>
      <c r="I82" s="1" t="str">
        <f t="shared" si="2"/>
        <v>d16</v>
      </c>
    </row>
    <row r="83" spans="1:10" x14ac:dyDescent="0.3">
      <c r="A83" s="1" t="s">
        <v>500</v>
      </c>
      <c r="B83" s="1" t="s">
        <v>501</v>
      </c>
      <c r="C83" s="1" t="s">
        <v>359</v>
      </c>
      <c r="D83" s="1" t="s">
        <v>374</v>
      </c>
      <c r="E83" s="12" t="s">
        <v>499</v>
      </c>
      <c r="F83" s="1" t="s">
        <v>498</v>
      </c>
      <c r="G83" s="1" t="s">
        <v>2</v>
      </c>
      <c r="H83" s="1" t="s">
        <v>76</v>
      </c>
      <c r="I83" s="1" t="str">
        <f t="shared" si="2"/>
        <v>d08</v>
      </c>
    </row>
    <row r="84" spans="1:10" x14ac:dyDescent="0.3">
      <c r="A84" s="1" t="s">
        <v>505</v>
      </c>
      <c r="B84" s="1" t="s">
        <v>506</v>
      </c>
      <c r="C84" s="1" t="s">
        <v>359</v>
      </c>
      <c r="D84" s="1" t="s">
        <v>374</v>
      </c>
      <c r="E84" s="12" t="s">
        <v>507</v>
      </c>
      <c r="F84" s="1" t="s">
        <v>517</v>
      </c>
      <c r="G84" s="1" t="s">
        <v>67</v>
      </c>
      <c r="H84" s="1" t="s">
        <v>55</v>
      </c>
      <c r="I84" s="1" t="str">
        <f t="shared" si="2"/>
        <v>d01</v>
      </c>
    </row>
    <row r="85" spans="1:10" x14ac:dyDescent="0.3">
      <c r="A85" s="1" t="s">
        <v>505</v>
      </c>
      <c r="B85" s="1" t="s">
        <v>506</v>
      </c>
      <c r="C85" s="1" t="s">
        <v>359</v>
      </c>
      <c r="D85" s="1" t="s">
        <v>374</v>
      </c>
      <c r="E85" s="12" t="s">
        <v>507</v>
      </c>
      <c r="F85" s="1" t="s">
        <v>517</v>
      </c>
      <c r="G85" s="1" t="s">
        <v>68</v>
      </c>
      <c r="H85" s="1" t="s">
        <v>55</v>
      </c>
      <c r="I85" s="1" t="str">
        <f t="shared" si="2"/>
        <v>d02</v>
      </c>
    </row>
    <row r="86" spans="1:10" x14ac:dyDescent="0.3">
      <c r="A86" s="1" t="s">
        <v>509</v>
      </c>
      <c r="B86" s="1" t="s">
        <v>510</v>
      </c>
      <c r="C86" s="1" t="s">
        <v>359</v>
      </c>
      <c r="D86" s="1" t="s">
        <v>374</v>
      </c>
      <c r="E86" s="12" t="s">
        <v>511</v>
      </c>
      <c r="F86" s="1" t="s">
        <v>518</v>
      </c>
      <c r="G86" s="1" t="s">
        <v>2</v>
      </c>
      <c r="H86" s="1" t="s">
        <v>71</v>
      </c>
      <c r="I86" s="1" t="str">
        <f t="shared" si="2"/>
        <v>d08</v>
      </c>
    </row>
    <row r="87" spans="1:10" x14ac:dyDescent="0.3">
      <c r="A87" s="1" t="s">
        <v>514</v>
      </c>
      <c r="B87" s="1" t="s">
        <v>515</v>
      </c>
      <c r="C87" s="1" t="s">
        <v>360</v>
      </c>
      <c r="D87" s="1" t="s">
        <v>374</v>
      </c>
      <c r="E87" s="12" t="s">
        <v>520</v>
      </c>
      <c r="F87" s="1" t="s">
        <v>519</v>
      </c>
      <c r="G87" s="1" t="s">
        <v>76</v>
      </c>
      <c r="H87" s="1" t="s">
        <v>76</v>
      </c>
      <c r="I87" s="1" t="str">
        <f t="shared" si="2"/>
        <v>d16</v>
      </c>
    </row>
    <row r="88" spans="1:10" x14ac:dyDescent="0.3">
      <c r="A88" s="1" t="s">
        <v>522</v>
      </c>
      <c r="B88" s="1" t="s">
        <v>523</v>
      </c>
      <c r="C88" s="1" t="s">
        <v>360</v>
      </c>
      <c r="D88" s="1" t="s">
        <v>374</v>
      </c>
      <c r="E88" s="12" t="s">
        <v>524</v>
      </c>
      <c r="F88" s="1" t="s">
        <v>525</v>
      </c>
      <c r="G88" s="1" t="s">
        <v>34</v>
      </c>
      <c r="H88" s="1" t="s">
        <v>76</v>
      </c>
      <c r="I88" s="1" t="str">
        <f t="shared" si="2"/>
        <v>d17</v>
      </c>
    </row>
    <row r="89" spans="1:10" x14ac:dyDescent="0.3">
      <c r="A89" s="1" t="s">
        <v>527</v>
      </c>
      <c r="B89" s="1" t="s">
        <v>528</v>
      </c>
      <c r="C89" s="1" t="s">
        <v>360</v>
      </c>
      <c r="D89" s="1" t="s">
        <v>374</v>
      </c>
      <c r="E89" s="12" t="s">
        <v>526</v>
      </c>
      <c r="F89" s="1" t="s">
        <v>529</v>
      </c>
      <c r="G89" s="1" t="s">
        <v>76</v>
      </c>
      <c r="H89" s="1" t="s">
        <v>76</v>
      </c>
      <c r="I89" s="1" t="str">
        <f t="shared" si="2"/>
        <v>d16</v>
      </c>
      <c r="J89" s="1" t="s">
        <v>530</v>
      </c>
    </row>
    <row r="90" spans="1:10" x14ac:dyDescent="0.3">
      <c r="A90" s="1" t="s">
        <v>543</v>
      </c>
      <c r="B90" s="1" t="s">
        <v>541</v>
      </c>
      <c r="C90" s="1" t="s">
        <v>541</v>
      </c>
      <c r="D90" s="1" t="s">
        <v>374</v>
      </c>
      <c r="E90" s="12" t="s">
        <v>539</v>
      </c>
      <c r="F90" s="1" t="s">
        <v>546</v>
      </c>
      <c r="G90" s="1" t="s">
        <v>57</v>
      </c>
      <c r="H90" s="1" t="s">
        <v>71</v>
      </c>
      <c r="I90" s="1" t="str">
        <f t="shared" si="2"/>
        <v>d09</v>
      </c>
    </row>
    <row r="91" spans="1:10" x14ac:dyDescent="0.3">
      <c r="A91" s="1" t="s">
        <v>543</v>
      </c>
      <c r="B91" s="1" t="s">
        <v>541</v>
      </c>
      <c r="C91" s="1" t="s">
        <v>541</v>
      </c>
      <c r="D91" s="1" t="s">
        <v>374</v>
      </c>
      <c r="E91" s="12" t="s">
        <v>539</v>
      </c>
      <c r="F91" s="1" t="s">
        <v>415</v>
      </c>
      <c r="G91" s="1" t="s">
        <v>59</v>
      </c>
      <c r="H91" s="1" t="s">
        <v>71</v>
      </c>
      <c r="I91" s="1" t="str">
        <f t="shared" si="2"/>
        <v>d10</v>
      </c>
    </row>
    <row r="92" spans="1:10" x14ac:dyDescent="0.3">
      <c r="A92" s="1" t="s">
        <v>543</v>
      </c>
      <c r="B92" s="1" t="s">
        <v>541</v>
      </c>
      <c r="C92" s="1" t="s">
        <v>541</v>
      </c>
      <c r="D92" s="1" t="s">
        <v>374</v>
      </c>
      <c r="E92" s="12" t="s">
        <v>539</v>
      </c>
      <c r="F92" s="1" t="s">
        <v>414</v>
      </c>
      <c r="G92" s="1" t="s">
        <v>72</v>
      </c>
      <c r="H92" s="1" t="s">
        <v>71</v>
      </c>
      <c r="I92" s="1" t="str">
        <f t="shared" si="2"/>
        <v>d06</v>
      </c>
    </row>
    <row r="93" spans="1:10" x14ac:dyDescent="0.3">
      <c r="A93" s="1" t="s">
        <v>543</v>
      </c>
      <c r="B93" s="1" t="s">
        <v>541</v>
      </c>
      <c r="C93" s="1" t="s">
        <v>541</v>
      </c>
      <c r="D93" s="1" t="s">
        <v>374</v>
      </c>
      <c r="E93" s="12" t="s">
        <v>539</v>
      </c>
      <c r="F93" s="1" t="s">
        <v>547</v>
      </c>
      <c r="G93" s="1" t="s">
        <v>64</v>
      </c>
      <c r="H93" s="1" t="s">
        <v>71</v>
      </c>
      <c r="I93" s="1" t="str">
        <f t="shared" si="2"/>
        <v>d12</v>
      </c>
    </row>
    <row r="94" spans="1:10" x14ac:dyDescent="0.3">
      <c r="A94" s="1" t="s">
        <v>543</v>
      </c>
      <c r="B94" s="1" t="s">
        <v>541</v>
      </c>
      <c r="C94" s="1" t="s">
        <v>541</v>
      </c>
      <c r="D94" s="1" t="s">
        <v>374</v>
      </c>
      <c r="E94" s="12" t="s">
        <v>539</v>
      </c>
      <c r="F94" s="1" t="s">
        <v>550</v>
      </c>
      <c r="G94" s="1" t="s">
        <v>48</v>
      </c>
      <c r="H94" s="1" t="s">
        <v>71</v>
      </c>
      <c r="I94" s="1" t="str">
        <f t="shared" si="2"/>
        <v>d05</v>
      </c>
    </row>
    <row r="95" spans="1:10" x14ac:dyDescent="0.3">
      <c r="A95" s="1" t="s">
        <v>563</v>
      </c>
      <c r="B95" s="1" t="s">
        <v>571</v>
      </c>
      <c r="C95" s="1" t="s">
        <v>568</v>
      </c>
      <c r="D95" s="1" t="s">
        <v>139</v>
      </c>
      <c r="E95" s="12" t="s">
        <v>572</v>
      </c>
      <c r="F95" s="1" t="s">
        <v>576</v>
      </c>
      <c r="G95" s="1" t="s">
        <v>2</v>
      </c>
      <c r="H95" s="1" t="s">
        <v>71</v>
      </c>
      <c r="I95" s="1" t="str">
        <f t="shared" si="2"/>
        <v>d08</v>
      </c>
    </row>
    <row r="96" spans="1:10" x14ac:dyDescent="0.3">
      <c r="A96" s="1" t="s">
        <v>563</v>
      </c>
      <c r="B96" s="1" t="s">
        <v>571</v>
      </c>
      <c r="C96" s="1" t="s">
        <v>568</v>
      </c>
      <c r="D96" s="1" t="s">
        <v>139</v>
      </c>
      <c r="E96" s="12" t="s">
        <v>572</v>
      </c>
      <c r="F96" s="1" t="s">
        <v>196</v>
      </c>
      <c r="G96" s="1" t="s">
        <v>69</v>
      </c>
      <c r="H96" s="1" t="s">
        <v>69</v>
      </c>
      <c r="I96" s="1" t="str">
        <f t="shared" si="2"/>
        <v>d03</v>
      </c>
    </row>
    <row r="97" spans="1:10" x14ac:dyDescent="0.3">
      <c r="A97" s="1" t="s">
        <v>563</v>
      </c>
      <c r="B97" s="1" t="s">
        <v>571</v>
      </c>
      <c r="C97" s="1" t="s">
        <v>568</v>
      </c>
      <c r="D97" s="1" t="s">
        <v>139</v>
      </c>
      <c r="E97" s="12" t="s">
        <v>572</v>
      </c>
      <c r="F97" s="1" t="s">
        <v>415</v>
      </c>
      <c r="G97" s="1" t="s">
        <v>59</v>
      </c>
      <c r="H97" s="1" t="s">
        <v>71</v>
      </c>
      <c r="I97" s="1" t="str">
        <f t="shared" si="2"/>
        <v>d10</v>
      </c>
    </row>
    <row r="98" spans="1:10" x14ac:dyDescent="0.3">
      <c r="A98" s="1" t="s">
        <v>563</v>
      </c>
      <c r="B98" s="1" t="s">
        <v>571</v>
      </c>
      <c r="C98" s="1" t="s">
        <v>568</v>
      </c>
      <c r="D98" s="1" t="s">
        <v>139</v>
      </c>
      <c r="E98" s="12" t="s">
        <v>572</v>
      </c>
      <c r="F98" s="1" t="s">
        <v>578</v>
      </c>
      <c r="G98" s="1" t="s">
        <v>64</v>
      </c>
      <c r="H98" s="1" t="s">
        <v>71</v>
      </c>
      <c r="I98" s="1" t="str">
        <f t="shared" si="2"/>
        <v>d12</v>
      </c>
    </row>
    <row r="99" spans="1:10" x14ac:dyDescent="0.3">
      <c r="A99" s="1" t="s">
        <v>563</v>
      </c>
      <c r="B99" s="1" t="s">
        <v>571</v>
      </c>
      <c r="C99" s="1" t="s">
        <v>568</v>
      </c>
      <c r="D99" s="1" t="s">
        <v>139</v>
      </c>
      <c r="E99" s="12" t="s">
        <v>572</v>
      </c>
      <c r="F99" s="1" t="s">
        <v>579</v>
      </c>
      <c r="G99" s="1" t="s">
        <v>57</v>
      </c>
      <c r="H99" s="1" t="s">
        <v>71</v>
      </c>
      <c r="I99" s="1" t="str">
        <f t="shared" si="2"/>
        <v>d09</v>
      </c>
    </row>
    <row r="100" spans="1:10" x14ac:dyDescent="0.3">
      <c r="A100" s="1" t="s">
        <v>580</v>
      </c>
      <c r="B100" s="1" t="s">
        <v>581</v>
      </c>
      <c r="C100" s="1" t="s">
        <v>568</v>
      </c>
      <c r="D100" s="1" t="s">
        <v>139</v>
      </c>
      <c r="E100" s="12" t="s">
        <v>582</v>
      </c>
      <c r="F100" s="1" t="s">
        <v>583</v>
      </c>
      <c r="G100" s="1" t="s">
        <v>69</v>
      </c>
      <c r="H100" s="1" t="s">
        <v>69</v>
      </c>
      <c r="I100" s="1" t="str">
        <f t="shared" si="2"/>
        <v>d03</v>
      </c>
    </row>
    <row r="101" spans="1:10" x14ac:dyDescent="0.3">
      <c r="A101" s="1" t="s">
        <v>580</v>
      </c>
      <c r="B101" s="1" t="s">
        <v>581</v>
      </c>
      <c r="C101" s="1" t="s">
        <v>568</v>
      </c>
      <c r="D101" s="1" t="s">
        <v>139</v>
      </c>
      <c r="E101" s="12" t="s">
        <v>582</v>
      </c>
      <c r="F101" s="1" t="s">
        <v>583</v>
      </c>
      <c r="G101" s="1" t="s">
        <v>64</v>
      </c>
      <c r="H101" s="1" t="s">
        <v>71</v>
      </c>
      <c r="I101" s="1" t="str">
        <f t="shared" si="2"/>
        <v>d12</v>
      </c>
    </row>
    <row r="102" spans="1:10" x14ac:dyDescent="0.3">
      <c r="A102" s="1" t="s">
        <v>593</v>
      </c>
      <c r="B102" s="1" t="s">
        <v>596</v>
      </c>
      <c r="C102" s="1" t="s">
        <v>585</v>
      </c>
      <c r="D102" s="1" t="s">
        <v>374</v>
      </c>
      <c r="E102" s="12" t="s">
        <v>592</v>
      </c>
      <c r="F102" s="1" t="s">
        <v>597</v>
      </c>
      <c r="G102" s="1" t="s">
        <v>76</v>
      </c>
      <c r="H102" s="1" t="s">
        <v>76</v>
      </c>
      <c r="I102" s="1" t="str">
        <f t="shared" si="2"/>
        <v>d16</v>
      </c>
      <c r="J102" s="1" t="s">
        <v>598</v>
      </c>
    </row>
    <row r="103" spans="1:10" x14ac:dyDescent="0.3">
      <c r="A103" s="1" t="s">
        <v>609</v>
      </c>
      <c r="B103" s="1" t="s">
        <v>610</v>
      </c>
      <c r="C103" s="1" t="s">
        <v>600</v>
      </c>
      <c r="D103" s="1" t="s">
        <v>374</v>
      </c>
      <c r="E103" s="12" t="s">
        <v>591</v>
      </c>
      <c r="F103" s="1" t="s">
        <v>612</v>
      </c>
      <c r="G103" s="1" t="s">
        <v>2</v>
      </c>
      <c r="H103" s="1" t="s">
        <v>71</v>
      </c>
      <c r="I103" s="1" t="str">
        <f t="shared" si="2"/>
        <v>d08</v>
      </c>
    </row>
    <row r="104" spans="1:10" x14ac:dyDescent="0.3">
      <c r="A104" s="1" t="s">
        <v>609</v>
      </c>
      <c r="B104" s="1" t="s">
        <v>610</v>
      </c>
      <c r="C104" s="1" t="s">
        <v>600</v>
      </c>
      <c r="D104" s="1" t="s">
        <v>374</v>
      </c>
      <c r="E104" s="12" t="s">
        <v>591</v>
      </c>
      <c r="F104" s="1" t="s">
        <v>577</v>
      </c>
      <c r="G104" s="1" t="s">
        <v>69</v>
      </c>
      <c r="H104" s="1" t="s">
        <v>69</v>
      </c>
      <c r="I104" s="1" t="str">
        <f t="shared" si="2"/>
        <v>d03</v>
      </c>
    </row>
    <row r="105" spans="1:10" x14ac:dyDescent="0.3">
      <c r="A105" s="1" t="s">
        <v>624</v>
      </c>
      <c r="B105" s="1" t="s">
        <v>626</v>
      </c>
      <c r="C105" s="1" t="s">
        <v>616</v>
      </c>
      <c r="D105" s="1" t="s">
        <v>374</v>
      </c>
      <c r="E105" s="12" t="s">
        <v>623</v>
      </c>
      <c r="F105" s="1" t="s">
        <v>627</v>
      </c>
      <c r="G105" s="1" t="s">
        <v>72</v>
      </c>
      <c r="H105" s="1" t="s">
        <v>71</v>
      </c>
      <c r="I105" s="1" t="str">
        <f t="shared" si="2"/>
        <v>d06</v>
      </c>
    </row>
    <row r="106" spans="1:10" x14ac:dyDescent="0.3">
      <c r="A106" s="1" t="s">
        <v>624</v>
      </c>
      <c r="B106" s="1" t="s">
        <v>626</v>
      </c>
      <c r="C106" s="1" t="s">
        <v>616</v>
      </c>
      <c r="D106" s="1" t="s">
        <v>374</v>
      </c>
      <c r="E106" s="12" t="s">
        <v>623</v>
      </c>
      <c r="F106" s="1" t="s">
        <v>628</v>
      </c>
      <c r="G106" s="1" t="s">
        <v>57</v>
      </c>
      <c r="H106" s="1" t="s">
        <v>71</v>
      </c>
      <c r="I106" s="1" t="str">
        <f t="shared" si="2"/>
        <v>d09</v>
      </c>
    </row>
    <row r="107" spans="1:10" x14ac:dyDescent="0.3">
      <c r="A107" s="1" t="s">
        <v>624</v>
      </c>
      <c r="B107" s="1" t="s">
        <v>626</v>
      </c>
      <c r="C107" s="1" t="s">
        <v>616</v>
      </c>
      <c r="D107" s="1" t="s">
        <v>374</v>
      </c>
      <c r="E107" s="12" t="s">
        <v>623</v>
      </c>
      <c r="F107" s="1" t="s">
        <v>415</v>
      </c>
      <c r="G107" s="1" t="s">
        <v>59</v>
      </c>
      <c r="H107" s="1" t="s">
        <v>71</v>
      </c>
      <c r="I107" s="1" t="str">
        <f t="shared" si="2"/>
        <v>d10</v>
      </c>
    </row>
    <row r="108" spans="1:10" x14ac:dyDescent="0.3">
      <c r="A108" s="1" t="s">
        <v>624</v>
      </c>
      <c r="B108" s="1" t="s">
        <v>626</v>
      </c>
      <c r="C108" s="1" t="s">
        <v>616</v>
      </c>
      <c r="D108" s="1" t="s">
        <v>374</v>
      </c>
      <c r="E108" s="12" t="s">
        <v>623</v>
      </c>
      <c r="F108" s="1" t="s">
        <v>629</v>
      </c>
      <c r="G108" s="1" t="s">
        <v>68</v>
      </c>
      <c r="H108" s="1" t="s">
        <v>55</v>
      </c>
      <c r="I108" s="1" t="str">
        <f t="shared" si="2"/>
        <v>d02</v>
      </c>
    </row>
    <row r="109" spans="1:10" x14ac:dyDescent="0.3">
      <c r="A109" s="1" t="s">
        <v>624</v>
      </c>
      <c r="B109" s="1" t="s">
        <v>626</v>
      </c>
      <c r="C109" s="1" t="s">
        <v>616</v>
      </c>
      <c r="D109" s="1" t="s">
        <v>374</v>
      </c>
      <c r="E109" s="12" t="s">
        <v>623</v>
      </c>
      <c r="F109" s="1" t="s">
        <v>631</v>
      </c>
      <c r="G109" s="1" t="s">
        <v>67</v>
      </c>
      <c r="H109" s="1" t="s">
        <v>55</v>
      </c>
      <c r="I109" s="1" t="str">
        <f t="shared" si="2"/>
        <v>d01</v>
      </c>
    </row>
    <row r="110" spans="1:10" x14ac:dyDescent="0.3">
      <c r="A110" s="1" t="s">
        <v>640</v>
      </c>
      <c r="B110" s="1" t="s">
        <v>647</v>
      </c>
      <c r="C110" s="1" t="s">
        <v>648</v>
      </c>
      <c r="D110" s="1" t="s">
        <v>374</v>
      </c>
      <c r="E110" s="12" t="s">
        <v>643</v>
      </c>
      <c r="F110" s="1" t="s">
        <v>518</v>
      </c>
      <c r="G110" s="1" t="s">
        <v>2</v>
      </c>
      <c r="H110" s="1" t="s">
        <v>71</v>
      </c>
      <c r="I110" s="1" t="str">
        <f t="shared" si="2"/>
        <v>d08</v>
      </c>
    </row>
    <row r="111" spans="1:10" x14ac:dyDescent="0.3">
      <c r="A111" s="1" t="s">
        <v>640</v>
      </c>
      <c r="B111" s="1" t="s">
        <v>647</v>
      </c>
      <c r="C111" s="1" t="s">
        <v>648</v>
      </c>
      <c r="D111" s="1" t="s">
        <v>374</v>
      </c>
      <c r="E111" s="12" t="s">
        <v>643</v>
      </c>
      <c r="F111" s="1" t="s">
        <v>649</v>
      </c>
      <c r="G111" s="1" t="s">
        <v>69</v>
      </c>
      <c r="H111" s="1" t="s">
        <v>69</v>
      </c>
      <c r="I111" s="1" t="str">
        <f t="shared" si="2"/>
        <v>d03</v>
      </c>
    </row>
    <row r="112" spans="1:10" x14ac:dyDescent="0.3">
      <c r="A112" s="1" t="s">
        <v>640</v>
      </c>
      <c r="B112" s="1" t="s">
        <v>647</v>
      </c>
      <c r="C112" s="1" t="s">
        <v>648</v>
      </c>
      <c r="D112" s="1" t="s">
        <v>374</v>
      </c>
      <c r="E112" s="12" t="s">
        <v>643</v>
      </c>
      <c r="F112" s="1" t="s">
        <v>650</v>
      </c>
      <c r="G112" s="1" t="s">
        <v>67</v>
      </c>
      <c r="H112" s="1" t="s">
        <v>55</v>
      </c>
      <c r="I112" s="1" t="str">
        <f t="shared" si="2"/>
        <v>d01</v>
      </c>
    </row>
  </sheetData>
  <hyperlinks>
    <hyperlink ref="E2" r:id="rId1"/>
    <hyperlink ref="E3" r:id="rId2"/>
    <hyperlink ref="E4" r:id="rId3"/>
    <hyperlink ref="E5" r:id="rId4"/>
    <hyperlink ref="E6" r:id="rId5"/>
    <hyperlink ref="E7" r:id="rId6" display="https://wwwapps.emnrd.state.nm.us/ocd/ocdpermitting/Data/Wells.aspx"/>
    <hyperlink ref="E8" r:id="rId7" display="https://wwwapps.emnrd.state.nm.us/ocd/ocdpermitting/Data/Wells.aspx"/>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4" r:id="rId21"/>
    <hyperlink ref="E25" r:id="rId22"/>
    <hyperlink ref="E26" r:id="rId23"/>
    <hyperlink ref="E27" r:id="rId24"/>
    <hyperlink ref="E28" r:id="rId25"/>
    <hyperlink ref="E29" r:id="rId26"/>
    <hyperlink ref="E30" r:id="rId27"/>
    <hyperlink ref="E31" r:id="rId28"/>
    <hyperlink ref="E32" r:id="rId29"/>
    <hyperlink ref="E33" r:id="rId30"/>
    <hyperlink ref="E34" r:id="rId31"/>
    <hyperlink ref="E35" r:id="rId32"/>
    <hyperlink ref="E36" r:id="rId33"/>
    <hyperlink ref="E37" r:id="rId34"/>
    <hyperlink ref="E38" r:id="rId35"/>
    <hyperlink ref="E39" r:id="rId36"/>
    <hyperlink ref="E40" r:id="rId37"/>
    <hyperlink ref="E41" r:id="rId38"/>
    <hyperlink ref="E42" r:id="rId39"/>
    <hyperlink ref="E43" r:id="rId40"/>
    <hyperlink ref="E44" r:id="rId41"/>
    <hyperlink ref="E45" r:id="rId42"/>
    <hyperlink ref="E46" r:id="rId43"/>
    <hyperlink ref="E47" r:id="rId44"/>
    <hyperlink ref="E48" r:id="rId45"/>
    <hyperlink ref="E49" r:id="rId46"/>
    <hyperlink ref="E50" r:id="rId47"/>
    <hyperlink ref="E51" r:id="rId48"/>
    <hyperlink ref="E52" r:id="rId49"/>
    <hyperlink ref="E53" r:id="rId50"/>
    <hyperlink ref="E54" r:id="rId51"/>
    <hyperlink ref="E55" r:id="rId52"/>
    <hyperlink ref="E60" r:id="rId53"/>
    <hyperlink ref="E59" r:id="rId54"/>
    <hyperlink ref="E58" r:id="rId55"/>
    <hyperlink ref="E57" r:id="rId56"/>
    <hyperlink ref="E56" r:id="rId57"/>
    <hyperlink ref="E61" r:id="rId58"/>
    <hyperlink ref="E62" r:id="rId59"/>
    <hyperlink ref="E63" r:id="rId60"/>
    <hyperlink ref="E64" r:id="rId61"/>
    <hyperlink ref="E65" r:id="rId62"/>
    <hyperlink ref="E66" r:id="rId63"/>
    <hyperlink ref="E67" r:id="rId64"/>
    <hyperlink ref="E68" r:id="rId65"/>
    <hyperlink ref="E69"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6" r:id="rId82"/>
    <hyperlink ref="E85"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location="PW-Y1" display="https://nmwrri.nmsu.edu/5376-2/ - PW-Y1"/>
    <hyperlink ref="E104" r:id="rId100"/>
    <hyperlink ref="E103" r:id="rId101"/>
    <hyperlink ref="E105" r:id="rId102"/>
    <hyperlink ref="E106" r:id="rId103"/>
    <hyperlink ref="E107" r:id="rId104"/>
    <hyperlink ref="E108" r:id="rId105"/>
    <hyperlink ref="E109" r:id="rId106"/>
    <hyperlink ref="E22" r:id="rId107"/>
    <hyperlink ref="E23" r:id="rId108"/>
    <hyperlink ref="E110" r:id="rId109"/>
    <hyperlink ref="E111" r:id="rId110"/>
    <hyperlink ref="E112" r:id="rId111"/>
  </hyperlinks>
  <pageMargins left="0.7" right="0.7" top="0.75" bottom="0.75" header="0.3" footer="0.3"/>
  <pageSetup orientation="portrait" r:id="rId1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9"/>
  <sheetViews>
    <sheetView workbookViewId="0"/>
  </sheetViews>
  <sheetFormatPr defaultRowHeight="15.6" x14ac:dyDescent="0.3"/>
  <cols>
    <col min="1" max="16384" width="8.796875" style="1"/>
  </cols>
  <sheetData>
    <row r="1" spans="1:2" x14ac:dyDescent="0.3">
      <c r="A1" s="5" t="s">
        <v>32</v>
      </c>
      <c r="B1" s="5" t="s">
        <v>33</v>
      </c>
    </row>
    <row r="2" spans="1:2" x14ac:dyDescent="0.3">
      <c r="A2" s="1" t="s">
        <v>35</v>
      </c>
      <c r="B2" s="1" t="s">
        <v>46</v>
      </c>
    </row>
    <row r="3" spans="1:2" x14ac:dyDescent="0.3">
      <c r="A3" s="1" t="s">
        <v>36</v>
      </c>
      <c r="B3" s="1" t="s">
        <v>47</v>
      </c>
    </row>
    <row r="4" spans="1:2" x14ac:dyDescent="0.3">
      <c r="A4" s="1" t="s">
        <v>37</v>
      </c>
      <c r="B4" s="1" t="s">
        <v>70</v>
      </c>
    </row>
    <row r="5" spans="1:2" x14ac:dyDescent="0.3">
      <c r="A5" s="1" t="s">
        <v>37</v>
      </c>
      <c r="B5" s="1" t="s">
        <v>49</v>
      </c>
    </row>
    <row r="6" spans="1:2" x14ac:dyDescent="0.3">
      <c r="A6" s="1" t="s">
        <v>38</v>
      </c>
      <c r="B6" s="1" t="s">
        <v>46</v>
      </c>
    </row>
    <row r="7" spans="1:2" x14ac:dyDescent="0.3">
      <c r="A7" s="1" t="s">
        <v>39</v>
      </c>
      <c r="B7" s="1" t="s">
        <v>46</v>
      </c>
    </row>
    <row r="8" spans="1:2" x14ac:dyDescent="0.3">
      <c r="A8" s="1" t="s">
        <v>39</v>
      </c>
      <c r="B8" s="1" t="s">
        <v>70</v>
      </c>
    </row>
    <row r="9" spans="1:2" x14ac:dyDescent="0.3">
      <c r="A9" s="1" t="s">
        <v>40</v>
      </c>
      <c r="B9" s="1" t="s">
        <v>65</v>
      </c>
    </row>
    <row r="10" spans="1:2" x14ac:dyDescent="0.3">
      <c r="A10" s="1" t="s">
        <v>40</v>
      </c>
      <c r="B10" s="1" t="s">
        <v>70</v>
      </c>
    </row>
    <row r="11" spans="1:2" x14ac:dyDescent="0.3">
      <c r="A11" s="1" t="s">
        <v>41</v>
      </c>
      <c r="B11" s="1" t="s">
        <v>54</v>
      </c>
    </row>
    <row r="12" spans="1:2" x14ac:dyDescent="0.3">
      <c r="A12" s="1" t="s">
        <v>42</v>
      </c>
      <c r="B12" s="1" t="s">
        <v>70</v>
      </c>
    </row>
    <row r="13" spans="1:2" x14ac:dyDescent="0.3">
      <c r="A13" s="1" t="s">
        <v>42</v>
      </c>
      <c r="B13" s="1" t="s">
        <v>54</v>
      </c>
    </row>
    <row r="14" spans="1:2" x14ac:dyDescent="0.3">
      <c r="A14" s="1" t="s">
        <v>43</v>
      </c>
      <c r="B14" s="1" t="s">
        <v>70</v>
      </c>
    </row>
    <row r="15" spans="1:2" x14ac:dyDescent="0.3">
      <c r="A15" s="1" t="s">
        <v>44</v>
      </c>
      <c r="B15" s="1" t="s">
        <v>46</v>
      </c>
    </row>
    <row r="16" spans="1:2" x14ac:dyDescent="0.3">
      <c r="A16" s="1" t="s">
        <v>44</v>
      </c>
      <c r="B16" s="1" t="s">
        <v>47</v>
      </c>
    </row>
    <row r="17" spans="1:2" x14ac:dyDescent="0.3">
      <c r="A17" s="1" t="s">
        <v>44</v>
      </c>
      <c r="B17" s="1" t="s">
        <v>49</v>
      </c>
    </row>
    <row r="18" spans="1:2" x14ac:dyDescent="0.3">
      <c r="A18" s="1" t="s">
        <v>44</v>
      </c>
      <c r="B18" s="1" t="s">
        <v>70</v>
      </c>
    </row>
    <row r="19" spans="1:2" x14ac:dyDescent="0.3">
      <c r="A19" s="1" t="s">
        <v>45</v>
      </c>
      <c r="B19" s="1" t="s">
        <v>70</v>
      </c>
    </row>
    <row r="20" spans="1:2" x14ac:dyDescent="0.3">
      <c r="A20" s="1" t="s">
        <v>278</v>
      </c>
      <c r="B20" s="1" t="s">
        <v>66</v>
      </c>
    </row>
    <row r="21" spans="1:2" x14ac:dyDescent="0.3">
      <c r="A21" s="1" t="s">
        <v>292</v>
      </c>
      <c r="B21" s="1" t="s">
        <v>66</v>
      </c>
    </row>
    <row r="22" spans="1:2" x14ac:dyDescent="0.3">
      <c r="A22" s="1" t="s">
        <v>303</v>
      </c>
      <c r="B22" s="1" t="s">
        <v>65</v>
      </c>
    </row>
    <row r="23" spans="1:2" x14ac:dyDescent="0.3">
      <c r="A23" s="1" t="s">
        <v>303</v>
      </c>
      <c r="B23" s="1" t="s">
        <v>46</v>
      </c>
    </row>
    <row r="24" spans="1:2" x14ac:dyDescent="0.3">
      <c r="A24" s="1" t="s">
        <v>308</v>
      </c>
      <c r="B24" s="1" t="s">
        <v>65</v>
      </c>
    </row>
    <row r="25" spans="1:2" x14ac:dyDescent="0.3">
      <c r="A25" s="1" t="s">
        <v>308</v>
      </c>
      <c r="B25" s="1" t="s">
        <v>49</v>
      </c>
    </row>
    <row r="26" spans="1:2" x14ac:dyDescent="0.3">
      <c r="A26" s="1" t="s">
        <v>308</v>
      </c>
      <c r="B26" s="1" t="s">
        <v>74</v>
      </c>
    </row>
    <row r="27" spans="1:2" x14ac:dyDescent="0.3">
      <c r="A27" s="1" t="s">
        <v>331</v>
      </c>
      <c r="B27" s="1" t="s">
        <v>70</v>
      </c>
    </row>
    <row r="28" spans="1:2" x14ac:dyDescent="0.3">
      <c r="A28" s="1" t="s">
        <v>331</v>
      </c>
      <c r="B28" s="1" t="s">
        <v>65</v>
      </c>
    </row>
    <row r="29" spans="1:2" x14ac:dyDescent="0.3">
      <c r="A29" s="1" t="s">
        <v>371</v>
      </c>
      <c r="B29" s="1" t="s">
        <v>46</v>
      </c>
    </row>
    <row r="30" spans="1:2" x14ac:dyDescent="0.3">
      <c r="A30" s="1" t="s">
        <v>371</v>
      </c>
      <c r="B30" s="1" t="s">
        <v>54</v>
      </c>
    </row>
    <row r="31" spans="1:2" x14ac:dyDescent="0.3">
      <c r="A31" s="1" t="s">
        <v>371</v>
      </c>
      <c r="B31" s="1" t="s">
        <v>63</v>
      </c>
    </row>
    <row r="32" spans="1:2" x14ac:dyDescent="0.3">
      <c r="A32" s="1" t="s">
        <v>382</v>
      </c>
      <c r="B32" s="1" t="s">
        <v>46</v>
      </c>
    </row>
    <row r="33" spans="1:2" x14ac:dyDescent="0.3">
      <c r="A33" s="1" t="s">
        <v>382</v>
      </c>
      <c r="B33" s="1" t="s">
        <v>54</v>
      </c>
    </row>
    <row r="34" spans="1:2" x14ac:dyDescent="0.3">
      <c r="A34" s="1" t="s">
        <v>382</v>
      </c>
      <c r="B34" s="1" t="s">
        <v>63</v>
      </c>
    </row>
    <row r="35" spans="1:2" x14ac:dyDescent="0.3">
      <c r="A35" s="1" t="s">
        <v>382</v>
      </c>
      <c r="B35" s="1" t="s">
        <v>70</v>
      </c>
    </row>
    <row r="36" spans="1:2" x14ac:dyDescent="0.3">
      <c r="A36" s="1" t="s">
        <v>382</v>
      </c>
      <c r="B36" s="1" t="s">
        <v>47</v>
      </c>
    </row>
    <row r="37" spans="1:2" x14ac:dyDescent="0.3">
      <c r="A37" s="1" t="s">
        <v>395</v>
      </c>
      <c r="B37" s="1" t="s">
        <v>46</v>
      </c>
    </row>
    <row r="38" spans="1:2" x14ac:dyDescent="0.3">
      <c r="A38" s="1" t="s">
        <v>395</v>
      </c>
      <c r="B38" s="1" t="s">
        <v>47</v>
      </c>
    </row>
    <row r="39" spans="1:2" x14ac:dyDescent="0.3">
      <c r="A39" s="1" t="s">
        <v>402</v>
      </c>
      <c r="B39" s="1" t="s">
        <v>46</v>
      </c>
    </row>
    <row r="40" spans="1:2" x14ac:dyDescent="0.3">
      <c r="A40" s="1" t="s">
        <v>408</v>
      </c>
      <c r="B40" s="1" t="s">
        <v>51</v>
      </c>
    </row>
    <row r="41" spans="1:2" x14ac:dyDescent="0.3">
      <c r="A41" s="1" t="s">
        <v>408</v>
      </c>
      <c r="B41" s="1" t="s">
        <v>56</v>
      </c>
    </row>
    <row r="42" spans="1:2" x14ac:dyDescent="0.3">
      <c r="A42" s="1" t="s">
        <v>408</v>
      </c>
      <c r="B42" s="1" t="s">
        <v>62</v>
      </c>
    </row>
    <row r="43" spans="1:2" x14ac:dyDescent="0.3">
      <c r="A43" s="1" t="s">
        <v>408</v>
      </c>
      <c r="B43" s="1" t="s">
        <v>58</v>
      </c>
    </row>
    <row r="44" spans="1:2" x14ac:dyDescent="0.3">
      <c r="A44" s="1" t="s">
        <v>408</v>
      </c>
      <c r="B44" s="1" t="s">
        <v>52</v>
      </c>
    </row>
    <row r="45" spans="1:2" x14ac:dyDescent="0.3">
      <c r="A45" s="1" t="s">
        <v>420</v>
      </c>
      <c r="B45" s="1" t="s">
        <v>66</v>
      </c>
    </row>
    <row r="46" spans="1:2" x14ac:dyDescent="0.3">
      <c r="A46" s="1" t="s">
        <v>427</v>
      </c>
      <c r="B46" s="1" t="s">
        <v>58</v>
      </c>
    </row>
    <row r="47" spans="1:2" x14ac:dyDescent="0.3">
      <c r="A47" s="1" t="s">
        <v>427</v>
      </c>
      <c r="B47" s="1" t="s">
        <v>62</v>
      </c>
    </row>
    <row r="48" spans="1:2" x14ac:dyDescent="0.3">
      <c r="A48" s="1" t="s">
        <v>427</v>
      </c>
      <c r="B48" s="1" t="s">
        <v>66</v>
      </c>
    </row>
    <row r="49" spans="1:2" x14ac:dyDescent="0.3">
      <c r="A49" s="1" t="s">
        <v>433</v>
      </c>
      <c r="B49" s="1" t="s">
        <v>63</v>
      </c>
    </row>
    <row r="50" spans="1:2" x14ac:dyDescent="0.3">
      <c r="A50" s="1" t="s">
        <v>433</v>
      </c>
      <c r="B50" s="1" t="s">
        <v>66</v>
      </c>
    </row>
    <row r="51" spans="1:2" x14ac:dyDescent="0.3">
      <c r="A51" s="1" t="s">
        <v>433</v>
      </c>
      <c r="B51" s="1" t="s">
        <v>62</v>
      </c>
    </row>
    <row r="52" spans="1:2" x14ac:dyDescent="0.3">
      <c r="A52" s="1" t="s">
        <v>437</v>
      </c>
      <c r="B52" s="1" t="s">
        <v>54</v>
      </c>
    </row>
    <row r="53" spans="1:2" x14ac:dyDescent="0.3">
      <c r="A53" s="1" t="s">
        <v>437</v>
      </c>
      <c r="B53" s="1" t="s">
        <v>58</v>
      </c>
    </row>
    <row r="54" spans="1:2" x14ac:dyDescent="0.3">
      <c r="A54" s="1" t="s">
        <v>437</v>
      </c>
      <c r="B54" s="1" t="s">
        <v>77</v>
      </c>
    </row>
    <row r="55" spans="1:2" x14ac:dyDescent="0.3">
      <c r="A55" s="1" t="s">
        <v>437</v>
      </c>
      <c r="B55" s="1" t="s">
        <v>62</v>
      </c>
    </row>
    <row r="56" spans="1:2" x14ac:dyDescent="0.3">
      <c r="A56" s="1" t="s">
        <v>443</v>
      </c>
      <c r="B56" s="1" t="s">
        <v>46</v>
      </c>
    </row>
    <row r="57" spans="1:2" x14ac:dyDescent="0.3">
      <c r="A57" s="1" t="s">
        <v>443</v>
      </c>
      <c r="B57" s="1" t="s">
        <v>62</v>
      </c>
    </row>
    <row r="58" spans="1:2" x14ac:dyDescent="0.3">
      <c r="A58" s="1" t="s">
        <v>443</v>
      </c>
      <c r="B58" s="1" t="s">
        <v>58</v>
      </c>
    </row>
    <row r="59" spans="1:2" x14ac:dyDescent="0.3">
      <c r="A59" s="1" t="s">
        <v>443</v>
      </c>
      <c r="B59" s="1" t="s">
        <v>63</v>
      </c>
    </row>
    <row r="60" spans="1:2" x14ac:dyDescent="0.3">
      <c r="A60" s="1" t="s">
        <v>443</v>
      </c>
      <c r="B60" s="1" t="s">
        <v>77</v>
      </c>
    </row>
    <row r="61" spans="1:2" x14ac:dyDescent="0.3">
      <c r="A61" s="1" t="s">
        <v>450</v>
      </c>
      <c r="B61" s="1" t="s">
        <v>58</v>
      </c>
    </row>
    <row r="62" spans="1:2" x14ac:dyDescent="0.3">
      <c r="A62" s="1" t="s">
        <v>450</v>
      </c>
      <c r="B62" s="1" t="s">
        <v>62</v>
      </c>
    </row>
    <row r="63" spans="1:2" x14ac:dyDescent="0.3">
      <c r="A63" s="1" t="s">
        <v>450</v>
      </c>
      <c r="B63" s="14" t="s">
        <v>63</v>
      </c>
    </row>
    <row r="64" spans="1:2" x14ac:dyDescent="0.3">
      <c r="A64" s="1" t="s">
        <v>464</v>
      </c>
      <c r="B64" s="1" t="s">
        <v>63</v>
      </c>
    </row>
    <row r="65" spans="1:2" x14ac:dyDescent="0.3">
      <c r="A65" s="1" t="s">
        <v>464</v>
      </c>
      <c r="B65" s="1" t="s">
        <v>52</v>
      </c>
    </row>
    <row r="66" spans="1:2" x14ac:dyDescent="0.3">
      <c r="A66" s="1" t="s">
        <v>464</v>
      </c>
      <c r="B66" s="1" t="s">
        <v>51</v>
      </c>
    </row>
    <row r="67" spans="1:2" x14ac:dyDescent="0.3">
      <c r="A67" s="1" t="s">
        <v>464</v>
      </c>
      <c r="B67" s="1" t="s">
        <v>56</v>
      </c>
    </row>
    <row r="68" spans="1:2" x14ac:dyDescent="0.3">
      <c r="A68" s="1" t="s">
        <v>469</v>
      </c>
      <c r="B68" s="1" t="s">
        <v>65</v>
      </c>
    </row>
    <row r="69" spans="1:2" x14ac:dyDescent="0.3">
      <c r="A69" s="1" t="s">
        <v>469</v>
      </c>
      <c r="B69" s="1" t="s">
        <v>77</v>
      </c>
    </row>
    <row r="70" spans="1:2" x14ac:dyDescent="0.3">
      <c r="A70" s="1" t="s">
        <v>469</v>
      </c>
      <c r="B70" s="1" t="s">
        <v>51</v>
      </c>
    </row>
    <row r="71" spans="1:2" x14ac:dyDescent="0.3">
      <c r="A71" s="1" t="s">
        <v>469</v>
      </c>
      <c r="B71" s="1" t="s">
        <v>58</v>
      </c>
    </row>
    <row r="72" spans="1:2" x14ac:dyDescent="0.3">
      <c r="A72" s="1" t="s">
        <v>474</v>
      </c>
      <c r="B72" s="1" t="s">
        <v>62</v>
      </c>
    </row>
    <row r="73" spans="1:2" x14ac:dyDescent="0.3">
      <c r="A73" s="1" t="s">
        <v>474</v>
      </c>
      <c r="B73" s="1" t="s">
        <v>63</v>
      </c>
    </row>
    <row r="74" spans="1:2" x14ac:dyDescent="0.3">
      <c r="A74" s="1" t="s">
        <v>474</v>
      </c>
      <c r="B74" s="1" t="s">
        <v>77</v>
      </c>
    </row>
    <row r="75" spans="1:2" x14ac:dyDescent="0.3">
      <c r="A75" s="1" t="s">
        <v>474</v>
      </c>
      <c r="B75" s="1" t="s">
        <v>58</v>
      </c>
    </row>
    <row r="76" spans="1:2" x14ac:dyDescent="0.3">
      <c r="A76" s="1" t="s">
        <v>474</v>
      </c>
      <c r="B76" s="1" t="s">
        <v>56</v>
      </c>
    </row>
    <row r="77" spans="1:2" x14ac:dyDescent="0.3">
      <c r="A77" s="1" t="s">
        <v>474</v>
      </c>
      <c r="B77" s="1" t="s">
        <v>52</v>
      </c>
    </row>
    <row r="78" spans="1:2" x14ac:dyDescent="0.3">
      <c r="A78" s="1" t="s">
        <v>482</v>
      </c>
      <c r="B78" s="1" t="s">
        <v>66</v>
      </c>
    </row>
    <row r="79" spans="1:2" x14ac:dyDescent="0.3">
      <c r="A79" s="1" t="s">
        <v>485</v>
      </c>
      <c r="B79" s="1" t="s">
        <v>63</v>
      </c>
    </row>
    <row r="80" spans="1:2" x14ac:dyDescent="0.3">
      <c r="A80" s="1" t="s">
        <v>489</v>
      </c>
      <c r="B80" s="1" t="s">
        <v>63</v>
      </c>
    </row>
    <row r="81" spans="1:2" x14ac:dyDescent="0.3">
      <c r="A81" s="1" t="s">
        <v>492</v>
      </c>
      <c r="B81" s="1" t="s">
        <v>62</v>
      </c>
    </row>
    <row r="82" spans="1:2" x14ac:dyDescent="0.3">
      <c r="A82" s="1" t="s">
        <v>492</v>
      </c>
      <c r="B82" s="1" t="s">
        <v>63</v>
      </c>
    </row>
    <row r="83" spans="1:2" x14ac:dyDescent="0.3">
      <c r="A83" s="1" t="s">
        <v>500</v>
      </c>
      <c r="B83" s="1" t="s">
        <v>54</v>
      </c>
    </row>
    <row r="84" spans="1:2" x14ac:dyDescent="0.3">
      <c r="A84" s="1" t="s">
        <v>505</v>
      </c>
      <c r="B84" s="1" t="s">
        <v>46</v>
      </c>
    </row>
    <row r="85" spans="1:2" x14ac:dyDescent="0.3">
      <c r="A85" s="1" t="s">
        <v>505</v>
      </c>
      <c r="B85" s="1" t="s">
        <v>47</v>
      </c>
    </row>
    <row r="86" spans="1:2" x14ac:dyDescent="0.3">
      <c r="A86" s="1" t="s">
        <v>509</v>
      </c>
      <c r="B86" s="1" t="s">
        <v>54</v>
      </c>
    </row>
    <row r="87" spans="1:2" x14ac:dyDescent="0.3">
      <c r="A87" s="1" t="s">
        <v>514</v>
      </c>
      <c r="B87" s="1" t="s">
        <v>63</v>
      </c>
    </row>
    <row r="88" spans="1:2" x14ac:dyDescent="0.3">
      <c r="A88" s="1" t="s">
        <v>522</v>
      </c>
      <c r="B88" s="1" t="s">
        <v>65</v>
      </c>
    </row>
    <row r="89" spans="1:2" x14ac:dyDescent="0.3">
      <c r="A89" s="1" t="s">
        <v>527</v>
      </c>
      <c r="B89" s="1" t="s">
        <v>63</v>
      </c>
    </row>
    <row r="90" spans="1:2" x14ac:dyDescent="0.3">
      <c r="A90" s="1" t="s">
        <v>543</v>
      </c>
      <c r="B90" s="1" t="s">
        <v>74</v>
      </c>
    </row>
    <row r="91" spans="1:2" x14ac:dyDescent="0.3">
      <c r="A91" s="1" t="s">
        <v>543</v>
      </c>
      <c r="B91" s="1" t="s">
        <v>56</v>
      </c>
    </row>
    <row r="92" spans="1:2" x14ac:dyDescent="0.3">
      <c r="A92" s="1" t="s">
        <v>543</v>
      </c>
      <c r="B92" s="1" t="s">
        <v>51</v>
      </c>
    </row>
    <row r="93" spans="1:2" x14ac:dyDescent="0.3">
      <c r="A93" s="1" t="s">
        <v>543</v>
      </c>
      <c r="B93" s="1" t="s">
        <v>60</v>
      </c>
    </row>
    <row r="94" spans="1:2" x14ac:dyDescent="0.3">
      <c r="A94" s="1" t="s">
        <v>543</v>
      </c>
      <c r="B94" s="1" t="s">
        <v>50</v>
      </c>
    </row>
    <row r="95" spans="1:2" x14ac:dyDescent="0.3">
      <c r="A95" s="1" t="s">
        <v>563</v>
      </c>
      <c r="B95" s="1" t="s">
        <v>54</v>
      </c>
    </row>
    <row r="96" spans="1:2" x14ac:dyDescent="0.3">
      <c r="A96" s="1" t="s">
        <v>563</v>
      </c>
      <c r="B96" s="1" t="s">
        <v>49</v>
      </c>
    </row>
    <row r="97" spans="1:2" x14ac:dyDescent="0.3">
      <c r="A97" s="1" t="s">
        <v>563</v>
      </c>
      <c r="B97" s="1" t="s">
        <v>56</v>
      </c>
    </row>
    <row r="98" spans="1:2" x14ac:dyDescent="0.3">
      <c r="A98" s="1" t="s">
        <v>563</v>
      </c>
      <c r="B98" s="1" t="s">
        <v>60</v>
      </c>
    </row>
    <row r="99" spans="1:2" x14ac:dyDescent="0.3">
      <c r="A99" s="1" t="s">
        <v>563</v>
      </c>
      <c r="B99" s="1" t="s">
        <v>74</v>
      </c>
    </row>
    <row r="100" spans="1:2" x14ac:dyDescent="0.3">
      <c r="A100" s="1" t="s">
        <v>580</v>
      </c>
      <c r="B100" s="1" t="s">
        <v>49</v>
      </c>
    </row>
    <row r="101" spans="1:2" x14ac:dyDescent="0.3">
      <c r="A101" s="1" t="s">
        <v>580</v>
      </c>
      <c r="B101" s="1" t="s">
        <v>60</v>
      </c>
    </row>
    <row r="102" spans="1:2" x14ac:dyDescent="0.3">
      <c r="A102" s="1" t="s">
        <v>593</v>
      </c>
      <c r="B102" s="1" t="s">
        <v>63</v>
      </c>
    </row>
    <row r="103" spans="1:2" x14ac:dyDescent="0.3">
      <c r="A103" s="1" t="s">
        <v>609</v>
      </c>
      <c r="B103" s="1" t="s">
        <v>54</v>
      </c>
    </row>
    <row r="104" spans="1:2" x14ac:dyDescent="0.3">
      <c r="A104" s="1" t="s">
        <v>609</v>
      </c>
      <c r="B104" s="1" t="s">
        <v>49</v>
      </c>
    </row>
    <row r="105" spans="1:2" x14ac:dyDescent="0.3">
      <c r="A105" s="1" t="s">
        <v>624</v>
      </c>
      <c r="B105" s="1" t="s">
        <v>51</v>
      </c>
    </row>
    <row r="106" spans="1:2" x14ac:dyDescent="0.3">
      <c r="A106" s="1" t="s">
        <v>624</v>
      </c>
      <c r="B106" s="1" t="s">
        <v>74</v>
      </c>
    </row>
    <row r="107" spans="1:2" x14ac:dyDescent="0.3">
      <c r="A107" s="1" t="s">
        <v>624</v>
      </c>
      <c r="B107" s="1" t="s">
        <v>56</v>
      </c>
    </row>
    <row r="108" spans="1:2" x14ac:dyDescent="0.3">
      <c r="A108" s="1" t="s">
        <v>624</v>
      </c>
      <c r="B108" s="1" t="s">
        <v>47</v>
      </c>
    </row>
    <row r="109" spans="1:2" x14ac:dyDescent="0.3">
      <c r="A109" s="1" t="s">
        <v>624</v>
      </c>
      <c r="B109" s="1" t="s">
        <v>46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abSelected="1" zoomScale="80" zoomScaleNormal="80" workbookViewId="0"/>
  </sheetViews>
  <sheetFormatPr defaultRowHeight="15.6" x14ac:dyDescent="0.3"/>
  <cols>
    <col min="1" max="1" width="9.8984375" style="1" bestFit="1" customWidth="1"/>
    <col min="2" max="2" width="29.19921875" style="1" customWidth="1"/>
    <col min="3" max="3" width="12.3984375" style="1" bestFit="1" customWidth="1"/>
    <col min="4" max="16384" width="8.796875" style="1"/>
  </cols>
  <sheetData>
    <row r="1" spans="1:3" x14ac:dyDescent="0.3">
      <c r="A1" s="5" t="s">
        <v>105</v>
      </c>
      <c r="B1" s="5" t="s">
        <v>104</v>
      </c>
      <c r="C1" s="5" t="s">
        <v>103</v>
      </c>
    </row>
    <row r="2" spans="1:3" x14ac:dyDescent="0.3">
      <c r="A2" s="1" t="s">
        <v>46</v>
      </c>
      <c r="B2" s="1" t="s">
        <v>67</v>
      </c>
      <c r="C2" s="1" t="s">
        <v>55</v>
      </c>
    </row>
    <row r="3" spans="1:3" x14ac:dyDescent="0.3">
      <c r="A3" s="1" t="s">
        <v>47</v>
      </c>
      <c r="B3" s="1" t="s">
        <v>68</v>
      </c>
      <c r="C3" s="1" t="s">
        <v>55</v>
      </c>
    </row>
    <row r="4" spans="1:3" x14ac:dyDescent="0.3">
      <c r="A4" s="1" t="s">
        <v>49</v>
      </c>
      <c r="B4" s="1" t="s">
        <v>69</v>
      </c>
      <c r="C4" s="1" t="s">
        <v>69</v>
      </c>
    </row>
    <row r="5" spans="1:3" x14ac:dyDescent="0.3">
      <c r="A5" s="1" t="s">
        <v>70</v>
      </c>
      <c r="B5" s="1" t="s">
        <v>61</v>
      </c>
      <c r="C5" s="1" t="s">
        <v>69</v>
      </c>
    </row>
    <row r="6" spans="1:3" x14ac:dyDescent="0.3">
      <c r="A6" s="1" t="s">
        <v>50</v>
      </c>
      <c r="B6" s="1" t="s">
        <v>48</v>
      </c>
      <c r="C6" s="1" t="s">
        <v>71</v>
      </c>
    </row>
    <row r="7" spans="1:3" x14ac:dyDescent="0.3">
      <c r="A7" s="1" t="s">
        <v>51</v>
      </c>
      <c r="B7" s="1" t="s">
        <v>72</v>
      </c>
      <c r="C7" s="1" t="s">
        <v>71</v>
      </c>
    </row>
    <row r="8" spans="1:3" x14ac:dyDescent="0.3">
      <c r="A8" s="1" t="s">
        <v>52</v>
      </c>
      <c r="B8" s="1" t="s">
        <v>73</v>
      </c>
      <c r="C8" s="1" t="s">
        <v>71</v>
      </c>
    </row>
    <row r="9" spans="1:3" x14ac:dyDescent="0.3">
      <c r="A9" s="1" t="s">
        <v>54</v>
      </c>
      <c r="B9" s="1" t="s">
        <v>2</v>
      </c>
      <c r="C9" s="1" t="s">
        <v>71</v>
      </c>
    </row>
    <row r="10" spans="1:3" x14ac:dyDescent="0.3">
      <c r="A10" s="1" t="s">
        <v>74</v>
      </c>
      <c r="B10" s="1" t="s">
        <v>57</v>
      </c>
      <c r="C10" s="1" t="s">
        <v>71</v>
      </c>
    </row>
    <row r="11" spans="1:3" x14ac:dyDescent="0.3">
      <c r="A11" s="1" t="s">
        <v>56</v>
      </c>
      <c r="B11" s="1" t="s">
        <v>59</v>
      </c>
      <c r="C11" s="1" t="s">
        <v>71</v>
      </c>
    </row>
    <row r="12" spans="1:3" x14ac:dyDescent="0.3">
      <c r="A12" s="1" t="s">
        <v>58</v>
      </c>
      <c r="B12" s="1" t="s">
        <v>12</v>
      </c>
      <c r="C12" s="1" t="s">
        <v>71</v>
      </c>
    </row>
    <row r="13" spans="1:3" x14ac:dyDescent="0.3">
      <c r="A13" s="1" t="s">
        <v>60</v>
      </c>
      <c r="B13" s="1" t="s">
        <v>64</v>
      </c>
      <c r="C13" s="1" t="s">
        <v>71</v>
      </c>
    </row>
    <row r="14" spans="1:3" x14ac:dyDescent="0.3">
      <c r="A14" s="1" t="s">
        <v>62</v>
      </c>
      <c r="B14" s="1" t="s">
        <v>11</v>
      </c>
      <c r="C14" s="1" t="s">
        <v>71</v>
      </c>
    </row>
    <row r="15" spans="1:3" x14ac:dyDescent="0.3">
      <c r="A15" s="1" t="s">
        <v>75</v>
      </c>
      <c r="B15" s="1" t="s">
        <v>53</v>
      </c>
      <c r="C15" s="1" t="s">
        <v>76</v>
      </c>
    </row>
    <row r="16" spans="1:3" x14ac:dyDescent="0.3">
      <c r="A16" s="1" t="s">
        <v>77</v>
      </c>
      <c r="B16" s="1" t="s">
        <v>78</v>
      </c>
      <c r="C16" s="1" t="s">
        <v>76</v>
      </c>
    </row>
    <row r="17" spans="1:3" x14ac:dyDescent="0.3">
      <c r="A17" s="1" t="s">
        <v>63</v>
      </c>
      <c r="B17" s="1" t="s">
        <v>76</v>
      </c>
      <c r="C17" s="1" t="s">
        <v>76</v>
      </c>
    </row>
    <row r="18" spans="1:3" x14ac:dyDescent="0.3">
      <c r="A18" s="1" t="s">
        <v>65</v>
      </c>
      <c r="B18" s="1" t="s">
        <v>34</v>
      </c>
      <c r="C18" s="1" t="s">
        <v>76</v>
      </c>
    </row>
    <row r="19" spans="1:3" x14ac:dyDescent="0.3">
      <c r="A19" s="1" t="s">
        <v>66</v>
      </c>
      <c r="B19" s="1" t="s">
        <v>79</v>
      </c>
      <c r="C19" s="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orgNodes</vt:lpstr>
      <vt:lpstr>orgEdges</vt:lpstr>
      <vt:lpstr>platformNodes</vt:lpstr>
      <vt:lpstr>dataNodeTypes</vt:lpstr>
      <vt:lpstr>dataEdges</vt:lpstr>
      <vt:lpstr>dataNodes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Lauren Patterson</cp:lastModifiedBy>
  <dcterms:created xsi:type="dcterms:W3CDTF">2018-08-09T20:40:56Z</dcterms:created>
  <dcterms:modified xsi:type="dcterms:W3CDTF">2019-10-07T13:41:17Z</dcterms:modified>
</cp:coreProperties>
</file>