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public_html\www\dataInventory\data\excelInventories\"/>
    </mc:Choice>
  </mc:AlternateContent>
  <bookViews>
    <workbookView xWindow="0" yWindow="0" windowWidth="17604" windowHeight="12312" tabRatio="500" activeTab="2"/>
  </bookViews>
  <sheets>
    <sheet name="orgNodes" sheetId="5" r:id="rId1"/>
    <sheet name="orgEdges" sheetId="6" r:id="rId2"/>
    <sheet name="platformNodes" sheetId="7" r:id="rId3"/>
    <sheet name="dataNodes" sheetId="12" r:id="rId4"/>
    <sheet name="dataNodeTypes" sheetId="8" r:id="rId5"/>
    <sheet name="dataEdges" sheetId="9" r:id="rId6"/>
  </sheets>
  <definedNames>
    <definedName name="_xlnm._FilterDatabase" localSheetId="3" hidden="1">dataNodes!$A$1:$C$19</definedName>
    <definedName name="_xlnm._FilterDatabase" localSheetId="2" hidden="1">platformNodes!$A$1:$U$12</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I2" i="8" l="1"/>
  <c r="H19" i="8"/>
  <c r="I19" i="8"/>
  <c r="H20" i="8"/>
  <c r="I20" i="8"/>
  <c r="H21" i="8"/>
  <c r="I21" i="8"/>
  <c r="H22" i="8"/>
  <c r="I22" i="8"/>
  <c r="H23" i="8"/>
  <c r="I23" i="8"/>
  <c r="H24" i="8"/>
  <c r="I24" i="8"/>
  <c r="H25" i="8"/>
  <c r="I25" i="8"/>
  <c r="H26" i="8"/>
  <c r="I26" i="8"/>
  <c r="H27" i="8"/>
  <c r="I27" i="8"/>
  <c r="H28" i="8"/>
  <c r="I28" i="8"/>
  <c r="H29" i="8"/>
  <c r="I29" i="8"/>
  <c r="H30" i="8"/>
  <c r="I30" i="8"/>
  <c r="H31" i="8"/>
  <c r="I31" i="8"/>
  <c r="H32" i="8"/>
  <c r="I32" i="8"/>
  <c r="H33" i="8"/>
  <c r="I33" i="8"/>
  <c r="H34" i="8"/>
  <c r="I34" i="8"/>
  <c r="H35" i="8"/>
  <c r="I35" i="8"/>
  <c r="H36" i="8"/>
  <c r="I36" i="8"/>
  <c r="H37" i="8"/>
  <c r="I37" i="8"/>
  <c r="H38" i="8"/>
  <c r="I38" i="8"/>
  <c r="H39" i="8"/>
  <c r="I39" i="8"/>
  <c r="H40" i="8"/>
  <c r="I40" i="8"/>
  <c r="H41" i="8"/>
  <c r="I41" i="8"/>
  <c r="H42" i="8"/>
  <c r="I42" i="8"/>
  <c r="H43" i="8"/>
  <c r="I43" i="8"/>
  <c r="H44" i="8"/>
  <c r="I44" i="8"/>
  <c r="H45" i="8"/>
  <c r="I45" i="8"/>
  <c r="H46" i="8"/>
  <c r="I46" i="8"/>
  <c r="H47" i="8"/>
  <c r="I47" i="8"/>
  <c r="H48" i="8"/>
  <c r="I48" i="8"/>
  <c r="H49" i="8"/>
  <c r="I49" i="8"/>
  <c r="H50" i="8"/>
  <c r="I50" i="8"/>
  <c r="H51" i="8"/>
  <c r="I51" i="8"/>
  <c r="H52" i="8"/>
  <c r="I52" i="8"/>
  <c r="H53" i="8"/>
  <c r="I53" i="8"/>
  <c r="H54" i="8"/>
  <c r="I54" i="8"/>
  <c r="H55" i="8"/>
  <c r="I55" i="8"/>
  <c r="H56" i="8"/>
  <c r="I56" i="8"/>
  <c r="H57" i="8"/>
  <c r="I57" i="8"/>
  <c r="H58" i="8"/>
  <c r="I58" i="8"/>
  <c r="H59" i="8"/>
  <c r="I59" i="8"/>
  <c r="H60" i="8"/>
  <c r="I60" i="8"/>
  <c r="H61" i="8"/>
  <c r="I61" i="8"/>
  <c r="H62" i="8"/>
  <c r="I62" i="8"/>
  <c r="H63" i="8"/>
  <c r="I63" i="8"/>
  <c r="H64" i="8"/>
  <c r="I64" i="8"/>
  <c r="H65" i="8"/>
  <c r="I65" i="8"/>
  <c r="H66" i="8"/>
  <c r="I66" i="8"/>
  <c r="H67" i="8"/>
  <c r="I67" i="8"/>
  <c r="H68" i="8"/>
  <c r="I68" i="8"/>
  <c r="H69" i="8"/>
  <c r="I69" i="8"/>
  <c r="H70" i="8"/>
  <c r="I70" i="8"/>
  <c r="H71" i="8"/>
  <c r="I71" i="8"/>
  <c r="H72" i="8"/>
  <c r="I72" i="8"/>
  <c r="H73" i="8"/>
  <c r="I73" i="8"/>
  <c r="H74" i="8"/>
  <c r="I74" i="8"/>
  <c r="H75" i="8"/>
  <c r="I75" i="8"/>
  <c r="H76" i="8"/>
  <c r="I76" i="8"/>
  <c r="H77" i="8"/>
  <c r="I77" i="8"/>
  <c r="H78" i="8"/>
  <c r="I78" i="8"/>
  <c r="H79" i="8"/>
  <c r="I79" i="8"/>
  <c r="H80" i="8"/>
  <c r="I80" i="8"/>
  <c r="H81" i="8"/>
  <c r="I81" i="8"/>
  <c r="H82" i="8"/>
  <c r="I82" i="8"/>
  <c r="H83" i="8"/>
  <c r="I83" i="8"/>
  <c r="H84" i="8"/>
  <c r="I84" i="8"/>
  <c r="H85" i="8"/>
  <c r="I85" i="8"/>
  <c r="H86" i="8"/>
  <c r="I86" i="8"/>
  <c r="H87" i="8"/>
  <c r="I87" i="8"/>
  <c r="H88" i="8"/>
  <c r="I88" i="8"/>
  <c r="H89" i="8"/>
  <c r="I89" i="8"/>
  <c r="H90" i="8"/>
  <c r="I90" i="8"/>
  <c r="H91" i="8"/>
  <c r="I91" i="8"/>
  <c r="H92" i="8"/>
  <c r="I92" i="8"/>
  <c r="H93" i="8"/>
  <c r="I93" i="8"/>
  <c r="H94" i="8"/>
  <c r="I94" i="8"/>
  <c r="H95" i="8"/>
  <c r="I95" i="8"/>
  <c r="H96" i="8"/>
  <c r="I96" i="8"/>
  <c r="H97" i="8"/>
  <c r="I97" i="8"/>
  <c r="H98" i="8"/>
  <c r="I98" i="8"/>
  <c r="H99" i="8"/>
  <c r="I99" i="8"/>
  <c r="I3" i="8"/>
  <c r="I4" i="8"/>
  <c r="I5" i="8"/>
  <c r="I6" i="8"/>
  <c r="I7" i="8"/>
  <c r="I8" i="8"/>
  <c r="I9" i="8"/>
  <c r="I10" i="8"/>
  <c r="I11" i="8"/>
  <c r="I12" i="8"/>
  <c r="I13" i="8"/>
  <c r="I14" i="8"/>
  <c r="I15" i="8"/>
  <c r="I16" i="8"/>
  <c r="I17" i="8"/>
  <c r="I18" i="8"/>
  <c r="H3" i="8"/>
  <c r="H4" i="8"/>
  <c r="H5" i="8"/>
  <c r="H6" i="8"/>
  <c r="H7" i="8"/>
  <c r="H8" i="8"/>
  <c r="H9" i="8"/>
  <c r="H10" i="8"/>
  <c r="H11" i="8"/>
  <c r="H12" i="8"/>
  <c r="H13" i="8"/>
  <c r="H14" i="8"/>
  <c r="H15" i="8"/>
  <c r="H16" i="8"/>
  <c r="H17" i="8"/>
  <c r="H18" i="8"/>
  <c r="H2" i="8"/>
  <c r="G42" i="7"/>
  <c r="H13" i="7"/>
  <c r="H14" i="7"/>
  <c r="H15" i="7"/>
  <c r="H16" i="7"/>
  <c r="H17" i="7"/>
  <c r="H18" i="7"/>
  <c r="H19" i="7"/>
  <c r="H20" i="7"/>
  <c r="H21" i="7"/>
  <c r="H22" i="7"/>
  <c r="H23" i="7"/>
  <c r="H24" i="7"/>
  <c r="H25" i="7"/>
  <c r="H26" i="7"/>
  <c r="H27" i="7"/>
  <c r="H28" i="7"/>
  <c r="H29" i="7"/>
  <c r="H30" i="7"/>
  <c r="H31" i="7"/>
  <c r="H32" i="7"/>
  <c r="H33" i="7"/>
  <c r="H35" i="7"/>
  <c r="H36" i="7"/>
  <c r="H37" i="7"/>
  <c r="H38" i="7"/>
  <c r="H39" i="7"/>
  <c r="H40" i="7"/>
  <c r="H3" i="7"/>
  <c r="H4" i="7"/>
  <c r="H5" i="7"/>
  <c r="H6" i="7"/>
  <c r="H7" i="7"/>
  <c r="H8" i="7"/>
  <c r="H9" i="7"/>
  <c r="H10" i="7"/>
  <c r="H11" i="7"/>
  <c r="H12" i="7"/>
  <c r="H2" i="7"/>
  <c r="G13" i="7"/>
  <c r="G14" i="7"/>
  <c r="G15" i="7"/>
  <c r="G16" i="7"/>
  <c r="G17" i="7"/>
  <c r="G18" i="7"/>
  <c r="G19" i="7"/>
  <c r="G20" i="7"/>
  <c r="G21" i="7"/>
  <c r="G22" i="7"/>
  <c r="G23" i="7"/>
  <c r="G24" i="7"/>
  <c r="G25" i="7"/>
  <c r="G26" i="7"/>
  <c r="G27" i="7"/>
  <c r="G28" i="7"/>
  <c r="G29" i="7"/>
  <c r="G30" i="7"/>
  <c r="G31" i="7"/>
  <c r="G32" i="7"/>
  <c r="G33" i="7"/>
  <c r="G35" i="7"/>
  <c r="G36" i="7"/>
  <c r="G37" i="7"/>
  <c r="G38" i="7"/>
  <c r="G39" i="7"/>
  <c r="G40" i="7"/>
  <c r="G43" i="7"/>
  <c r="G44" i="7"/>
  <c r="G45" i="7"/>
  <c r="G3" i="7"/>
  <c r="G4" i="7"/>
  <c r="G5" i="7"/>
  <c r="G6" i="7"/>
  <c r="G7" i="7"/>
  <c r="G8" i="7"/>
  <c r="G9" i="7"/>
  <c r="G10" i="7"/>
  <c r="G11" i="7"/>
  <c r="G12"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2" i="7" l="1"/>
  <c r="N3" i="8" l="1"/>
  <c r="N4" i="8"/>
  <c r="N5" i="8"/>
  <c r="N6" i="8"/>
  <c r="N7" i="8"/>
  <c r="N8" i="8"/>
  <c r="N9" i="8"/>
  <c r="N10" i="8"/>
  <c r="N11" i="8"/>
  <c r="N12" i="8"/>
  <c r="N13" i="8"/>
  <c r="N14" i="8"/>
  <c r="N15" i="8"/>
  <c r="N16" i="8"/>
  <c r="N17" i="8"/>
  <c r="N18" i="8"/>
  <c r="N19" i="8"/>
  <c r="N2" i="8"/>
  <c r="M3" i="8"/>
  <c r="M4" i="8"/>
  <c r="M5" i="8"/>
  <c r="M6" i="8"/>
  <c r="M7" i="8"/>
  <c r="M8" i="8"/>
  <c r="M9" i="8"/>
  <c r="M10" i="8"/>
  <c r="M11" i="8"/>
  <c r="M12" i="8"/>
  <c r="M13" i="8"/>
  <c r="M14" i="8"/>
  <c r="M15" i="8"/>
  <c r="M16" i="8"/>
  <c r="M17" i="8"/>
  <c r="M18" i="8"/>
  <c r="M19" i="8"/>
  <c r="M2" i="8"/>
</calcChain>
</file>

<file path=xl/sharedStrings.xml><?xml version="1.0" encoding="utf-8"?>
<sst xmlns="http://schemas.openxmlformats.org/spreadsheetml/2006/main" count="2250" uniqueCount="527">
  <si>
    <t>notes</t>
  </si>
  <si>
    <t>Water Resources</t>
  </si>
  <si>
    <t>Website</t>
  </si>
  <si>
    <t>Groundwater</t>
  </si>
  <si>
    <t>Water Quality</t>
  </si>
  <si>
    <t>Yes</t>
  </si>
  <si>
    <t>Unknown</t>
  </si>
  <si>
    <t>pdf</t>
  </si>
  <si>
    <t>Low</t>
  </si>
  <si>
    <t>Individual Export</t>
  </si>
  <si>
    <t>Link to Source</t>
  </si>
  <si>
    <t>html</t>
  </si>
  <si>
    <t>No</t>
  </si>
  <si>
    <t>Irregular</t>
  </si>
  <si>
    <t>Yearly or Higher</t>
  </si>
  <si>
    <t>Copy and Paste</t>
  </si>
  <si>
    <t>Drinking Water Watch</t>
  </si>
  <si>
    <t>Surface Water</t>
  </si>
  <si>
    <t>Reservoir</t>
  </si>
  <si>
    <t>mission</t>
  </si>
  <si>
    <t>website</t>
  </si>
  <si>
    <t>operational</t>
  </si>
  <si>
    <t>decision</t>
  </si>
  <si>
    <t>regulatory</t>
  </si>
  <si>
    <t>research</t>
  </si>
  <si>
    <t>level</t>
  </si>
  <si>
    <t>n01</t>
  </si>
  <si>
    <t>n02</t>
  </si>
  <si>
    <t>n03</t>
  </si>
  <si>
    <t>n04</t>
  </si>
  <si>
    <t>n05</t>
  </si>
  <si>
    <t>n06</t>
  </si>
  <si>
    <t>n07</t>
  </si>
  <si>
    <t>n08</t>
  </si>
  <si>
    <t>n09</t>
  </si>
  <si>
    <t>n10</t>
  </si>
  <si>
    <t>n11</t>
  </si>
  <si>
    <t>n12</t>
  </si>
  <si>
    <t>n13</t>
  </si>
  <si>
    <t>from</t>
  </si>
  <si>
    <t>to</t>
  </si>
  <si>
    <t>Utilities</t>
  </si>
  <si>
    <t>p01</t>
  </si>
  <si>
    <t>p02</t>
  </si>
  <si>
    <t>p03</t>
  </si>
  <si>
    <t>p04</t>
  </si>
  <si>
    <t>p05</t>
  </si>
  <si>
    <t>p06</t>
  </si>
  <si>
    <t>p07</t>
  </si>
  <si>
    <t>p08</t>
  </si>
  <si>
    <t>p09</t>
  </si>
  <si>
    <t>p10</t>
  </si>
  <si>
    <t>p11</t>
  </si>
  <si>
    <t>d01</t>
  </si>
  <si>
    <t>d02</t>
  </si>
  <si>
    <t>Evapotranspiration</t>
  </si>
  <si>
    <t>d03</t>
  </si>
  <si>
    <t>d05</t>
  </si>
  <si>
    <t>d06</t>
  </si>
  <si>
    <t>d07</t>
  </si>
  <si>
    <t>Hydropower</t>
  </si>
  <si>
    <t>d08</t>
  </si>
  <si>
    <t>Infrastructure</t>
  </si>
  <si>
    <t>d10</t>
  </si>
  <si>
    <t>Meteorology</t>
  </si>
  <si>
    <t>d11</t>
  </si>
  <si>
    <t>Precipitation</t>
  </si>
  <si>
    <t>d12</t>
  </si>
  <si>
    <t>Regulatory</t>
  </si>
  <si>
    <t>d13</t>
  </si>
  <si>
    <t>d16</t>
  </si>
  <si>
    <t>Soil</t>
  </si>
  <si>
    <t>d17</t>
  </si>
  <si>
    <t>d18</t>
  </si>
  <si>
    <t>Built</t>
  </si>
  <si>
    <t>Natural</t>
  </si>
  <si>
    <t>Quality</t>
  </si>
  <si>
    <t>d04</t>
  </si>
  <si>
    <t>Quantity</t>
  </si>
  <si>
    <t>Extreme Events</t>
  </si>
  <si>
    <t>Glacial and Snow</t>
  </si>
  <si>
    <t>d09</t>
  </si>
  <si>
    <t>d14</t>
  </si>
  <si>
    <t>Use</t>
  </si>
  <si>
    <t>d15</t>
  </si>
  <si>
    <t>Irrigation</t>
  </si>
  <si>
    <t>Management Plans</t>
  </si>
  <si>
    <t>lengthAvailable</t>
  </si>
  <si>
    <t>Period of Record</t>
  </si>
  <si>
    <t>Not Applicable</t>
  </si>
  <si>
    <t>Limited Record</t>
  </si>
  <si>
    <t>Administrative</t>
  </si>
  <si>
    <t>metadata</t>
  </si>
  <si>
    <t>dataDefinitions</t>
  </si>
  <si>
    <t>Administrative; Descriptive</t>
  </si>
  <si>
    <t>entity</t>
  </si>
  <si>
    <t>tier1and2entity</t>
  </si>
  <si>
    <t>entityID</t>
  </si>
  <si>
    <t>tier1and2entityID</t>
  </si>
  <si>
    <t>platformID</t>
  </si>
  <si>
    <t>platform</t>
  </si>
  <si>
    <t>webLabel</t>
  </si>
  <si>
    <t>easeDiscover</t>
  </si>
  <si>
    <t>methodDiscover</t>
  </si>
  <si>
    <t>easeAccess</t>
  </si>
  <si>
    <t>methodAccess</t>
  </si>
  <si>
    <t>fileFormat</t>
  </si>
  <si>
    <t>metadataFormat</t>
  </si>
  <si>
    <t>metaAttributes</t>
  </si>
  <si>
    <t>metadataStandards</t>
  </si>
  <si>
    <t>timeliness</t>
  </si>
  <si>
    <t>data</t>
  </si>
  <si>
    <t>dataCategory</t>
  </si>
  <si>
    <t>dataGroup</t>
  </si>
  <si>
    <t>dataID</t>
  </si>
  <si>
    <t>dataID - linked to dataNodes tab</t>
  </si>
  <si>
    <t>dataGroup - linked to dataNodes tab</t>
  </si>
  <si>
    <t>n14</t>
  </si>
  <si>
    <t>n15</t>
  </si>
  <si>
    <t>n19</t>
  </si>
  <si>
    <t>heatmapLabel</t>
  </si>
  <si>
    <t>North Carolina</t>
  </si>
  <si>
    <t>Department of Environmental Quality</t>
  </si>
  <si>
    <t>Water Infrastructure</t>
  </si>
  <si>
    <t>Water Resources Enforcement</t>
  </si>
  <si>
    <t>Public Water Supply</t>
  </si>
  <si>
    <t>Water Planning</t>
  </si>
  <si>
    <t>Basin Planning</t>
  </si>
  <si>
    <t>Classifications, Standards, and Rules Review</t>
  </si>
  <si>
    <t>Groundwater Management</t>
  </si>
  <si>
    <t>Modeling and Assessment</t>
  </si>
  <si>
    <t>Water Quality Regional Operations</t>
  </si>
  <si>
    <t>Water Science</t>
  </si>
  <si>
    <t>Aquatic Toxicology Branch</t>
  </si>
  <si>
    <t>Biological Assessment Branch</t>
  </si>
  <si>
    <t>n16</t>
  </si>
  <si>
    <t>Ecosystems Branch</t>
  </si>
  <si>
    <t>n17</t>
  </si>
  <si>
    <t>Water Quality Permitting</t>
  </si>
  <si>
    <t>n18</t>
  </si>
  <si>
    <t>Nondischarge Permitting Branch</t>
  </si>
  <si>
    <t>Complex Permitting Branch</t>
  </si>
  <si>
    <t>n20</t>
  </si>
  <si>
    <t>Compliance and Expedited Permitting Branch</t>
  </si>
  <si>
    <t>n21</t>
  </si>
  <si>
    <t>Pretreatment, Emergency Response, and Collection Systems Branch</t>
  </si>
  <si>
    <t>n22</t>
  </si>
  <si>
    <t>401 and Buffer Permitting Branch</t>
  </si>
  <si>
    <t>n23</t>
  </si>
  <si>
    <t>Transportation Permitting Branch</t>
  </si>
  <si>
    <t>n24</t>
  </si>
  <si>
    <t>Energy, Mineral, and Land Resources</t>
  </si>
  <si>
    <t>n25</t>
  </si>
  <si>
    <t>Dam Safety</t>
  </si>
  <si>
    <t>n26</t>
  </si>
  <si>
    <t>Stormwater</t>
  </si>
  <si>
    <t>n27</t>
  </si>
  <si>
    <t>Coastal Management</t>
  </si>
  <si>
    <t>n28</t>
  </si>
  <si>
    <t>Department of Agriculture and Consumer Services</t>
  </si>
  <si>
    <t>n29</t>
  </si>
  <si>
    <t>Agricultural Statistics</t>
  </si>
  <si>
    <t>n30</t>
  </si>
  <si>
    <t>Environmental Statistics</t>
  </si>
  <si>
    <t>n31</t>
  </si>
  <si>
    <t>Weather and Crop Reports</t>
  </si>
  <si>
    <t>n32</t>
  </si>
  <si>
    <t>North Carolina Forest Service</t>
  </si>
  <si>
    <t>n33</t>
  </si>
  <si>
    <t>Department of Information Technology</t>
  </si>
  <si>
    <t>n34</t>
  </si>
  <si>
    <t>Geographic Information Coordinating Council</t>
  </si>
  <si>
    <t>n35</t>
  </si>
  <si>
    <t>Department of Health and Human Services</t>
  </si>
  <si>
    <t>n36</t>
  </si>
  <si>
    <t>Public Health</t>
  </si>
  <si>
    <t>n37</t>
  </si>
  <si>
    <t>Environmental Health</t>
  </si>
  <si>
    <t>n38</t>
  </si>
  <si>
    <t>On Site Water Protection</t>
  </si>
  <si>
    <t>n39</t>
  </si>
  <si>
    <t>Department of Transportation</t>
  </si>
  <si>
    <t>n40</t>
  </si>
  <si>
    <t>Department of Public Safety</t>
  </si>
  <si>
    <t>n41</t>
  </si>
  <si>
    <t>Emergency Management</t>
  </si>
  <si>
    <t>n42</t>
  </si>
  <si>
    <t>Risk Management</t>
  </si>
  <si>
    <t>https://www.nc.gov/</t>
  </si>
  <si>
    <t>Providing science based environmental stewardship for the health and prosperity of ALL North Carolinians.</t>
  </si>
  <si>
    <t>https://deq.nc.gov/</t>
  </si>
  <si>
    <t>Provide financial assistance for projects that improve water quality.</t>
  </si>
  <si>
    <t>https://deq.nc.gov/about/divisions/water-infrastructure</t>
  </si>
  <si>
    <t>Efficiently and effectively protect the states surface water and groundwater resources through quality monitoring programs, efficient permitting, responsible management, fair and effective enforcement and excellence in public service.</t>
  </si>
  <si>
    <t>https://deq.nc.gov/about/divisions/water-resources</t>
  </si>
  <si>
    <t>https://deq.nc.gov/about/divisions/water-resources/water-resources-enforcement</t>
  </si>
  <si>
    <t>Regulate public water systems within the state under the statutory authority of G.S. 130A Article 10</t>
  </si>
  <si>
    <t>https://deq.nc.gov/about/divisions/water-resources/drinking-water</t>
  </si>
  <si>
    <t>Develop standards, rules and management strategies to protect water quality, carries out water supply planning, provides guidance to local water systems and monitors drought conditions.</t>
  </si>
  <si>
    <t>https://deq.nc.gov/about/divisions/water-resources/planning</t>
  </si>
  <si>
    <t>Develop and maintain the most detailed and comprehensive, online, living statewide basin plan, practicable, for the StateÕs seventeen river basins.</t>
  </si>
  <si>
    <t>https://deq.nc.gov/about/divisions/water-resources/planning/basin-planning</t>
  </si>
  <si>
    <t>Responsible for developing and assisting with theÊinterpretation and implementation of the state's surface water and groundwater quality standards and surface water body classifications such as Water Supply (WS), High Quality Waters (HQW), and others.</t>
  </si>
  <si>
    <t>https://deq.nc.gov/about/divisions/water-resources/planning/classification-standards</t>
  </si>
  <si>
    <t>Provides technical and management support for the development and use of ground water resources in the State of North Carolina.</t>
  </si>
  <si>
    <t>https://deq.nc.gov/about/divisions/water-resources/water-planning/ground-water-management-branch</t>
  </si>
  <si>
    <t>Uses computer models and data analyses to simulate and assess surface water resources.Ê</t>
  </si>
  <si>
    <t>https://deq.nc.gov/about/divisions/water-resources/planning/modeling-assessment</t>
  </si>
  <si>
    <t>Focuses on service to the regional surface water and groundwater concerns of citizens, local governments and business communities.</t>
  </si>
  <si>
    <t>https://deq.nc.gov/about/divisions/water-resources/water-quality-regional-operations</t>
  </si>
  <si>
    <t>Provides the Division of Water Resources with scientific and technical support required to monitor, regulate, and manage water quality throughout North Carolina.</t>
  </si>
  <si>
    <t>https://deq.nc.gov/about/divisions/water-resources/water-resources-data/water-sciences-home-page</t>
  </si>
  <si>
    <t>Serves the state of North Carolina through its support of the EPA mandatedÊNPDESÊprogram as it pertains to theÊClean Water Act (CWA)Êestablished in 1972.</t>
  </si>
  <si>
    <t>https://deq.nc.gov/about/divisions/water-resources/water-resources-data/water-sciences-home-page/aquatic-toxicology-branch</t>
  </si>
  <si>
    <t>Evaluate the water quality of streams and rivers using the biological communities that live there.</t>
  </si>
  <si>
    <t>https://deq.nc.gov/about/divisions/water-resources/water-resources-data/water-sciences-home-page/biological-assessment-branch</t>
  </si>
  <si>
    <t>https://deq.nc.gov/about/divisions/water-resources/water-resources-data/water-sciences-home-page/ecosystems-branch</t>
  </si>
  <si>
    <t>https://deq.nc.gov/about/divisions/water-resources/water-resources-permits</t>
  </si>
  <si>
    <t>Responsible for the permitting and compliance of residual and wastewater effluent land application facilities.</t>
  </si>
  <si>
    <t>https://deq.nc.gov/about/divisions/water-resources/water-resources-permits/wastewater-branch/non-discharge-permitting</t>
  </si>
  <si>
    <t>Responsible for major and minor National Pollutant Discharge Elimination System wastewater permitting, special technical issues, Level B modeling and policy implementation.</t>
  </si>
  <si>
    <t>https://deq.nc.gov/about/divisions/water-resources/water-quality-permitting/npdes-wastewater/permitting-contacts</t>
  </si>
  <si>
    <t>Responsible for permitting and compliance in accordance with the federal National Pollutant Discharge Elimination System.</t>
  </si>
  <si>
    <t>https://deq.nc.gov/about/divisions/water-resources/water-resources-permits/wastewater-branch/npdes-wastewater-permits</t>
  </si>
  <si>
    <t>Controls and documents the discharge of wastewater from Significant and Categorical Industrial Users to the Publicly Owned Treatment Works, is responsible for the various permitting programs for wastewater collection systems, oversees wastewater collection construction, operation, maintenance and enforcement and coordinates the division's emergency response operations.</t>
  </si>
  <si>
    <t>https://deq.nc.gov/about/divisions/water-resources/water-resources-permits/percs</t>
  </si>
  <si>
    <t>Responsible for implementing the state waters, wetlands and riparian buffer regulatory programs and assisting with compliance and enforcement procedures.</t>
  </si>
  <si>
    <t>https://deq.nc.gov/about/divisions/water-resources/water-resources-permits/wastewater-branch/401-wetlands-buffer-permits</t>
  </si>
  <si>
    <t>Assists the NC DOT with the planning and permitting of their projects.</t>
  </si>
  <si>
    <t>https://deq.nc.gov/about/divisions/water-resources/water-quality-permitting/transportation-permitting</t>
  </si>
  <si>
    <t>Dedicated to ensuring a sustainable energy future for the citizens of North Carolina.</t>
  </si>
  <si>
    <t>https://deq.nc.gov/about/divisions/energy-mineral-land-resources</t>
  </si>
  <si>
    <t>Provides oversight of more than 3,000 dams statewide, working to provide for the ceritification and inspection of dams to reduce the risk of failure of dams; to prevent property damage, personal injury, and loss of reservoir storage; and to ensure maintneance of minimum flows of adequate quantity and quality below dams.</t>
  </si>
  <si>
    <t>https://deq.nc.gov/about/divisions/energy-mineral-land-resources/energy-mineral-land-permits/dam-safety</t>
  </si>
  <si>
    <t>Develops and implements programs to protect North CarolinaÕs surface waters from stormwater runoff.</t>
  </si>
  <si>
    <t>https://deq.nc.gov/about/divisions/energy-mineral-land-resources/stormwater</t>
  </si>
  <si>
    <t>Protect, conserve and manage North Carolina's coastal resources through an integrated program of planning, permitting, education and research.</t>
  </si>
  <si>
    <t>https://deq.nc.gov/about/divisions/coastal-management</t>
  </si>
  <si>
    <t>Provide services that promote and improve agriculture, agribusiness and forests; protect consumers and businesses; and conserve farmland and natural resources for the prosperity of all North Carolinians.</t>
  </si>
  <si>
    <t>http://www.ncagr.gov/index.htm</t>
  </si>
  <si>
    <t>Provide timely, accurate, and useful statistics in service to North Carolina and U.S. agriculture.</t>
  </si>
  <si>
    <t>http://www.ncagr.gov/stats/index.htm</t>
  </si>
  <si>
    <t>http://www.ncagr.gov/stats/environmental/index.htm</t>
  </si>
  <si>
    <t>http://www.ncagr.gov/stats/weather/weather.htm</t>
  </si>
  <si>
    <t>http://www.ncforestservice.gov/</t>
  </si>
  <si>
    <t>Provide technology services to state agencies and other government customers across North Carolina.</t>
  </si>
  <si>
    <t>https://it.nc.gov/</t>
  </si>
  <si>
    <t>Quality of statewide geographic information, public access to geospatial resources, collaboration in data development and GIS applications, and wide use of geographic information as a strategic element in public and private business processes.</t>
  </si>
  <si>
    <t>https://it.nc.gov/gicc</t>
  </si>
  <si>
    <t>Provides essential services to improve the health, safety and well-being of all North Carolinians.</t>
  </si>
  <si>
    <t>https://www.ncdhhs.gov/</t>
  </si>
  <si>
    <t>Promote disease prevention, health services and health promotion programs that protect communities from communicable diseases, epidemics and contaminated food and water.</t>
  </si>
  <si>
    <t>https://publichealth.nc.gov/</t>
  </si>
  <si>
    <t>Safeguard life, promote human health and protect the environment through the practice of modern environmental health science, the use of technology, rules, public education and above all, dedication to the public trust.</t>
  </si>
  <si>
    <t>https://ehs.ncpublichealth.com/</t>
  </si>
  <si>
    <t>Provide regulatory oversight of sub-surface on-site wastewater treatment and dispersal systems, as well as inspection and testing of private drinking water wells constructed, repaired or abandoned, on or after July 1, 2008.</t>
  </si>
  <si>
    <t>https://ehs.ncpublichealth.com/oswp/</t>
  </si>
  <si>
    <t>Connecting people, products and places safely and efficiently with customer focus, accountability and environmental sensitivity to enhance the economy and vitality of North Carolina</t>
  </si>
  <si>
    <t>https://www.ncdot.gov</t>
  </si>
  <si>
    <t>https://www.ncdps.gov/</t>
  </si>
  <si>
    <t>https://www.ncdps.gov/ncem</t>
  </si>
  <si>
    <t>https://www.ncdps.gov/our-organization/emergency-management/risk-management</t>
  </si>
  <si>
    <t>NC Division of Water Resources Online Document Library</t>
  </si>
  <si>
    <t>Forms, Reports, and Publications</t>
  </si>
  <si>
    <t>Electronic Discharge Monitoring Report</t>
  </si>
  <si>
    <t>BasinWide Information Management System</t>
  </si>
  <si>
    <t>Water Resources Hot Topics</t>
  </si>
  <si>
    <t>Sampling Status Report</t>
  </si>
  <si>
    <t>Watershed Assessment Team</t>
  </si>
  <si>
    <t>Local Water Supply Plans</t>
  </si>
  <si>
    <t>p12</t>
  </si>
  <si>
    <t>p13</t>
  </si>
  <si>
    <t>p14</t>
  </si>
  <si>
    <t>Modeling &amp; Assessment</t>
  </si>
  <si>
    <t>p15</t>
  </si>
  <si>
    <t>p16</t>
  </si>
  <si>
    <t>Groundwater Protection</t>
  </si>
  <si>
    <t>p17</t>
  </si>
  <si>
    <t>Collection System Facility Map</t>
  </si>
  <si>
    <t>p18</t>
  </si>
  <si>
    <t>Non-Discharge Branch Map</t>
  </si>
  <si>
    <t>p19</t>
  </si>
  <si>
    <t>p20</t>
  </si>
  <si>
    <t>NPDES Compliance and Assistance Program</t>
  </si>
  <si>
    <t>p21</t>
  </si>
  <si>
    <t>Reports, Publications, and Data</t>
  </si>
  <si>
    <t>p22</t>
  </si>
  <si>
    <t>p23</t>
  </si>
  <si>
    <t>Ambient Lake Monitoring</t>
  </si>
  <si>
    <t>p24</t>
  </si>
  <si>
    <t>p25</t>
  </si>
  <si>
    <t>Environmental Documents</t>
  </si>
  <si>
    <t>p26</t>
  </si>
  <si>
    <t>Master Plan</t>
  </si>
  <si>
    <t>p27</t>
  </si>
  <si>
    <t>Environmental Finance Center Reports</t>
  </si>
  <si>
    <t>p28</t>
  </si>
  <si>
    <t>p29</t>
  </si>
  <si>
    <t>p30</t>
  </si>
  <si>
    <t>NPDES MS4 Permitting</t>
  </si>
  <si>
    <t>p31</t>
  </si>
  <si>
    <t>Water Supply Watershed Protection Program</t>
  </si>
  <si>
    <t>p32</t>
  </si>
  <si>
    <t>Coastal Management Science and Data</t>
  </si>
  <si>
    <t>p33</t>
  </si>
  <si>
    <t>Application Tracker</t>
  </si>
  <si>
    <t>p34</t>
  </si>
  <si>
    <t>NCDEQ Online GIS</t>
  </si>
  <si>
    <t>p35</t>
  </si>
  <si>
    <t>Non-Point Source Pollution Program</t>
  </si>
  <si>
    <t>p36</t>
  </si>
  <si>
    <t>NC Onemap</t>
  </si>
  <si>
    <t>p37</t>
  </si>
  <si>
    <t>p38</t>
  </si>
  <si>
    <t>p39</t>
  </si>
  <si>
    <t>p40</t>
  </si>
  <si>
    <t>Environmental Compliance</t>
  </si>
  <si>
    <t>p41</t>
  </si>
  <si>
    <t>Floodplain Mapping and Management</t>
  </si>
  <si>
    <t>p42</t>
  </si>
  <si>
    <t>Flood Inundation Mapping and Alert Network</t>
  </si>
  <si>
    <t>p43</t>
  </si>
  <si>
    <t>Flood Risk Information System</t>
  </si>
  <si>
    <t>p44</t>
  </si>
  <si>
    <t>Spatial Data Download</t>
  </si>
  <si>
    <t>Online Document Library</t>
  </si>
  <si>
    <t>Water Sciences</t>
  </si>
  <si>
    <t>Permits and Rules</t>
  </si>
  <si>
    <t>Connect NCDOT</t>
  </si>
  <si>
    <t>n43</t>
  </si>
  <si>
    <t>Provides the scientific and technical support required to monitor, regulate and manage water quality throughout North Carolina.</t>
  </si>
  <si>
    <t>NA</t>
  </si>
  <si>
    <t>DEQ-Water Resources</t>
  </si>
  <si>
    <t>DEQ-Public Water Supply</t>
  </si>
  <si>
    <t>DEQ-Water Planning</t>
  </si>
  <si>
    <t>DEQ-Water Quality Regional Ops</t>
  </si>
  <si>
    <t>DEQ-Facilities</t>
  </si>
  <si>
    <t>DEQ-Non-discharge Permits</t>
  </si>
  <si>
    <t>DEQ-Water Quality Permits</t>
  </si>
  <si>
    <t>DEQ-NPDES</t>
  </si>
  <si>
    <t>DEQ-Water Sciences</t>
  </si>
  <si>
    <t>DEQ-Biological Assessment</t>
  </si>
  <si>
    <t>DEQ-Water Infrastructure</t>
  </si>
  <si>
    <t>DEQ-EMLR</t>
  </si>
  <si>
    <t>DEQ-Coastal</t>
  </si>
  <si>
    <t>DEQ-Permits and Rules</t>
  </si>
  <si>
    <t>DEQ-Online GIS</t>
  </si>
  <si>
    <t>HHS-Water Protection</t>
  </si>
  <si>
    <t>IT-GIS Data</t>
  </si>
  <si>
    <t>DACS-Ag Statistics</t>
  </si>
  <si>
    <t>DACS-Forest Service</t>
  </si>
  <si>
    <t>DOT-Env. Compliance</t>
  </si>
  <si>
    <t>PS-Risk Management</t>
  </si>
  <si>
    <t>Departmetn of Environmental Quality</t>
  </si>
  <si>
    <t>None</t>
  </si>
  <si>
    <t>Map; Website</t>
  </si>
  <si>
    <t>Individual Export; Link to Source</t>
  </si>
  <si>
    <t>excel; pdf; shapefile; jpg</t>
  </si>
  <si>
    <t>pdf; shapefile</t>
  </si>
  <si>
    <t>Medium</t>
  </si>
  <si>
    <t>Web Services; Individual Export</t>
  </si>
  <si>
    <t>Map</t>
  </si>
  <si>
    <t>shapefile; pdf</t>
  </si>
  <si>
    <t>Individual Export; Copy and Paste</t>
  </si>
  <si>
    <t>pdf; html</t>
  </si>
  <si>
    <t>pdf; shapefile; zip; excel</t>
  </si>
  <si>
    <t>txt; html</t>
  </si>
  <si>
    <t>Copy and Paste; Web Services</t>
  </si>
  <si>
    <t>html; shapefile</t>
  </si>
  <si>
    <t>Batch Export</t>
  </si>
  <si>
    <t>excel</t>
  </si>
  <si>
    <t>shapefile; zip; excel</t>
  </si>
  <si>
    <t>Web Services</t>
  </si>
  <si>
    <t>shapefile</t>
  </si>
  <si>
    <t>Individual Export; Web Services</t>
  </si>
  <si>
    <t>High</t>
  </si>
  <si>
    <t>Catalog</t>
  </si>
  <si>
    <t>shapefile; raster; kml; geodatabase; csv</t>
  </si>
  <si>
    <t>Map; Catalog</t>
  </si>
  <si>
    <t>shapefile; raster; json; csv</t>
  </si>
  <si>
    <t>Link to Source; Individual Export</t>
  </si>
  <si>
    <t>Individual Export; Batch Export</t>
  </si>
  <si>
    <t>excel; pdf</t>
  </si>
  <si>
    <t>Registration Required</t>
  </si>
  <si>
    <t>geodatabase; shapefile</t>
  </si>
  <si>
    <t>https://edocs.deq.nc.gov/WaterResources/Welcome.aspx?cr=1</t>
  </si>
  <si>
    <t>https://deq.nc.gov/about/divisions/water-resources/forms-publications</t>
  </si>
  <si>
    <t>https://deq.nc.gov/about/divisions/water-resources/edmr</t>
  </si>
  <si>
    <t>http://bimsportal.ncdenr.org:7001/Welcome.do</t>
  </si>
  <si>
    <t>https://deq.nc.gov/about/divisions/water-resources/dwr-hot-topics</t>
  </si>
  <si>
    <t>https://deq.nc.gov/about/divisions/water-resources/drinking-water/drinking-water-protection-program</t>
  </si>
  <si>
    <t>https://pws.ncwater.org/PWSReports/pages/default.aspx</t>
  </si>
  <si>
    <t>https://www.pwss.enr.state.nc.us/NCDWW2/</t>
  </si>
  <si>
    <t>https://deq.nc.gov/about/divisions/water-resources/water-resources-data/watershed-assessment-team</t>
  </si>
  <si>
    <t>https://www.ncwater.org/Water_Supply_Planning/Local_Water_Supply_Plan/index.php</t>
  </si>
  <si>
    <t>https://deq.nc.gov/about/divisions/water-resources/planning/basin-planning/maps</t>
  </si>
  <si>
    <t>https://deq.nc.gov/about/divisions/water-resources/planning/classification-standards/classifications</t>
  </si>
  <si>
    <t>https://deq.nc.gov/about/divisions/water-resources/water-planning/ground-water-management-branch/ground-water-quality-monitoring</t>
  </si>
  <si>
    <t>https://www.ncwater.org/?page=3</t>
  </si>
  <si>
    <t>https://deq.nc.gov/groundwater-facility-maps</t>
  </si>
  <si>
    <t>https://deq.nc.gov/about/divisions/water-resources/water-resources-permits/wastewater-branch/collection-systems/collection-system-facility-map</t>
  </si>
  <si>
    <t>https://ncdenr.maps.arcgis.com/apps/webappviewer/index.html?id=87eddfd9d45a40a3999c3bba4d7e0eed</t>
  </si>
  <si>
    <t>https://deq.nc.gov/about/divisions/water-resources/water-resources-enforcement/npdes-enforcement/water-quality-enforcement-actions</t>
  </si>
  <si>
    <t>https://deq.nc.gov/about/divisions/water-resources/water-resources-data/water-sciences-home-page/reports-publications-data</t>
  </si>
  <si>
    <t>https://deq.nc.gov/about/divisions/water-resources/water-resources-data/water-sciences-home-page/aquatic-toxicology-branch/downloads</t>
  </si>
  <si>
    <t>https://deq.nc.gov/about/divisions/water-resources/water-resources-data/water-sciences-home-page/intensive-survey-branch</t>
  </si>
  <si>
    <t>https://deq.nc.gov/about/divisions/water-resources/water-resources-data/water-sciences-home-page/ecosystems-branch/ambient-monitoring-system</t>
  </si>
  <si>
    <t>http://portal.ncdenr.org/web/wi/environmental-documents</t>
  </si>
  <si>
    <t>http://portal.ncdenr.org/web/wi/master-plan</t>
  </si>
  <si>
    <t>http://portal.ncdenr.org/web/wi/efc-reports</t>
  </si>
  <si>
    <t>https://deq.nc.gov/sw-maps</t>
  </si>
  <si>
    <t>https://deq.nc.gov/about/divisions/energy-mineral-land-resources/energy-mineral-land-permits/stormwater-permits/npdes-ms4</t>
  </si>
  <si>
    <t>https://deq.nc.gov/about/divisions/energy-mineral-land-resources/water-supply-watershed-protection-program</t>
  </si>
  <si>
    <t>https://deq.nc.gov/about/divisions/coastal-management/coastal-management-data/setback-factor-maps-1998-shoreline/wetlands-gis-data</t>
  </si>
  <si>
    <t>https://deq.nc.gov/permits-regulations/permit-guidance/environmental-application-tracker</t>
  </si>
  <si>
    <t>http://data-ncdenr.opendata.arcgis.com/</t>
  </si>
  <si>
    <t>https://ehs.ncpublichealth.com/oswp/nps/resources.htm</t>
  </si>
  <si>
    <t>http://www.nconemap.com/</t>
  </si>
  <si>
    <t>http://www.ncforestservice.gov/water_quality/water_quality.htm#</t>
  </si>
  <si>
    <t>https://connect.ncdot.gov/resources/Environmental/Pages/default.aspx</t>
  </si>
  <si>
    <t>https://flood.nc.gov/ncflood/index.html</t>
  </si>
  <si>
    <t>https://fiman.nc.gov/fiman/</t>
  </si>
  <si>
    <t>https://fris.nc.gov/fris/?ST=NC</t>
  </si>
  <si>
    <t>https://sdd.nc.gov/sdd/</t>
  </si>
  <si>
    <t>Descriptive</t>
  </si>
  <si>
    <t>Current Only</t>
  </si>
  <si>
    <t>in data</t>
  </si>
  <si>
    <t>Varies</t>
  </si>
  <si>
    <t>html; json</t>
  </si>
  <si>
    <t>Descriptive; Structural</t>
  </si>
  <si>
    <t>Monthly or Higher</t>
  </si>
  <si>
    <t>Structural</t>
  </si>
  <si>
    <t>json; html</t>
  </si>
  <si>
    <t>Broken Link</t>
  </si>
  <si>
    <t>Daily or Higher</t>
  </si>
  <si>
    <t>xml</t>
  </si>
  <si>
    <t>Administrative; Descriptive; Structural</t>
  </si>
  <si>
    <t>Weekly or higher</t>
  </si>
  <si>
    <t>Annual Compliance Reports</t>
  </si>
  <si>
    <t>eDMR - NPDES reporting</t>
  </si>
  <si>
    <t>Classifications, Standards, and Rules</t>
  </si>
  <si>
    <t>Non-discharge Permitting Map</t>
  </si>
  <si>
    <t>Transportation Permitting</t>
  </si>
  <si>
    <t>Reports Publications and Data</t>
  </si>
  <si>
    <t>Intensive Survey Branch</t>
  </si>
  <si>
    <t>Environmental Documents and Archives</t>
  </si>
  <si>
    <t>Water Supply Watershed Progection Program</t>
  </si>
  <si>
    <t>Wetlands GIS Data</t>
  </si>
  <si>
    <t>Environmental Application Tracker</t>
  </si>
  <si>
    <t>Online GIS</t>
  </si>
  <si>
    <t>Non-point source pollution program</t>
  </si>
  <si>
    <t>Energy, Mineral &amp; Land Resources</t>
  </si>
  <si>
    <t>Permit and Rules</t>
  </si>
  <si>
    <t>Data</t>
  </si>
  <si>
    <t>Geographic Information Coordination Council</t>
  </si>
  <si>
    <t>Forest Service</t>
  </si>
  <si>
    <t>https://bimsportal.ncdenr.org/Welcome.do</t>
  </si>
  <si>
    <t>https://ncdenr.maps.arcgis.com/apps/webappviewer/index.html?id=c11c3af22c854d9a8d4e8415e095088a</t>
  </si>
  <si>
    <t>https://www.ncforestservice.gov/water_quality/water_quality.htm#</t>
  </si>
  <si>
    <t>Water Quality Permits</t>
  </si>
  <si>
    <t>Stream and Buffer Determination</t>
  </si>
  <si>
    <t>Wetland Permits</t>
  </si>
  <si>
    <t>NPDES Facility Compliance</t>
  </si>
  <si>
    <t>Facility Compliance</t>
  </si>
  <si>
    <t>Stormwater Assessments</t>
  </si>
  <si>
    <t>Groundwater monitoring data</t>
  </si>
  <si>
    <t>Discharge Permit</t>
  </si>
  <si>
    <t>Water Well Investigation</t>
  </si>
  <si>
    <t>Jordan Lake Nutrients</t>
  </si>
  <si>
    <t>Source Water Protection Plans and Reports</t>
  </si>
  <si>
    <t>Unregulated Contaminance Occurrence</t>
  </si>
  <si>
    <t>Drinking Water Assessment</t>
  </si>
  <si>
    <t>Water Systems</t>
  </si>
  <si>
    <t>Surface water quality</t>
  </si>
  <si>
    <t>Facility Permits</t>
  </si>
  <si>
    <t>Benthos and Fish Sampling</t>
  </si>
  <si>
    <t>303d Assessment &amp; TMDLs</t>
  </si>
  <si>
    <t>Water supply watersheds</t>
  </si>
  <si>
    <t>Watershed boundaries</t>
  </si>
  <si>
    <t>Watershed quality and quantity management plans</t>
  </si>
  <si>
    <t>Surface water classifications</t>
  </si>
  <si>
    <t>Groundwater quality</t>
  </si>
  <si>
    <t>Private groundwater well quality</t>
  </si>
  <si>
    <t>TMDLs</t>
  </si>
  <si>
    <t>Groundwater levels</t>
  </si>
  <si>
    <t>Baseflow</t>
  </si>
  <si>
    <t>Recharge</t>
  </si>
  <si>
    <t>Hydrogeology / Aquifer Characteristics</t>
  </si>
  <si>
    <t>Drought Status</t>
  </si>
  <si>
    <t>Groundwater well permits</t>
  </si>
  <si>
    <t>Injection well permits</t>
  </si>
  <si>
    <t>Wastewater collection permits</t>
  </si>
  <si>
    <t>Non-dscharge facilities</t>
  </si>
  <si>
    <t>Headwater Streams Delineation</t>
  </si>
  <si>
    <t>Facility Enforcement Actions</t>
  </si>
  <si>
    <t>Statewide infrastructure master plan</t>
  </si>
  <si>
    <t>Water and Wastewater Infrastructure Needs</t>
  </si>
  <si>
    <t>Reservoirs</t>
  </si>
  <si>
    <t>Stormwater Permitting Maps</t>
  </si>
  <si>
    <t>Water Supply Watersheds</t>
  </si>
  <si>
    <t>Wetland Locations</t>
  </si>
  <si>
    <t>Capacity Use Area Permits</t>
  </si>
  <si>
    <t>River Basin Boundaries</t>
  </si>
  <si>
    <t>Water Supply Watersheds and Surface Water Classifications</t>
  </si>
  <si>
    <t>303d Assessments</t>
  </si>
  <si>
    <t>Permit Locations</t>
  </si>
  <si>
    <t>Algal Bloom Maps</t>
  </si>
  <si>
    <t>Septic System Disposal</t>
  </si>
  <si>
    <t>Sewage System Disposal</t>
  </si>
  <si>
    <t>Treatment plant locations, Surface Water Intakes and public water supply boundaries, Water distribution meters and pipes, Sewer service areas, water distribution service areas</t>
  </si>
  <si>
    <t>High Quality Waters, Waer Supply Watersheds, Wild and Scenic Rivers</t>
  </si>
  <si>
    <t>303d streams, ambient monitoring locations</t>
  </si>
  <si>
    <t>Agricultural Water Withdrawals</t>
  </si>
  <si>
    <t>Irrigation Water Use</t>
  </si>
  <si>
    <t>Soil Moisture</t>
  </si>
  <si>
    <t>Temperature</t>
  </si>
  <si>
    <t>Riparian Buffers</t>
  </si>
  <si>
    <t>Stream and Wetland Jurisdictional Maps; Mitigation Maps</t>
  </si>
  <si>
    <t>Floodplain Mapping</t>
  </si>
  <si>
    <t>Property Risk</t>
  </si>
  <si>
    <t>Stream Stage and Discharge</t>
  </si>
  <si>
    <t>Flood Stage</t>
  </si>
  <si>
    <t>Flood Risk</t>
  </si>
  <si>
    <t>Base Flood Elevation, Stream Centerline</t>
  </si>
  <si>
    <t>Flood Hazard Area</t>
  </si>
  <si>
    <t>zip; pdf; shapefile; geodatabase</t>
  </si>
  <si>
    <t>entityIDAbove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</si>
</sst>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family val="2"/>
      <scheme val="minor"/>
    </font>
    <font>
      <b/>
      <sz val="12"/>
      <color theme="1"/>
      <name val="Calibri"/>
      <family val="2"/>
      <scheme val="minor"/>
    </font>
    <font>
      <sz val="10"/>
      <color rgb="FF000000"/>
      <name val="Arial"/>
      <family val="2"/>
    </font>
    <font>
      <u/>
      <sz val="12"/>
      <color theme="10"/>
      <name val="Calibri"/>
      <family val="2"/>
      <scheme val="minor"/>
    </font>
    <font>
      <b/>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2" borderId="0" xfId="0" applyFill="1"/>
    <xf numFmtId="0" fontId="1" fillId="2" borderId="1" xfId="0" applyFont="1" applyFill="1" applyBorder="1" applyAlignment="1">
      <alignment horizontal="center"/>
    </xf>
    <xf numFmtId="0" fontId="1" fillId="2" borderId="0" xfId="0" applyFont="1" applyFill="1"/>
    <xf numFmtId="0" fontId="0" fillId="3" borderId="0" xfId="0" applyFill="1" applyAlignment="1">
      <alignment horizontal="center"/>
    </xf>
    <xf numFmtId="0" fontId="1" fillId="2" borderId="1" xfId="0" applyFont="1" applyFill="1" applyBorder="1"/>
    <xf numFmtId="0" fontId="0" fillId="3" borderId="0" xfId="0" applyFill="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xf numFmtId="0" fontId="2" fillId="2" borderId="0" xfId="0" applyFont="1" applyFill="1"/>
    <xf numFmtId="0" fontId="0" fillId="2" borderId="0" xfId="0" applyFill="1" applyAlignment="1">
      <alignment horizontal="center"/>
    </xf>
    <xf numFmtId="0" fontId="3" fillId="0" borderId="0" xfId="1"/>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q.nc.gov/about/divisions/water-resources/water-resources-data/water-sciences-home-p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zoomScale="80" zoomScaleNormal="80" workbookViewId="0">
      <selection activeCell="G20" sqref="G20"/>
    </sheetView>
  </sheetViews>
  <sheetFormatPr defaultRowHeight="15.6" x14ac:dyDescent="0.3"/>
  <cols>
    <col min="1" max="1" width="8.796875" style="1"/>
    <col min="2" max="2" width="19.19921875" style="1" customWidth="1"/>
    <col min="3" max="3" width="21.296875" style="1" customWidth="1"/>
    <col min="4" max="5" width="8.796875" style="1"/>
    <col min="6" max="6" width="24.69921875" style="1" customWidth="1"/>
    <col min="7" max="7" width="52.69921875" style="1" customWidth="1"/>
    <col min="8" max="16384" width="8.796875" style="1"/>
  </cols>
  <sheetData>
    <row r="1" spans="1:12" x14ac:dyDescent="0.3">
      <c r="A1" s="2" t="s">
        <v>97</v>
      </c>
      <c r="B1" s="2" t="s">
        <v>95</v>
      </c>
      <c r="C1" s="2" t="s">
        <v>96</v>
      </c>
      <c r="D1" s="2" t="s">
        <v>98</v>
      </c>
      <c r="E1" s="2" t="s">
        <v>526</v>
      </c>
      <c r="F1" s="2" t="s">
        <v>19</v>
      </c>
      <c r="G1" s="2" t="s">
        <v>20</v>
      </c>
      <c r="H1" s="2" t="s">
        <v>21</v>
      </c>
      <c r="I1" s="2" t="s">
        <v>22</v>
      </c>
      <c r="J1" s="2" t="s">
        <v>23</v>
      </c>
      <c r="K1" s="2" t="s">
        <v>24</v>
      </c>
      <c r="L1" s="2" t="s">
        <v>25</v>
      </c>
    </row>
    <row r="2" spans="1:12" x14ac:dyDescent="0.3">
      <c r="A2" s="1" t="s">
        <v>26</v>
      </c>
      <c r="B2" s="1" t="s">
        <v>121</v>
      </c>
      <c r="C2" s="1" t="s">
        <v>121</v>
      </c>
      <c r="D2" s="1">
        <v>1</v>
      </c>
      <c r="E2" s="1" t="s">
        <v>331</v>
      </c>
      <c r="G2" s="1" t="s">
        <v>188</v>
      </c>
      <c r="H2" s="1" t="s">
        <v>5</v>
      </c>
      <c r="I2" s="1" t="s">
        <v>5</v>
      </c>
      <c r="J2" s="1" t="s">
        <v>5</v>
      </c>
      <c r="K2" s="1" t="s">
        <v>5</v>
      </c>
      <c r="L2" s="11">
        <v>1</v>
      </c>
    </row>
    <row r="3" spans="1:12" x14ac:dyDescent="0.3">
      <c r="A3" s="1" t="s">
        <v>27</v>
      </c>
      <c r="B3" s="1" t="s">
        <v>122</v>
      </c>
      <c r="C3" s="1" t="s">
        <v>122</v>
      </c>
      <c r="D3" s="1">
        <v>2</v>
      </c>
      <c r="E3" s="1" t="s">
        <v>26</v>
      </c>
      <c r="F3" s="1" t="s">
        <v>189</v>
      </c>
      <c r="G3" s="1" t="s">
        <v>190</v>
      </c>
      <c r="H3" s="1" t="s">
        <v>5</v>
      </c>
      <c r="I3" s="1" t="s">
        <v>5</v>
      </c>
      <c r="J3" s="1" t="s">
        <v>5</v>
      </c>
      <c r="K3" s="1" t="s">
        <v>5</v>
      </c>
      <c r="L3" s="11">
        <v>2</v>
      </c>
    </row>
    <row r="4" spans="1:12" x14ac:dyDescent="0.3">
      <c r="A4" s="1" t="s">
        <v>28</v>
      </c>
      <c r="B4" s="1" t="s">
        <v>123</v>
      </c>
      <c r="C4" s="1" t="s">
        <v>122</v>
      </c>
      <c r="D4" s="1">
        <v>2</v>
      </c>
      <c r="E4" s="1" t="s">
        <v>27</v>
      </c>
      <c r="F4" s="1" t="s">
        <v>191</v>
      </c>
      <c r="G4" s="1" t="s">
        <v>192</v>
      </c>
      <c r="H4" s="1" t="s">
        <v>12</v>
      </c>
      <c r="I4" s="1" t="s">
        <v>5</v>
      </c>
      <c r="J4" s="1" t="s">
        <v>5</v>
      </c>
      <c r="K4" s="1" t="s">
        <v>12</v>
      </c>
      <c r="L4" s="11">
        <v>3</v>
      </c>
    </row>
    <row r="5" spans="1:12" x14ac:dyDescent="0.3">
      <c r="A5" s="1" t="s">
        <v>29</v>
      </c>
      <c r="B5" s="1" t="s">
        <v>1</v>
      </c>
      <c r="C5" s="1" t="s">
        <v>122</v>
      </c>
      <c r="D5" s="1">
        <v>2</v>
      </c>
      <c r="E5" s="1" t="s">
        <v>27</v>
      </c>
      <c r="F5" s="1" t="s">
        <v>193</v>
      </c>
      <c r="G5" s="1" t="s">
        <v>194</v>
      </c>
      <c r="H5" s="1" t="s">
        <v>5</v>
      </c>
      <c r="I5" s="1" t="s">
        <v>5</v>
      </c>
      <c r="J5" s="1" t="s">
        <v>5</v>
      </c>
      <c r="K5" s="1" t="s">
        <v>5</v>
      </c>
      <c r="L5" s="11">
        <v>3</v>
      </c>
    </row>
    <row r="6" spans="1:12" x14ac:dyDescent="0.3">
      <c r="A6" s="1" t="s">
        <v>30</v>
      </c>
      <c r="B6" s="1" t="s">
        <v>124</v>
      </c>
      <c r="C6" s="1" t="s">
        <v>122</v>
      </c>
      <c r="D6" s="1">
        <v>2</v>
      </c>
      <c r="E6" s="1" t="s">
        <v>29</v>
      </c>
      <c r="G6" s="1" t="s">
        <v>195</v>
      </c>
      <c r="H6" s="1" t="s">
        <v>12</v>
      </c>
      <c r="I6" s="1" t="s">
        <v>5</v>
      </c>
      <c r="J6" s="1" t="s">
        <v>5</v>
      </c>
      <c r="K6" s="1" t="s">
        <v>12</v>
      </c>
      <c r="L6" s="11">
        <v>4</v>
      </c>
    </row>
    <row r="7" spans="1:12" x14ac:dyDescent="0.3">
      <c r="A7" s="1" t="s">
        <v>31</v>
      </c>
      <c r="B7" s="1" t="s">
        <v>125</v>
      </c>
      <c r="C7" s="1" t="s">
        <v>122</v>
      </c>
      <c r="D7" s="1">
        <v>2</v>
      </c>
      <c r="E7" s="1" t="s">
        <v>29</v>
      </c>
      <c r="F7" s="1" t="s">
        <v>196</v>
      </c>
      <c r="G7" s="1" t="s">
        <v>197</v>
      </c>
      <c r="H7" s="1" t="s">
        <v>5</v>
      </c>
      <c r="I7" s="1" t="s">
        <v>5</v>
      </c>
      <c r="J7" s="1" t="s">
        <v>5</v>
      </c>
      <c r="K7" s="1" t="s">
        <v>12</v>
      </c>
      <c r="L7" s="11">
        <v>4</v>
      </c>
    </row>
    <row r="8" spans="1:12" x14ac:dyDescent="0.3">
      <c r="A8" s="1" t="s">
        <v>32</v>
      </c>
      <c r="B8" s="1" t="s">
        <v>126</v>
      </c>
      <c r="C8" s="1" t="s">
        <v>122</v>
      </c>
      <c r="D8" s="1">
        <v>2</v>
      </c>
      <c r="E8" s="1" t="s">
        <v>29</v>
      </c>
      <c r="F8" s="1" t="s">
        <v>198</v>
      </c>
      <c r="G8" s="1" t="s">
        <v>199</v>
      </c>
      <c r="H8" s="1" t="s">
        <v>5</v>
      </c>
      <c r="I8" s="1" t="s">
        <v>5</v>
      </c>
      <c r="J8" s="1" t="s">
        <v>5</v>
      </c>
      <c r="K8" s="1" t="s">
        <v>5</v>
      </c>
      <c r="L8" s="11">
        <v>4</v>
      </c>
    </row>
    <row r="9" spans="1:12" x14ac:dyDescent="0.3">
      <c r="A9" s="1" t="s">
        <v>33</v>
      </c>
      <c r="B9" s="1" t="s">
        <v>127</v>
      </c>
      <c r="C9" s="1" t="s">
        <v>122</v>
      </c>
      <c r="D9" s="1">
        <v>2</v>
      </c>
      <c r="E9" s="1" t="s">
        <v>32</v>
      </c>
      <c r="F9" s="10" t="s">
        <v>200</v>
      </c>
      <c r="G9" s="1" t="s">
        <v>201</v>
      </c>
      <c r="H9" s="1" t="s">
        <v>12</v>
      </c>
      <c r="I9" s="1" t="s">
        <v>5</v>
      </c>
      <c r="J9" s="1" t="s">
        <v>12</v>
      </c>
      <c r="K9" s="1" t="s">
        <v>12</v>
      </c>
      <c r="L9" s="11">
        <v>5</v>
      </c>
    </row>
    <row r="10" spans="1:12" x14ac:dyDescent="0.3">
      <c r="A10" s="1" t="s">
        <v>34</v>
      </c>
      <c r="B10" s="1" t="s">
        <v>128</v>
      </c>
      <c r="C10" s="1" t="s">
        <v>122</v>
      </c>
      <c r="D10" s="1">
        <v>2</v>
      </c>
      <c r="E10" s="1" t="s">
        <v>32</v>
      </c>
      <c r="F10" s="1" t="s">
        <v>202</v>
      </c>
      <c r="G10" s="1" t="s">
        <v>203</v>
      </c>
      <c r="H10" s="1" t="s">
        <v>12</v>
      </c>
      <c r="I10" s="1" t="s">
        <v>5</v>
      </c>
      <c r="J10" s="1" t="s">
        <v>5</v>
      </c>
      <c r="K10" s="1" t="s">
        <v>12</v>
      </c>
      <c r="L10" s="11">
        <v>5</v>
      </c>
    </row>
    <row r="11" spans="1:12" x14ac:dyDescent="0.3">
      <c r="A11" s="1" t="s">
        <v>35</v>
      </c>
      <c r="B11" s="1" t="s">
        <v>129</v>
      </c>
      <c r="C11" s="1" t="s">
        <v>122</v>
      </c>
      <c r="D11" s="1">
        <v>2</v>
      </c>
      <c r="E11" s="1" t="s">
        <v>32</v>
      </c>
      <c r="F11" s="1" t="s">
        <v>204</v>
      </c>
      <c r="G11" s="1" t="s">
        <v>205</v>
      </c>
      <c r="H11" s="1" t="s">
        <v>5</v>
      </c>
      <c r="I11" s="1" t="s">
        <v>5</v>
      </c>
      <c r="J11" s="1" t="s">
        <v>12</v>
      </c>
      <c r="K11" s="1" t="s">
        <v>12</v>
      </c>
      <c r="L11" s="11">
        <v>5</v>
      </c>
    </row>
    <row r="12" spans="1:12" x14ac:dyDescent="0.3">
      <c r="A12" s="1" t="s">
        <v>36</v>
      </c>
      <c r="B12" s="1" t="s">
        <v>130</v>
      </c>
      <c r="C12" s="1" t="s">
        <v>122</v>
      </c>
      <c r="D12" s="1">
        <v>2</v>
      </c>
      <c r="E12" s="1" t="s">
        <v>32</v>
      </c>
      <c r="F12" s="1" t="s">
        <v>206</v>
      </c>
      <c r="G12" s="1" t="s">
        <v>207</v>
      </c>
      <c r="H12" s="1" t="s">
        <v>5</v>
      </c>
      <c r="I12" s="1" t="s">
        <v>12</v>
      </c>
      <c r="J12" s="1" t="s">
        <v>12</v>
      </c>
      <c r="K12" s="1" t="s">
        <v>5</v>
      </c>
      <c r="L12" s="11">
        <v>5</v>
      </c>
    </row>
    <row r="13" spans="1:12" x14ac:dyDescent="0.3">
      <c r="A13" s="1" t="s">
        <v>37</v>
      </c>
      <c r="B13" s="1" t="s">
        <v>131</v>
      </c>
      <c r="C13" s="1" t="s">
        <v>122</v>
      </c>
      <c r="D13" s="1">
        <v>2</v>
      </c>
      <c r="E13" s="1" t="s">
        <v>29</v>
      </c>
      <c r="F13" s="1" t="s">
        <v>208</v>
      </c>
      <c r="G13" s="1" t="s">
        <v>209</v>
      </c>
      <c r="H13" s="1" t="s">
        <v>5</v>
      </c>
      <c r="I13" s="1" t="s">
        <v>5</v>
      </c>
      <c r="J13" s="1" t="s">
        <v>5</v>
      </c>
      <c r="K13" s="1" t="s">
        <v>12</v>
      </c>
      <c r="L13" s="11">
        <v>4</v>
      </c>
    </row>
    <row r="14" spans="1:12" x14ac:dyDescent="0.3">
      <c r="A14" s="1" t="s">
        <v>38</v>
      </c>
      <c r="B14" s="1" t="s">
        <v>132</v>
      </c>
      <c r="C14" s="1" t="s">
        <v>122</v>
      </c>
      <c r="D14" s="1">
        <v>2</v>
      </c>
      <c r="E14" s="1" t="s">
        <v>29</v>
      </c>
      <c r="F14" s="1" t="s">
        <v>210</v>
      </c>
      <c r="G14" s="1" t="s">
        <v>211</v>
      </c>
      <c r="H14" s="1" t="s">
        <v>5</v>
      </c>
      <c r="I14" s="1" t="s">
        <v>5</v>
      </c>
      <c r="J14" s="1" t="s">
        <v>5</v>
      </c>
      <c r="K14" s="1" t="s">
        <v>12</v>
      </c>
      <c r="L14" s="11">
        <v>4</v>
      </c>
    </row>
    <row r="15" spans="1:12" x14ac:dyDescent="0.3">
      <c r="A15" s="1" t="s">
        <v>117</v>
      </c>
      <c r="B15" s="1" t="s">
        <v>133</v>
      </c>
      <c r="C15" s="1" t="s">
        <v>122</v>
      </c>
      <c r="D15" s="1">
        <v>2</v>
      </c>
      <c r="E15" s="1" t="s">
        <v>38</v>
      </c>
      <c r="F15" s="1" t="s">
        <v>212</v>
      </c>
      <c r="G15" s="1" t="s">
        <v>213</v>
      </c>
      <c r="H15" s="1" t="s">
        <v>12</v>
      </c>
      <c r="I15" s="1" t="s">
        <v>5</v>
      </c>
      <c r="J15" s="1" t="s">
        <v>5</v>
      </c>
      <c r="K15" s="1" t="s">
        <v>12</v>
      </c>
      <c r="L15" s="11">
        <v>5</v>
      </c>
    </row>
    <row r="16" spans="1:12" x14ac:dyDescent="0.3">
      <c r="A16" s="1" t="s">
        <v>118</v>
      </c>
      <c r="B16" s="1" t="s">
        <v>134</v>
      </c>
      <c r="C16" s="1" t="s">
        <v>122</v>
      </c>
      <c r="D16" s="1">
        <v>2</v>
      </c>
      <c r="E16" s="1" t="s">
        <v>38</v>
      </c>
      <c r="F16" s="1" t="s">
        <v>214</v>
      </c>
      <c r="G16" s="1" t="s">
        <v>215</v>
      </c>
      <c r="H16" s="1" t="s">
        <v>12</v>
      </c>
      <c r="I16" s="1" t="s">
        <v>5</v>
      </c>
      <c r="J16" s="1" t="s">
        <v>5</v>
      </c>
      <c r="K16" s="1" t="s">
        <v>12</v>
      </c>
      <c r="L16" s="11">
        <v>5</v>
      </c>
    </row>
    <row r="17" spans="1:12" x14ac:dyDescent="0.3">
      <c r="A17" s="1" t="s">
        <v>135</v>
      </c>
      <c r="B17" s="1" t="s">
        <v>136</v>
      </c>
      <c r="C17" s="1" t="s">
        <v>122</v>
      </c>
      <c r="D17" s="1">
        <v>2</v>
      </c>
      <c r="E17" s="1" t="s">
        <v>38</v>
      </c>
      <c r="G17" s="1" t="s">
        <v>216</v>
      </c>
      <c r="H17" s="1" t="s">
        <v>12</v>
      </c>
      <c r="I17" s="1" t="s">
        <v>5</v>
      </c>
      <c r="J17" s="1" t="s">
        <v>12</v>
      </c>
      <c r="K17" s="1" t="s">
        <v>12</v>
      </c>
      <c r="L17" s="11">
        <v>5</v>
      </c>
    </row>
    <row r="18" spans="1:12" x14ac:dyDescent="0.3">
      <c r="A18" s="1" t="s">
        <v>137</v>
      </c>
      <c r="B18" s="1" t="s">
        <v>138</v>
      </c>
      <c r="C18" s="1" t="s">
        <v>122</v>
      </c>
      <c r="D18" s="1">
        <v>2</v>
      </c>
      <c r="E18" s="1" t="s">
        <v>29</v>
      </c>
      <c r="G18" s="1" t="s">
        <v>217</v>
      </c>
      <c r="H18" s="1" t="s">
        <v>5</v>
      </c>
      <c r="I18" s="1" t="s">
        <v>5</v>
      </c>
      <c r="J18" s="1" t="s">
        <v>5</v>
      </c>
      <c r="K18" s="1" t="s">
        <v>12</v>
      </c>
      <c r="L18" s="11">
        <v>4</v>
      </c>
    </row>
    <row r="19" spans="1:12" x14ac:dyDescent="0.3">
      <c r="A19" s="1" t="s">
        <v>139</v>
      </c>
      <c r="B19" s="1" t="s">
        <v>140</v>
      </c>
      <c r="C19" s="1" t="s">
        <v>122</v>
      </c>
      <c r="D19" s="1">
        <v>2</v>
      </c>
      <c r="E19" s="1" t="s">
        <v>137</v>
      </c>
      <c r="F19" s="1" t="s">
        <v>218</v>
      </c>
      <c r="G19" s="1" t="s">
        <v>219</v>
      </c>
      <c r="H19" s="1" t="s">
        <v>12</v>
      </c>
      <c r="I19" s="1" t="s">
        <v>12</v>
      </c>
      <c r="J19" s="1" t="s">
        <v>5</v>
      </c>
      <c r="K19" s="1" t="s">
        <v>12</v>
      </c>
      <c r="L19" s="11">
        <v>5</v>
      </c>
    </row>
    <row r="20" spans="1:12" x14ac:dyDescent="0.3">
      <c r="A20" s="1" t="s">
        <v>119</v>
      </c>
      <c r="B20" s="1" t="s">
        <v>141</v>
      </c>
      <c r="C20" s="1" t="s">
        <v>122</v>
      </c>
      <c r="D20" s="1">
        <v>2</v>
      </c>
      <c r="E20" s="1" t="s">
        <v>137</v>
      </c>
      <c r="F20" s="1" t="s">
        <v>220</v>
      </c>
      <c r="G20" s="1" t="s">
        <v>221</v>
      </c>
      <c r="H20" s="1" t="s">
        <v>12</v>
      </c>
      <c r="I20" s="1" t="s">
        <v>12</v>
      </c>
      <c r="J20" s="1" t="s">
        <v>5</v>
      </c>
      <c r="K20" s="1" t="s">
        <v>12</v>
      </c>
      <c r="L20" s="11">
        <v>5</v>
      </c>
    </row>
    <row r="21" spans="1:12" x14ac:dyDescent="0.3">
      <c r="A21" s="1" t="s">
        <v>142</v>
      </c>
      <c r="B21" s="1" t="s">
        <v>143</v>
      </c>
      <c r="C21" s="1" t="s">
        <v>122</v>
      </c>
      <c r="D21" s="1">
        <v>2</v>
      </c>
      <c r="E21" s="1" t="s">
        <v>137</v>
      </c>
      <c r="F21" s="1" t="s">
        <v>222</v>
      </c>
      <c r="G21" s="1" t="s">
        <v>223</v>
      </c>
      <c r="H21" s="1" t="s">
        <v>12</v>
      </c>
      <c r="I21" s="1" t="s">
        <v>12</v>
      </c>
      <c r="J21" s="1" t="s">
        <v>5</v>
      </c>
      <c r="K21" s="1" t="s">
        <v>12</v>
      </c>
      <c r="L21" s="11">
        <v>5</v>
      </c>
    </row>
    <row r="22" spans="1:12" x14ac:dyDescent="0.3">
      <c r="A22" s="1" t="s">
        <v>144</v>
      </c>
      <c r="B22" s="1" t="s">
        <v>145</v>
      </c>
      <c r="C22" s="1" t="s">
        <v>122</v>
      </c>
      <c r="D22" s="1">
        <v>2</v>
      </c>
      <c r="E22" s="1" t="s">
        <v>137</v>
      </c>
      <c r="F22" s="1" t="s">
        <v>224</v>
      </c>
      <c r="G22" s="1" t="s">
        <v>225</v>
      </c>
      <c r="H22" s="1" t="s">
        <v>5</v>
      </c>
      <c r="I22" s="1" t="s">
        <v>5</v>
      </c>
      <c r="J22" s="1" t="s">
        <v>5</v>
      </c>
      <c r="K22" s="1" t="s">
        <v>12</v>
      </c>
      <c r="L22" s="11">
        <v>5</v>
      </c>
    </row>
    <row r="23" spans="1:12" x14ac:dyDescent="0.3">
      <c r="A23" s="1" t="s">
        <v>146</v>
      </c>
      <c r="B23" s="1" t="s">
        <v>147</v>
      </c>
      <c r="C23" s="1" t="s">
        <v>122</v>
      </c>
      <c r="D23" s="1">
        <v>2</v>
      </c>
      <c r="E23" s="1" t="s">
        <v>137</v>
      </c>
      <c r="F23" s="1" t="s">
        <v>226</v>
      </c>
      <c r="G23" s="1" t="s">
        <v>227</v>
      </c>
      <c r="H23" s="1" t="s">
        <v>12</v>
      </c>
      <c r="I23" s="1" t="s">
        <v>12</v>
      </c>
      <c r="J23" s="1" t="s">
        <v>5</v>
      </c>
      <c r="K23" s="1" t="s">
        <v>12</v>
      </c>
      <c r="L23" s="11">
        <v>5</v>
      </c>
    </row>
    <row r="24" spans="1:12" x14ac:dyDescent="0.3">
      <c r="A24" s="1" t="s">
        <v>148</v>
      </c>
      <c r="B24" s="1" t="s">
        <v>149</v>
      </c>
      <c r="C24" s="1" t="s">
        <v>122</v>
      </c>
      <c r="D24" s="1">
        <v>2</v>
      </c>
      <c r="E24" s="1" t="s">
        <v>137</v>
      </c>
      <c r="F24" s="1" t="s">
        <v>228</v>
      </c>
      <c r="G24" s="1" t="s">
        <v>229</v>
      </c>
      <c r="H24" s="1" t="s">
        <v>12</v>
      </c>
      <c r="I24" s="1" t="s">
        <v>12</v>
      </c>
      <c r="J24" s="1" t="s">
        <v>5</v>
      </c>
      <c r="K24" s="1" t="s">
        <v>12</v>
      </c>
      <c r="L24" s="11">
        <v>5</v>
      </c>
    </row>
    <row r="25" spans="1:12" x14ac:dyDescent="0.3">
      <c r="A25" s="1" t="s">
        <v>150</v>
      </c>
      <c r="B25" s="1" t="s">
        <v>151</v>
      </c>
      <c r="C25" s="1" t="s">
        <v>122</v>
      </c>
      <c r="D25" s="1">
        <v>2</v>
      </c>
      <c r="E25" s="1" t="s">
        <v>27</v>
      </c>
      <c r="F25" s="1" t="s">
        <v>230</v>
      </c>
      <c r="G25" s="1" t="s">
        <v>231</v>
      </c>
      <c r="H25" s="1" t="s">
        <v>5</v>
      </c>
      <c r="I25" s="1" t="s">
        <v>5</v>
      </c>
      <c r="J25" s="1" t="s">
        <v>5</v>
      </c>
      <c r="K25" s="1" t="s">
        <v>12</v>
      </c>
      <c r="L25" s="11">
        <v>3</v>
      </c>
    </row>
    <row r="26" spans="1:12" x14ac:dyDescent="0.3">
      <c r="A26" s="1" t="s">
        <v>152</v>
      </c>
      <c r="B26" s="1" t="s">
        <v>153</v>
      </c>
      <c r="C26" s="1" t="s">
        <v>122</v>
      </c>
      <c r="D26" s="1">
        <v>2</v>
      </c>
      <c r="E26" s="1" t="s">
        <v>150</v>
      </c>
      <c r="F26" s="1" t="s">
        <v>232</v>
      </c>
      <c r="G26" s="1" t="s">
        <v>233</v>
      </c>
      <c r="H26" s="1" t="s">
        <v>5</v>
      </c>
      <c r="I26" s="1" t="s">
        <v>5</v>
      </c>
      <c r="J26" s="1" t="s">
        <v>5</v>
      </c>
      <c r="K26" s="1" t="s">
        <v>12</v>
      </c>
      <c r="L26" s="11">
        <v>4</v>
      </c>
    </row>
    <row r="27" spans="1:12" x14ac:dyDescent="0.3">
      <c r="A27" s="1" t="s">
        <v>154</v>
      </c>
      <c r="B27" s="1" t="s">
        <v>155</v>
      </c>
      <c r="C27" s="1" t="s">
        <v>122</v>
      </c>
      <c r="D27" s="1">
        <v>2</v>
      </c>
      <c r="E27" s="1" t="s">
        <v>150</v>
      </c>
      <c r="F27" s="1" t="s">
        <v>234</v>
      </c>
      <c r="G27" s="1" t="s">
        <v>235</v>
      </c>
      <c r="H27" s="1" t="s">
        <v>12</v>
      </c>
      <c r="I27" s="1" t="s">
        <v>5</v>
      </c>
      <c r="J27" s="1" t="s">
        <v>12</v>
      </c>
      <c r="K27" s="1" t="s">
        <v>12</v>
      </c>
      <c r="L27" s="11">
        <v>4</v>
      </c>
    </row>
    <row r="28" spans="1:12" x14ac:dyDescent="0.3">
      <c r="A28" s="1" t="s">
        <v>156</v>
      </c>
      <c r="B28" s="1" t="s">
        <v>157</v>
      </c>
      <c r="C28" s="1" t="s">
        <v>122</v>
      </c>
      <c r="D28" s="1">
        <v>2</v>
      </c>
      <c r="E28" s="1" t="s">
        <v>27</v>
      </c>
      <c r="F28" s="1" t="s">
        <v>236</v>
      </c>
      <c r="G28" s="1" t="s">
        <v>237</v>
      </c>
      <c r="H28" s="1" t="s">
        <v>12</v>
      </c>
      <c r="I28" s="1" t="s">
        <v>5</v>
      </c>
      <c r="J28" s="1" t="s">
        <v>12</v>
      </c>
      <c r="K28" s="1" t="s">
        <v>5</v>
      </c>
      <c r="L28" s="11">
        <v>3</v>
      </c>
    </row>
    <row r="29" spans="1:12" x14ac:dyDescent="0.3">
      <c r="A29" s="1" t="s">
        <v>158</v>
      </c>
      <c r="B29" s="1" t="s">
        <v>159</v>
      </c>
      <c r="C29" s="1" t="s">
        <v>159</v>
      </c>
      <c r="D29" s="1">
        <v>3</v>
      </c>
      <c r="E29" s="1" t="s">
        <v>26</v>
      </c>
      <c r="F29" s="1" t="s">
        <v>238</v>
      </c>
      <c r="G29" s="1" t="s">
        <v>239</v>
      </c>
      <c r="H29" s="1" t="s">
        <v>12</v>
      </c>
      <c r="I29" s="1" t="s">
        <v>5</v>
      </c>
      <c r="J29" s="1" t="s">
        <v>12</v>
      </c>
      <c r="K29" s="1" t="s">
        <v>5</v>
      </c>
      <c r="L29" s="11">
        <v>2</v>
      </c>
    </row>
    <row r="30" spans="1:12" x14ac:dyDescent="0.3">
      <c r="A30" s="1" t="s">
        <v>160</v>
      </c>
      <c r="B30" s="1" t="s">
        <v>161</v>
      </c>
      <c r="C30" s="1" t="s">
        <v>159</v>
      </c>
      <c r="D30" s="1">
        <v>3</v>
      </c>
      <c r="E30" s="1" t="s">
        <v>158</v>
      </c>
      <c r="F30" s="1" t="s">
        <v>240</v>
      </c>
      <c r="G30" s="1" t="s">
        <v>241</v>
      </c>
      <c r="H30" s="1" t="s">
        <v>12</v>
      </c>
      <c r="I30" s="1" t="s">
        <v>5</v>
      </c>
      <c r="J30" s="1" t="s">
        <v>12</v>
      </c>
      <c r="K30" s="1" t="s">
        <v>12</v>
      </c>
      <c r="L30" s="11">
        <v>3</v>
      </c>
    </row>
    <row r="31" spans="1:12" x14ac:dyDescent="0.3">
      <c r="A31" s="1" t="s">
        <v>162</v>
      </c>
      <c r="B31" s="1" t="s">
        <v>163</v>
      </c>
      <c r="C31" s="1" t="s">
        <v>159</v>
      </c>
      <c r="D31" s="1">
        <v>3</v>
      </c>
      <c r="E31" s="1" t="s">
        <v>160</v>
      </c>
      <c r="G31" s="1" t="s">
        <v>242</v>
      </c>
      <c r="H31" s="1" t="s">
        <v>12</v>
      </c>
      <c r="I31" s="1" t="s">
        <v>5</v>
      </c>
      <c r="J31" s="1" t="s">
        <v>12</v>
      </c>
      <c r="K31" s="1" t="s">
        <v>12</v>
      </c>
      <c r="L31" s="11">
        <v>4</v>
      </c>
    </row>
    <row r="32" spans="1:12" x14ac:dyDescent="0.3">
      <c r="A32" s="1" t="s">
        <v>164</v>
      </c>
      <c r="B32" s="1" t="s">
        <v>165</v>
      </c>
      <c r="C32" s="1" t="s">
        <v>159</v>
      </c>
      <c r="D32" s="1">
        <v>3</v>
      </c>
      <c r="E32" s="1" t="s">
        <v>160</v>
      </c>
      <c r="G32" s="1" t="s">
        <v>243</v>
      </c>
      <c r="H32" s="1" t="s">
        <v>12</v>
      </c>
      <c r="I32" s="1" t="s">
        <v>5</v>
      </c>
      <c r="J32" s="1" t="s">
        <v>12</v>
      </c>
      <c r="K32" s="1" t="s">
        <v>12</v>
      </c>
      <c r="L32" s="11">
        <v>4</v>
      </c>
    </row>
    <row r="33" spans="1:12" x14ac:dyDescent="0.3">
      <c r="A33" s="1" t="s">
        <v>166</v>
      </c>
      <c r="B33" s="1" t="s">
        <v>167</v>
      </c>
      <c r="C33" s="1" t="s">
        <v>159</v>
      </c>
      <c r="D33" s="1">
        <v>3</v>
      </c>
      <c r="E33" s="1" t="s">
        <v>158</v>
      </c>
      <c r="G33" s="1" t="s">
        <v>244</v>
      </c>
      <c r="H33" s="1" t="s">
        <v>12</v>
      </c>
      <c r="I33" s="1" t="s">
        <v>5</v>
      </c>
      <c r="J33" s="1" t="s">
        <v>12</v>
      </c>
      <c r="K33" s="1" t="s">
        <v>5</v>
      </c>
      <c r="L33" s="11">
        <v>3</v>
      </c>
    </row>
    <row r="34" spans="1:12" x14ac:dyDescent="0.3">
      <c r="A34" s="1" t="s">
        <v>168</v>
      </c>
      <c r="B34" s="1" t="s">
        <v>169</v>
      </c>
      <c r="C34" s="1" t="s">
        <v>169</v>
      </c>
      <c r="D34" s="1">
        <v>4</v>
      </c>
      <c r="E34" s="1" t="s">
        <v>26</v>
      </c>
      <c r="F34" s="1" t="s">
        <v>245</v>
      </c>
      <c r="G34" s="1" t="s">
        <v>246</v>
      </c>
      <c r="H34" s="1" t="s">
        <v>5</v>
      </c>
      <c r="I34" s="1" t="s">
        <v>5</v>
      </c>
      <c r="J34" s="1" t="s">
        <v>12</v>
      </c>
      <c r="K34" s="1" t="s">
        <v>12</v>
      </c>
      <c r="L34" s="11">
        <v>2</v>
      </c>
    </row>
    <row r="35" spans="1:12" x14ac:dyDescent="0.3">
      <c r="A35" s="1" t="s">
        <v>170</v>
      </c>
      <c r="B35" s="1" t="s">
        <v>171</v>
      </c>
      <c r="C35" s="1" t="s">
        <v>169</v>
      </c>
      <c r="D35" s="1">
        <v>4</v>
      </c>
      <c r="E35" s="1" t="s">
        <v>168</v>
      </c>
      <c r="F35" s="1" t="s">
        <v>247</v>
      </c>
      <c r="G35" s="1" t="s">
        <v>248</v>
      </c>
      <c r="H35" s="1" t="s">
        <v>12</v>
      </c>
      <c r="I35" s="1" t="s">
        <v>5</v>
      </c>
      <c r="J35" s="1" t="s">
        <v>12</v>
      </c>
      <c r="K35" s="1" t="s">
        <v>12</v>
      </c>
      <c r="L35" s="11">
        <v>3</v>
      </c>
    </row>
    <row r="36" spans="1:12" x14ac:dyDescent="0.3">
      <c r="A36" s="1" t="s">
        <v>172</v>
      </c>
      <c r="B36" s="1" t="s">
        <v>173</v>
      </c>
      <c r="C36" s="1" t="s">
        <v>173</v>
      </c>
      <c r="D36" s="1">
        <v>5</v>
      </c>
      <c r="E36" s="1" t="s">
        <v>26</v>
      </c>
      <c r="F36" s="1" t="s">
        <v>249</v>
      </c>
      <c r="G36" s="1" t="s">
        <v>250</v>
      </c>
      <c r="H36" s="1" t="s">
        <v>12</v>
      </c>
      <c r="I36" s="1" t="s">
        <v>12</v>
      </c>
      <c r="J36" s="1" t="s">
        <v>5</v>
      </c>
      <c r="K36" s="1" t="s">
        <v>12</v>
      </c>
      <c r="L36" s="11">
        <v>2</v>
      </c>
    </row>
    <row r="37" spans="1:12" x14ac:dyDescent="0.3">
      <c r="A37" s="1" t="s">
        <v>174</v>
      </c>
      <c r="B37" s="1" t="s">
        <v>175</v>
      </c>
      <c r="C37" s="1" t="s">
        <v>173</v>
      </c>
      <c r="D37" s="1">
        <v>5</v>
      </c>
      <c r="E37" s="1" t="s">
        <v>172</v>
      </c>
      <c r="F37" s="1" t="s">
        <v>251</v>
      </c>
      <c r="G37" s="1" t="s">
        <v>252</v>
      </c>
      <c r="H37" s="1" t="s">
        <v>12</v>
      </c>
      <c r="I37" s="1" t="s">
        <v>12</v>
      </c>
      <c r="J37" s="1" t="s">
        <v>5</v>
      </c>
      <c r="K37" s="1" t="s">
        <v>12</v>
      </c>
      <c r="L37" s="11">
        <v>3</v>
      </c>
    </row>
    <row r="38" spans="1:12" x14ac:dyDescent="0.3">
      <c r="A38" s="1" t="s">
        <v>176</v>
      </c>
      <c r="B38" s="1" t="s">
        <v>177</v>
      </c>
      <c r="C38" s="1" t="s">
        <v>173</v>
      </c>
      <c r="D38" s="1">
        <v>5</v>
      </c>
      <c r="E38" s="1" t="s">
        <v>174</v>
      </c>
      <c r="F38" s="1" t="s">
        <v>253</v>
      </c>
      <c r="G38" s="1" t="s">
        <v>254</v>
      </c>
      <c r="H38" s="1" t="s">
        <v>12</v>
      </c>
      <c r="I38" s="1" t="s">
        <v>12</v>
      </c>
      <c r="J38" s="1" t="s">
        <v>5</v>
      </c>
      <c r="K38" s="1" t="s">
        <v>12</v>
      </c>
      <c r="L38" s="11">
        <v>4</v>
      </c>
    </row>
    <row r="39" spans="1:12" x14ac:dyDescent="0.3">
      <c r="A39" s="1" t="s">
        <v>178</v>
      </c>
      <c r="B39" s="1" t="s">
        <v>179</v>
      </c>
      <c r="C39" s="1" t="s">
        <v>173</v>
      </c>
      <c r="D39" s="1">
        <v>5</v>
      </c>
      <c r="E39" s="1" t="s">
        <v>176</v>
      </c>
      <c r="F39" s="1" t="s">
        <v>255</v>
      </c>
      <c r="G39" s="1" t="s">
        <v>256</v>
      </c>
      <c r="H39" s="1" t="s">
        <v>12</v>
      </c>
      <c r="I39" s="1" t="s">
        <v>12</v>
      </c>
      <c r="J39" s="1" t="s">
        <v>5</v>
      </c>
      <c r="K39" s="1" t="s">
        <v>12</v>
      </c>
      <c r="L39" s="11">
        <v>5</v>
      </c>
    </row>
    <row r="40" spans="1:12" x14ac:dyDescent="0.3">
      <c r="A40" s="1" t="s">
        <v>180</v>
      </c>
      <c r="B40" s="1" t="s">
        <v>181</v>
      </c>
      <c r="C40" s="1" t="s">
        <v>181</v>
      </c>
      <c r="D40" s="1">
        <v>6</v>
      </c>
      <c r="E40" s="1" t="s">
        <v>26</v>
      </c>
      <c r="F40" s="1" t="s">
        <v>257</v>
      </c>
      <c r="G40" s="1" t="s">
        <v>258</v>
      </c>
      <c r="H40" s="1" t="s">
        <v>12</v>
      </c>
      <c r="I40" s="1" t="s">
        <v>5</v>
      </c>
      <c r="J40" s="1" t="s">
        <v>5</v>
      </c>
      <c r="K40" s="1" t="s">
        <v>12</v>
      </c>
      <c r="L40" s="11">
        <v>2</v>
      </c>
    </row>
    <row r="41" spans="1:12" x14ac:dyDescent="0.3">
      <c r="A41" s="1" t="s">
        <v>182</v>
      </c>
      <c r="B41" s="1" t="s">
        <v>183</v>
      </c>
      <c r="C41" s="1" t="s">
        <v>183</v>
      </c>
      <c r="D41" s="1">
        <v>7</v>
      </c>
      <c r="E41" s="1" t="s">
        <v>26</v>
      </c>
      <c r="G41" s="1" t="s">
        <v>259</v>
      </c>
      <c r="H41" s="1" t="s">
        <v>5</v>
      </c>
      <c r="I41" s="1" t="s">
        <v>5</v>
      </c>
      <c r="J41" s="1" t="s">
        <v>5</v>
      </c>
      <c r="K41" s="1" t="s">
        <v>12</v>
      </c>
      <c r="L41" s="11">
        <v>2</v>
      </c>
    </row>
    <row r="42" spans="1:12" x14ac:dyDescent="0.3">
      <c r="A42" s="1" t="s">
        <v>184</v>
      </c>
      <c r="B42" s="1" t="s">
        <v>185</v>
      </c>
      <c r="C42" s="1" t="s">
        <v>183</v>
      </c>
      <c r="D42" s="1">
        <v>7</v>
      </c>
      <c r="E42" s="1" t="s">
        <v>182</v>
      </c>
      <c r="G42" s="1" t="s">
        <v>260</v>
      </c>
      <c r="H42" s="1" t="s">
        <v>5</v>
      </c>
      <c r="I42" s="1" t="s">
        <v>5</v>
      </c>
      <c r="J42" s="1" t="s">
        <v>5</v>
      </c>
      <c r="K42" s="1" t="s">
        <v>12</v>
      </c>
      <c r="L42" s="11">
        <v>3</v>
      </c>
    </row>
    <row r="43" spans="1:12" x14ac:dyDescent="0.3">
      <c r="A43" s="1" t="s">
        <v>186</v>
      </c>
      <c r="B43" s="1" t="s">
        <v>187</v>
      </c>
      <c r="C43" s="1" t="s">
        <v>183</v>
      </c>
      <c r="D43" s="1">
        <v>7</v>
      </c>
      <c r="E43" s="1" t="s">
        <v>184</v>
      </c>
      <c r="G43" s="1" t="s">
        <v>261</v>
      </c>
      <c r="H43" s="1" t="s">
        <v>12</v>
      </c>
      <c r="I43" s="1" t="s">
        <v>5</v>
      </c>
      <c r="J43" s="1" t="s">
        <v>5</v>
      </c>
      <c r="K43" s="1" t="s">
        <v>12</v>
      </c>
      <c r="L43" s="11">
        <v>4</v>
      </c>
    </row>
    <row r="44" spans="1:12" x14ac:dyDescent="0.3">
      <c r="A44" s="1" t="s">
        <v>329</v>
      </c>
      <c r="B44" s="1" t="s">
        <v>326</v>
      </c>
      <c r="C44" s="1" t="s">
        <v>122</v>
      </c>
      <c r="D44" s="1">
        <v>2</v>
      </c>
      <c r="E44" s="1" t="s">
        <v>27</v>
      </c>
      <c r="F44" s="1" t="s">
        <v>330</v>
      </c>
      <c r="G44" s="12" t="s">
        <v>211</v>
      </c>
      <c r="H44" s="1" t="s">
        <v>12</v>
      </c>
      <c r="I44" s="1" t="s">
        <v>5</v>
      </c>
      <c r="J44" s="1" t="s">
        <v>5</v>
      </c>
      <c r="K44" s="1" t="s">
        <v>12</v>
      </c>
      <c r="L44" s="11">
        <v>3</v>
      </c>
    </row>
  </sheetData>
  <hyperlinks>
    <hyperlink ref="G44"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topLeftCell="A7" workbookViewId="0">
      <selection activeCell="C7" sqref="C1:C1048576"/>
    </sheetView>
  </sheetViews>
  <sheetFormatPr defaultRowHeight="15.6" x14ac:dyDescent="0.3"/>
  <cols>
    <col min="1" max="16384" width="8.796875" style="1"/>
  </cols>
  <sheetData>
    <row r="1" spans="1:2" x14ac:dyDescent="0.3">
      <c r="A1" s="5" t="s">
        <v>39</v>
      </c>
      <c r="B1" s="5" t="s">
        <v>40</v>
      </c>
    </row>
    <row r="2" spans="1:2" x14ac:dyDescent="0.3">
      <c r="A2" s="1" t="s">
        <v>26</v>
      </c>
      <c r="B2" s="1" t="s">
        <v>27</v>
      </c>
    </row>
    <row r="3" spans="1:2" x14ac:dyDescent="0.3">
      <c r="A3" s="1" t="s">
        <v>26</v>
      </c>
      <c r="B3" s="1" t="s">
        <v>158</v>
      </c>
    </row>
    <row r="4" spans="1:2" x14ac:dyDescent="0.3">
      <c r="A4" s="1" t="s">
        <v>26</v>
      </c>
      <c r="B4" s="1" t="s">
        <v>168</v>
      </c>
    </row>
    <row r="5" spans="1:2" x14ac:dyDescent="0.3">
      <c r="A5" s="1" t="s">
        <v>26</v>
      </c>
      <c r="B5" s="1" t="s">
        <v>172</v>
      </c>
    </row>
    <row r="6" spans="1:2" x14ac:dyDescent="0.3">
      <c r="A6" s="1" t="s">
        <v>26</v>
      </c>
      <c r="B6" s="1" t="s">
        <v>180</v>
      </c>
    </row>
    <row r="7" spans="1:2" x14ac:dyDescent="0.3">
      <c r="A7" s="1" t="s">
        <v>26</v>
      </c>
      <c r="B7" s="1" t="s">
        <v>182</v>
      </c>
    </row>
    <row r="8" spans="1:2" x14ac:dyDescent="0.3">
      <c r="A8" s="1" t="s">
        <v>27</v>
      </c>
      <c r="B8" s="1" t="s">
        <v>28</v>
      </c>
    </row>
    <row r="9" spans="1:2" x14ac:dyDescent="0.3">
      <c r="A9" s="1" t="s">
        <v>27</v>
      </c>
      <c r="B9" s="1" t="s">
        <v>29</v>
      </c>
    </row>
    <row r="10" spans="1:2" x14ac:dyDescent="0.3">
      <c r="A10" s="1" t="s">
        <v>27</v>
      </c>
      <c r="B10" s="1" t="s">
        <v>150</v>
      </c>
    </row>
    <row r="11" spans="1:2" x14ac:dyDescent="0.3">
      <c r="A11" s="1" t="s">
        <v>27</v>
      </c>
      <c r="B11" s="1" t="s">
        <v>156</v>
      </c>
    </row>
    <row r="12" spans="1:2" x14ac:dyDescent="0.3">
      <c r="A12" s="1" t="s">
        <v>27</v>
      </c>
      <c r="B12" s="1" t="s">
        <v>329</v>
      </c>
    </row>
    <row r="13" spans="1:2" x14ac:dyDescent="0.3">
      <c r="A13" s="1" t="s">
        <v>29</v>
      </c>
      <c r="B13" s="1" t="s">
        <v>30</v>
      </c>
    </row>
    <row r="14" spans="1:2" x14ac:dyDescent="0.3">
      <c r="A14" s="1" t="s">
        <v>29</v>
      </c>
      <c r="B14" s="1" t="s">
        <v>31</v>
      </c>
    </row>
    <row r="15" spans="1:2" x14ac:dyDescent="0.3">
      <c r="A15" s="1" t="s">
        <v>29</v>
      </c>
      <c r="B15" s="1" t="s">
        <v>32</v>
      </c>
    </row>
    <row r="16" spans="1:2" x14ac:dyDescent="0.3">
      <c r="A16" s="1" t="s">
        <v>29</v>
      </c>
      <c r="B16" s="1" t="s">
        <v>37</v>
      </c>
    </row>
    <row r="17" spans="1:2" x14ac:dyDescent="0.3">
      <c r="A17" s="1" t="s">
        <v>29</v>
      </c>
      <c r="B17" s="1" t="s">
        <v>38</v>
      </c>
    </row>
    <row r="18" spans="1:2" x14ac:dyDescent="0.3">
      <c r="A18" s="1" t="s">
        <v>29</v>
      </c>
      <c r="B18" s="1" t="s">
        <v>137</v>
      </c>
    </row>
    <row r="19" spans="1:2" x14ac:dyDescent="0.3">
      <c r="A19" s="1" t="s">
        <v>32</v>
      </c>
      <c r="B19" s="1" t="s">
        <v>33</v>
      </c>
    </row>
    <row r="20" spans="1:2" x14ac:dyDescent="0.3">
      <c r="A20" s="1" t="s">
        <v>32</v>
      </c>
      <c r="B20" s="1" t="s">
        <v>34</v>
      </c>
    </row>
    <row r="21" spans="1:2" x14ac:dyDescent="0.3">
      <c r="A21" s="1" t="s">
        <v>32</v>
      </c>
      <c r="B21" s="1" t="s">
        <v>35</v>
      </c>
    </row>
    <row r="22" spans="1:2" x14ac:dyDescent="0.3">
      <c r="A22" s="1" t="s">
        <v>32</v>
      </c>
      <c r="B22" s="1" t="s">
        <v>36</v>
      </c>
    </row>
    <row r="23" spans="1:2" x14ac:dyDescent="0.3">
      <c r="A23" s="1" t="s">
        <v>38</v>
      </c>
      <c r="B23" s="1" t="s">
        <v>117</v>
      </c>
    </row>
    <row r="24" spans="1:2" x14ac:dyDescent="0.3">
      <c r="A24" s="1" t="s">
        <v>38</v>
      </c>
      <c r="B24" s="1" t="s">
        <v>118</v>
      </c>
    </row>
    <row r="25" spans="1:2" x14ac:dyDescent="0.3">
      <c r="A25" s="1" t="s">
        <v>38</v>
      </c>
      <c r="B25" s="1" t="s">
        <v>135</v>
      </c>
    </row>
    <row r="26" spans="1:2" x14ac:dyDescent="0.3">
      <c r="A26" s="1" t="s">
        <v>137</v>
      </c>
      <c r="B26" s="1" t="s">
        <v>139</v>
      </c>
    </row>
    <row r="27" spans="1:2" x14ac:dyDescent="0.3">
      <c r="A27" s="1" t="s">
        <v>137</v>
      </c>
      <c r="B27" s="1" t="s">
        <v>119</v>
      </c>
    </row>
    <row r="28" spans="1:2" x14ac:dyDescent="0.3">
      <c r="A28" s="1" t="s">
        <v>137</v>
      </c>
      <c r="B28" s="1" t="s">
        <v>142</v>
      </c>
    </row>
    <row r="29" spans="1:2" x14ac:dyDescent="0.3">
      <c r="A29" s="1" t="s">
        <v>137</v>
      </c>
      <c r="B29" s="1" t="s">
        <v>144</v>
      </c>
    </row>
    <row r="30" spans="1:2" x14ac:dyDescent="0.3">
      <c r="A30" s="1" t="s">
        <v>137</v>
      </c>
      <c r="B30" s="1" t="s">
        <v>146</v>
      </c>
    </row>
    <row r="31" spans="1:2" x14ac:dyDescent="0.3">
      <c r="A31" s="1" t="s">
        <v>137</v>
      </c>
      <c r="B31" s="1" t="s">
        <v>148</v>
      </c>
    </row>
    <row r="32" spans="1:2" x14ac:dyDescent="0.3">
      <c r="A32" s="1" t="s">
        <v>150</v>
      </c>
      <c r="B32" s="1" t="s">
        <v>152</v>
      </c>
    </row>
    <row r="33" spans="1:2" x14ac:dyDescent="0.3">
      <c r="A33" s="1" t="s">
        <v>150</v>
      </c>
      <c r="B33" s="1" t="s">
        <v>154</v>
      </c>
    </row>
    <row r="34" spans="1:2" x14ac:dyDescent="0.3">
      <c r="A34" s="1" t="s">
        <v>158</v>
      </c>
      <c r="B34" s="1" t="s">
        <v>160</v>
      </c>
    </row>
    <row r="35" spans="1:2" x14ac:dyDescent="0.3">
      <c r="A35" s="1" t="s">
        <v>158</v>
      </c>
      <c r="B35" s="1" t="s">
        <v>166</v>
      </c>
    </row>
    <row r="36" spans="1:2" x14ac:dyDescent="0.3">
      <c r="A36" s="1" t="s">
        <v>160</v>
      </c>
      <c r="B36" s="1" t="s">
        <v>162</v>
      </c>
    </row>
    <row r="37" spans="1:2" x14ac:dyDescent="0.3">
      <c r="A37" s="1" t="s">
        <v>160</v>
      </c>
      <c r="B37" s="1" t="s">
        <v>164</v>
      </c>
    </row>
    <row r="38" spans="1:2" x14ac:dyDescent="0.3">
      <c r="A38" s="1" t="s">
        <v>168</v>
      </c>
      <c r="B38" s="1" t="s">
        <v>170</v>
      </c>
    </row>
    <row r="39" spans="1:2" x14ac:dyDescent="0.3">
      <c r="A39" s="1" t="s">
        <v>172</v>
      </c>
      <c r="B39" s="1" t="s">
        <v>174</v>
      </c>
    </row>
    <row r="40" spans="1:2" x14ac:dyDescent="0.3">
      <c r="A40" s="1" t="s">
        <v>174</v>
      </c>
      <c r="B40" s="1" t="s">
        <v>176</v>
      </c>
    </row>
    <row r="41" spans="1:2" x14ac:dyDescent="0.3">
      <c r="A41" s="1" t="s">
        <v>176</v>
      </c>
      <c r="B41" s="1" t="s">
        <v>178</v>
      </c>
    </row>
    <row r="42" spans="1:2" x14ac:dyDescent="0.3">
      <c r="A42" s="1" t="s">
        <v>182</v>
      </c>
      <c r="B42" s="1" t="s">
        <v>184</v>
      </c>
    </row>
    <row r="43" spans="1:2" x14ac:dyDescent="0.3">
      <c r="A43" s="1" t="s">
        <v>184</v>
      </c>
      <c r="B43" s="1" t="s">
        <v>186</v>
      </c>
    </row>
  </sheetData>
  <sortState ref="A2:B43">
    <sortCondition ref="A2:A43"/>
    <sortCondition ref="B2:B43"/>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5"/>
  <sheetViews>
    <sheetView tabSelected="1" zoomScale="80" zoomScaleNormal="80" workbookViewId="0">
      <pane xSplit="5" ySplit="1" topLeftCell="F2" activePane="bottomRight" state="frozen"/>
      <selection pane="topRight" activeCell="E1" sqref="E1"/>
      <selection pane="bottomLeft" activeCell="A2" sqref="A2"/>
      <selection pane="bottomRight" activeCell="I25" sqref="I25"/>
    </sheetView>
  </sheetViews>
  <sheetFormatPr defaultRowHeight="15.6" x14ac:dyDescent="0.3"/>
  <cols>
    <col min="1" max="1" width="9.8984375" style="1" bestFit="1" customWidth="1"/>
    <col min="2" max="2" width="29.19921875" style="1" customWidth="1"/>
    <col min="3" max="3" width="17.3984375" style="1" customWidth="1"/>
    <col min="4" max="4" width="7.69921875" style="1" bestFit="1" customWidth="1"/>
    <col min="5" max="6" width="30.69921875" style="1" customWidth="1"/>
    <col min="7" max="7" width="37.8984375" style="1" customWidth="1"/>
    <col min="8" max="8" width="16.09765625" style="1" bestFit="1" customWidth="1"/>
    <col min="9" max="9" width="46.3984375" style="1" customWidth="1"/>
    <col min="10" max="16384" width="8.796875" style="1"/>
  </cols>
  <sheetData>
    <row r="1" spans="1:21" x14ac:dyDescent="0.3">
      <c r="A1" s="3" t="s">
        <v>99</v>
      </c>
      <c r="B1" s="3" t="s">
        <v>100</v>
      </c>
      <c r="C1" s="3" t="s">
        <v>95</v>
      </c>
      <c r="D1" s="3" t="s">
        <v>97</v>
      </c>
      <c r="E1" s="3" t="s">
        <v>101</v>
      </c>
      <c r="F1" s="3" t="s">
        <v>120</v>
      </c>
      <c r="G1" s="3" t="s">
        <v>96</v>
      </c>
      <c r="H1" s="3" t="s">
        <v>98</v>
      </c>
      <c r="I1" s="3" t="s">
        <v>20</v>
      </c>
      <c r="J1" s="3" t="s">
        <v>102</v>
      </c>
      <c r="K1" s="3" t="s">
        <v>103</v>
      </c>
      <c r="L1" s="3" t="s">
        <v>104</v>
      </c>
      <c r="M1" s="3" t="s">
        <v>105</v>
      </c>
      <c r="N1" s="3" t="s">
        <v>106</v>
      </c>
      <c r="O1" s="3" t="s">
        <v>92</v>
      </c>
      <c r="P1" s="3" t="s">
        <v>107</v>
      </c>
      <c r="Q1" s="3" t="s">
        <v>93</v>
      </c>
      <c r="R1" s="3" t="s">
        <v>108</v>
      </c>
      <c r="S1" s="3" t="s">
        <v>109</v>
      </c>
      <c r="T1" s="3" t="s">
        <v>110</v>
      </c>
      <c r="U1" s="3" t="s">
        <v>87</v>
      </c>
    </row>
    <row r="2" spans="1:21" x14ac:dyDescent="0.3">
      <c r="A2" s="1" t="s">
        <v>42</v>
      </c>
      <c r="B2" s="1" t="s">
        <v>325</v>
      </c>
      <c r="C2" s="1" t="s">
        <v>1</v>
      </c>
      <c r="D2" s="1" t="s">
        <v>29</v>
      </c>
      <c r="E2" s="1" t="s">
        <v>332</v>
      </c>
      <c r="F2" s="1" t="str">
        <f>CONCATENATE(E2,": ",B2)</f>
        <v>DEQ-Water Resources: Online Document Library</v>
      </c>
      <c r="G2" s="1" t="str">
        <f>VLOOKUP($D2,orgNodes!$A$2:$D$44,3,FALSE)</f>
        <v>Department of Environmental Quality</v>
      </c>
      <c r="H2" s="11">
        <f>VLOOKUP($D2,orgNodes!$A$2:$D$44,4,FALSE)</f>
        <v>2</v>
      </c>
      <c r="I2" t="s">
        <v>385</v>
      </c>
      <c r="J2" s="1" t="s">
        <v>8</v>
      </c>
      <c r="K2" s="1" t="s">
        <v>2</v>
      </c>
      <c r="L2" s="1" t="s">
        <v>5</v>
      </c>
      <c r="M2" s="1" t="s">
        <v>9</v>
      </c>
      <c r="N2" s="1" t="s">
        <v>7</v>
      </c>
      <c r="O2" s="1" t="s">
        <v>5</v>
      </c>
      <c r="P2" s="1" t="s">
        <v>11</v>
      </c>
      <c r="Q2" s="1" t="s">
        <v>12</v>
      </c>
      <c r="R2" s="1" t="s">
        <v>424</v>
      </c>
      <c r="S2" s="1" t="s">
        <v>12</v>
      </c>
      <c r="T2" s="1" t="s">
        <v>13</v>
      </c>
      <c r="U2" s="1" t="s">
        <v>90</v>
      </c>
    </row>
    <row r="3" spans="1:21" x14ac:dyDescent="0.3">
      <c r="A3" s="1" t="s">
        <v>43</v>
      </c>
      <c r="B3" s="1" t="s">
        <v>263</v>
      </c>
      <c r="C3" s="1" t="s">
        <v>1</v>
      </c>
      <c r="D3" s="1" t="s">
        <v>29</v>
      </c>
      <c r="E3" s="1" t="s">
        <v>332</v>
      </c>
      <c r="F3" s="1" t="str">
        <f t="shared" ref="F3:F45" si="0">CONCATENATE(E3,": ",B3)</f>
        <v>DEQ-Water Resources: Forms, Reports, and Publications</v>
      </c>
      <c r="G3" s="1" t="str">
        <f>VLOOKUP($D3,orgNodes!$A$2:$D$44,3,FALSE)</f>
        <v>Department of Environmental Quality</v>
      </c>
      <c r="H3" s="11">
        <f>VLOOKUP($D3,orgNodes!$A$2:$D$44,4,FALSE)</f>
        <v>2</v>
      </c>
      <c r="I3" t="s">
        <v>386</v>
      </c>
      <c r="J3" s="1" t="s">
        <v>8</v>
      </c>
      <c r="K3" s="1" t="s">
        <v>2</v>
      </c>
      <c r="L3" s="1" t="s">
        <v>5</v>
      </c>
      <c r="M3" s="1" t="s">
        <v>9</v>
      </c>
      <c r="N3" s="1" t="s">
        <v>7</v>
      </c>
      <c r="O3" s="1" t="s">
        <v>12</v>
      </c>
      <c r="P3" s="1" t="s">
        <v>12</v>
      </c>
      <c r="Q3" s="1" t="s">
        <v>12</v>
      </c>
      <c r="R3" s="1" t="s">
        <v>12</v>
      </c>
      <c r="S3" s="1" t="s">
        <v>12</v>
      </c>
      <c r="T3" s="1" t="s">
        <v>14</v>
      </c>
      <c r="U3" s="1" t="s">
        <v>88</v>
      </c>
    </row>
    <row r="4" spans="1:21" x14ac:dyDescent="0.3">
      <c r="A4" s="1" t="s">
        <v>44</v>
      </c>
      <c r="B4" s="1" t="s">
        <v>264</v>
      </c>
      <c r="C4" s="1" t="s">
        <v>1</v>
      </c>
      <c r="D4" s="1" t="s">
        <v>29</v>
      </c>
      <c r="E4" s="1" t="s">
        <v>332</v>
      </c>
      <c r="F4" s="1" t="str">
        <f t="shared" si="0"/>
        <v>DEQ-Water Resources: Electronic Discharge Monitoring Report</v>
      </c>
      <c r="G4" s="1" t="str">
        <f>VLOOKUP($D4,orgNodes!$A$2:$D$44,3,FALSE)</f>
        <v>Department of Environmental Quality</v>
      </c>
      <c r="H4" s="11">
        <f>VLOOKUP($D4,orgNodes!$A$2:$D$44,4,FALSE)</f>
        <v>2</v>
      </c>
      <c r="I4" t="s">
        <v>387</v>
      </c>
      <c r="J4" s="1" t="s">
        <v>12</v>
      </c>
      <c r="K4" s="1" t="s">
        <v>6</v>
      </c>
      <c r="L4" s="1" t="s">
        <v>12</v>
      </c>
      <c r="M4" s="1" t="s">
        <v>6</v>
      </c>
      <c r="N4" s="1" t="s">
        <v>6</v>
      </c>
      <c r="O4" s="1" t="s">
        <v>6</v>
      </c>
      <c r="P4" s="1" t="s">
        <v>6</v>
      </c>
      <c r="Q4" s="1" t="s">
        <v>6</v>
      </c>
      <c r="R4" s="1" t="s">
        <v>6</v>
      </c>
      <c r="S4" s="1" t="s">
        <v>6</v>
      </c>
      <c r="T4" s="1" t="s">
        <v>6</v>
      </c>
      <c r="U4" s="1" t="s">
        <v>6</v>
      </c>
    </row>
    <row r="5" spans="1:21" x14ac:dyDescent="0.3">
      <c r="A5" s="1" t="s">
        <v>45</v>
      </c>
      <c r="B5" s="1" t="s">
        <v>265</v>
      </c>
      <c r="C5" s="1" t="s">
        <v>1</v>
      </c>
      <c r="D5" s="1" t="s">
        <v>29</v>
      </c>
      <c r="E5" s="1" t="s">
        <v>332</v>
      </c>
      <c r="F5" s="1" t="str">
        <f t="shared" si="0"/>
        <v>DEQ-Water Resources: BasinWide Information Management System</v>
      </c>
      <c r="G5" s="1" t="str">
        <f>VLOOKUP($D5,orgNodes!$A$2:$D$44,3,FALSE)</f>
        <v>Department of Environmental Quality</v>
      </c>
      <c r="H5" s="11">
        <f>VLOOKUP($D5,orgNodes!$A$2:$D$44,4,FALSE)</f>
        <v>2</v>
      </c>
      <c r="I5" t="s">
        <v>388</v>
      </c>
      <c r="J5" s="1" t="s">
        <v>12</v>
      </c>
      <c r="K5" s="1" t="s">
        <v>6</v>
      </c>
      <c r="L5" s="1" t="s">
        <v>12</v>
      </c>
      <c r="M5" s="1" t="s">
        <v>6</v>
      </c>
      <c r="N5" s="1" t="s">
        <v>6</v>
      </c>
      <c r="O5" s="1" t="s">
        <v>6</v>
      </c>
      <c r="P5" s="1" t="s">
        <v>6</v>
      </c>
      <c r="Q5" s="1" t="s">
        <v>6</v>
      </c>
      <c r="R5" s="1" t="s">
        <v>6</v>
      </c>
      <c r="S5" s="1" t="s">
        <v>6</v>
      </c>
      <c r="T5" s="1" t="s">
        <v>6</v>
      </c>
      <c r="U5" s="1" t="s">
        <v>6</v>
      </c>
    </row>
    <row r="6" spans="1:21" x14ac:dyDescent="0.3">
      <c r="A6" s="1" t="s">
        <v>46</v>
      </c>
      <c r="B6" s="1" t="s">
        <v>266</v>
      </c>
      <c r="C6" s="1" t="s">
        <v>1</v>
      </c>
      <c r="D6" s="1" t="s">
        <v>29</v>
      </c>
      <c r="E6" s="1" t="s">
        <v>332</v>
      </c>
      <c r="F6" s="1" t="str">
        <f t="shared" si="0"/>
        <v>DEQ-Water Resources: Water Resources Hot Topics</v>
      </c>
      <c r="G6" s="1" t="str">
        <f>VLOOKUP($D6,orgNodes!$A$2:$D$44,3,FALSE)</f>
        <v>Department of Environmental Quality</v>
      </c>
      <c r="H6" s="11">
        <f>VLOOKUP($D6,orgNodes!$A$2:$D$44,4,FALSE)</f>
        <v>2</v>
      </c>
      <c r="I6" t="s">
        <v>389</v>
      </c>
      <c r="J6" s="1" t="s">
        <v>8</v>
      </c>
      <c r="K6" s="1" t="s">
        <v>355</v>
      </c>
      <c r="L6" s="1" t="s">
        <v>5</v>
      </c>
      <c r="M6" s="1" t="s">
        <v>356</v>
      </c>
      <c r="N6" s="1" t="s">
        <v>357</v>
      </c>
      <c r="O6" s="1" t="s">
        <v>5</v>
      </c>
      <c r="P6" s="1" t="s">
        <v>12</v>
      </c>
      <c r="Q6" s="1" t="s">
        <v>12</v>
      </c>
      <c r="R6" s="1" t="s">
        <v>12</v>
      </c>
      <c r="S6" s="1" t="s">
        <v>12</v>
      </c>
      <c r="T6" s="1" t="s">
        <v>13</v>
      </c>
      <c r="U6" s="1" t="s">
        <v>90</v>
      </c>
    </row>
    <row r="7" spans="1:21" x14ac:dyDescent="0.3">
      <c r="A7" s="1" t="s">
        <v>47</v>
      </c>
      <c r="B7" s="1" t="s">
        <v>125</v>
      </c>
      <c r="C7" s="1" t="s">
        <v>1</v>
      </c>
      <c r="D7" s="1" t="s">
        <v>29</v>
      </c>
      <c r="E7" s="1" t="s">
        <v>332</v>
      </c>
      <c r="F7" s="1" t="str">
        <f t="shared" si="0"/>
        <v>DEQ-Water Resources: Public Water Supply</v>
      </c>
      <c r="G7" s="1" t="str">
        <f>VLOOKUP($D7,orgNodes!$A$2:$D$44,3,FALSE)</f>
        <v>Department of Environmental Quality</v>
      </c>
      <c r="H7" s="11">
        <f>VLOOKUP($D7,orgNodes!$A$2:$D$44,4,FALSE)</f>
        <v>2</v>
      </c>
      <c r="I7" t="s">
        <v>390</v>
      </c>
      <c r="J7" s="1" t="s">
        <v>8</v>
      </c>
      <c r="K7" s="1" t="s">
        <v>2</v>
      </c>
      <c r="L7" s="1" t="s">
        <v>5</v>
      </c>
      <c r="M7" s="1" t="s">
        <v>9</v>
      </c>
      <c r="N7" s="1" t="s">
        <v>358</v>
      </c>
      <c r="O7" s="1" t="s">
        <v>5</v>
      </c>
      <c r="P7" s="1" t="s">
        <v>11</v>
      </c>
      <c r="Q7" s="1" t="s">
        <v>5</v>
      </c>
      <c r="R7" s="1" t="s">
        <v>91</v>
      </c>
      <c r="S7" s="1" t="s">
        <v>12</v>
      </c>
      <c r="T7" s="1" t="s">
        <v>13</v>
      </c>
      <c r="U7" s="1" t="s">
        <v>425</v>
      </c>
    </row>
    <row r="8" spans="1:21" x14ac:dyDescent="0.3">
      <c r="A8" s="1" t="s">
        <v>48</v>
      </c>
      <c r="B8" s="1" t="s">
        <v>267</v>
      </c>
      <c r="C8" s="1" t="s">
        <v>125</v>
      </c>
      <c r="D8" s="1" t="s">
        <v>31</v>
      </c>
      <c r="E8" s="1" t="s">
        <v>333</v>
      </c>
      <c r="F8" s="1" t="str">
        <f t="shared" si="0"/>
        <v>DEQ-Public Water Supply: Sampling Status Report</v>
      </c>
      <c r="G8" s="1" t="str">
        <f>VLOOKUP($D8,orgNodes!$A$2:$D$44,3,FALSE)</f>
        <v>Department of Environmental Quality</v>
      </c>
      <c r="H8" s="11">
        <f>VLOOKUP($D8,orgNodes!$A$2:$D$44,4,FALSE)</f>
        <v>2</v>
      </c>
      <c r="I8" s="1" t="s">
        <v>391</v>
      </c>
      <c r="J8" s="1" t="s">
        <v>8</v>
      </c>
      <c r="K8" s="1" t="s">
        <v>2</v>
      </c>
      <c r="L8" s="1" t="s">
        <v>5</v>
      </c>
      <c r="M8" s="1" t="s">
        <v>9</v>
      </c>
      <c r="N8" s="1" t="s">
        <v>7</v>
      </c>
      <c r="O8" s="1" t="s">
        <v>12</v>
      </c>
      <c r="P8" s="1" t="s">
        <v>426</v>
      </c>
      <c r="Q8" s="1" t="s">
        <v>12</v>
      </c>
      <c r="R8" s="1" t="s">
        <v>91</v>
      </c>
      <c r="S8" s="1" t="s">
        <v>12</v>
      </c>
      <c r="T8" s="1" t="s">
        <v>13</v>
      </c>
      <c r="U8" s="1" t="s">
        <v>90</v>
      </c>
    </row>
    <row r="9" spans="1:21" x14ac:dyDescent="0.3">
      <c r="A9" s="1" t="s">
        <v>49</v>
      </c>
      <c r="B9" s="1" t="s">
        <v>16</v>
      </c>
      <c r="C9" s="1" t="s">
        <v>125</v>
      </c>
      <c r="D9" s="1" t="s">
        <v>31</v>
      </c>
      <c r="E9" s="1" t="s">
        <v>333</v>
      </c>
      <c r="F9" s="1" t="str">
        <f t="shared" si="0"/>
        <v>DEQ-Public Water Supply: Drinking Water Watch</v>
      </c>
      <c r="G9" s="1" t="str">
        <f>VLOOKUP($D9,orgNodes!$A$2:$D$44,3,FALSE)</f>
        <v>Department of Environmental Quality</v>
      </c>
      <c r="H9" s="11">
        <f>VLOOKUP($D9,orgNodes!$A$2:$D$44,4,FALSE)</f>
        <v>2</v>
      </c>
      <c r="I9" t="s">
        <v>392</v>
      </c>
      <c r="J9" s="1" t="s">
        <v>8</v>
      </c>
      <c r="K9" s="1" t="s">
        <v>2</v>
      </c>
      <c r="L9" s="1" t="s">
        <v>5</v>
      </c>
      <c r="M9" s="1" t="s">
        <v>15</v>
      </c>
      <c r="N9" s="1" t="s">
        <v>11</v>
      </c>
      <c r="O9" s="1" t="s">
        <v>12</v>
      </c>
      <c r="P9" s="1" t="s">
        <v>12</v>
      </c>
      <c r="Q9" s="1" t="s">
        <v>12</v>
      </c>
      <c r="R9" s="1" t="s">
        <v>12</v>
      </c>
      <c r="S9" s="1" t="s">
        <v>12</v>
      </c>
      <c r="T9" s="1" t="s">
        <v>13</v>
      </c>
      <c r="U9" s="1" t="s">
        <v>90</v>
      </c>
    </row>
    <row r="10" spans="1:21" x14ac:dyDescent="0.3">
      <c r="A10" s="1" t="s">
        <v>50</v>
      </c>
      <c r="B10" s="1" t="s">
        <v>268</v>
      </c>
      <c r="C10" s="1" t="s">
        <v>326</v>
      </c>
      <c r="D10" s="1" t="s">
        <v>329</v>
      </c>
      <c r="E10" s="1" t="s">
        <v>340</v>
      </c>
      <c r="F10" s="1" t="str">
        <f t="shared" si="0"/>
        <v>DEQ-Water Sciences: Watershed Assessment Team</v>
      </c>
      <c r="G10" s="1" t="str">
        <f>VLOOKUP($D10,orgNodes!$A$2:$D$44,3,FALSE)</f>
        <v>Department of Environmental Quality</v>
      </c>
      <c r="H10" s="11">
        <f>VLOOKUP($D10,orgNodes!$A$2:$D$44,4,FALSE)</f>
        <v>2</v>
      </c>
      <c r="I10" t="s">
        <v>393</v>
      </c>
      <c r="J10" s="1" t="s">
        <v>8</v>
      </c>
      <c r="K10" s="1" t="s">
        <v>2</v>
      </c>
      <c r="L10" s="1" t="s">
        <v>5</v>
      </c>
      <c r="M10" s="1" t="s">
        <v>9</v>
      </c>
      <c r="N10" s="1" t="s">
        <v>7</v>
      </c>
      <c r="O10" s="1" t="s">
        <v>12</v>
      </c>
      <c r="P10" s="1" t="s">
        <v>12</v>
      </c>
      <c r="Q10" s="1" t="s">
        <v>12</v>
      </c>
      <c r="R10" s="1" t="s">
        <v>12</v>
      </c>
      <c r="S10" s="1" t="s">
        <v>12</v>
      </c>
      <c r="T10" s="1" t="s">
        <v>6</v>
      </c>
      <c r="U10" s="1" t="s">
        <v>425</v>
      </c>
    </row>
    <row r="11" spans="1:21" x14ac:dyDescent="0.3">
      <c r="A11" s="1" t="s">
        <v>51</v>
      </c>
      <c r="B11" s="1" t="s">
        <v>269</v>
      </c>
      <c r="C11" s="1" t="s">
        <v>126</v>
      </c>
      <c r="D11" s="1" t="s">
        <v>32</v>
      </c>
      <c r="E11" s="1" t="s">
        <v>334</v>
      </c>
      <c r="F11" s="1" t="str">
        <f t="shared" si="0"/>
        <v>DEQ-Water Planning: Local Water Supply Plans</v>
      </c>
      <c r="G11" s="1" t="str">
        <f>VLOOKUP($D11,orgNodes!$A$2:$D$44,3,FALSE)</f>
        <v>Department of Environmental Quality</v>
      </c>
      <c r="H11" s="11">
        <f>VLOOKUP($D11,orgNodes!$A$2:$D$44,4,FALSE)</f>
        <v>2</v>
      </c>
      <c r="I11" t="s">
        <v>394</v>
      </c>
      <c r="J11" s="1" t="s">
        <v>8</v>
      </c>
      <c r="K11" s="1" t="s">
        <v>2</v>
      </c>
      <c r="L11" s="1" t="s">
        <v>5</v>
      </c>
      <c r="M11" s="1" t="s">
        <v>15</v>
      </c>
      <c r="N11" s="1" t="s">
        <v>11</v>
      </c>
      <c r="O11" s="1" t="s">
        <v>12</v>
      </c>
      <c r="P11" s="1" t="s">
        <v>426</v>
      </c>
      <c r="Q11" s="1" t="s">
        <v>12</v>
      </c>
      <c r="R11" s="1" t="s">
        <v>94</v>
      </c>
      <c r="S11" s="1" t="s">
        <v>12</v>
      </c>
      <c r="T11" s="1" t="s">
        <v>14</v>
      </c>
      <c r="U11" s="1" t="s">
        <v>88</v>
      </c>
    </row>
    <row r="12" spans="1:21" x14ac:dyDescent="0.3">
      <c r="A12" s="1" t="s">
        <v>52</v>
      </c>
      <c r="B12" s="1" t="s">
        <v>127</v>
      </c>
      <c r="C12" s="1" t="s">
        <v>126</v>
      </c>
      <c r="D12" s="1" t="s">
        <v>32</v>
      </c>
      <c r="E12" s="1" t="s">
        <v>334</v>
      </c>
      <c r="F12" s="1" t="str">
        <f t="shared" si="0"/>
        <v>DEQ-Water Planning: Basin Planning</v>
      </c>
      <c r="G12" s="1" t="str">
        <f>VLOOKUP($D12,orgNodes!$A$2:$D$44,3,FALSE)</f>
        <v>Department of Environmental Quality</v>
      </c>
      <c r="H12" s="11">
        <f>VLOOKUP($D12,orgNodes!$A$2:$D$44,4,FALSE)</f>
        <v>2</v>
      </c>
      <c r="I12" t="s">
        <v>395</v>
      </c>
      <c r="J12" s="1" t="s">
        <v>359</v>
      </c>
      <c r="K12" s="1" t="s">
        <v>355</v>
      </c>
      <c r="L12" s="1" t="s">
        <v>5</v>
      </c>
      <c r="M12" s="1" t="s">
        <v>360</v>
      </c>
      <c r="N12" s="1" t="s">
        <v>358</v>
      </c>
      <c r="O12" s="1" t="s">
        <v>12</v>
      </c>
      <c r="P12" s="1" t="s">
        <v>12</v>
      </c>
      <c r="Q12" s="1" t="s">
        <v>12</v>
      </c>
      <c r="R12" s="1" t="s">
        <v>12</v>
      </c>
      <c r="S12" s="1" t="s">
        <v>12</v>
      </c>
      <c r="T12" s="1" t="s">
        <v>13</v>
      </c>
      <c r="U12" s="1" t="s">
        <v>427</v>
      </c>
    </row>
    <row r="13" spans="1:21" x14ac:dyDescent="0.3">
      <c r="A13" s="1" t="s">
        <v>270</v>
      </c>
      <c r="B13" s="1" t="s">
        <v>128</v>
      </c>
      <c r="C13" s="1" t="s">
        <v>126</v>
      </c>
      <c r="D13" s="1" t="s">
        <v>32</v>
      </c>
      <c r="E13" s="1" t="s">
        <v>334</v>
      </c>
      <c r="F13" s="1" t="str">
        <f t="shared" si="0"/>
        <v>DEQ-Water Planning: Classifications, Standards, and Rules Review</v>
      </c>
      <c r="G13" s="1" t="str">
        <f>VLOOKUP($D13,orgNodes!$A$2:$D$44,3,FALSE)</f>
        <v>Department of Environmental Quality</v>
      </c>
      <c r="H13" s="11">
        <f>VLOOKUP($D13,orgNodes!$A$2:$D$44,4,FALSE)</f>
        <v>2</v>
      </c>
      <c r="I13" s="1" t="s">
        <v>396</v>
      </c>
      <c r="J13" s="1" t="s">
        <v>359</v>
      </c>
      <c r="K13" s="1" t="s">
        <v>361</v>
      </c>
      <c r="L13" s="1" t="s">
        <v>5</v>
      </c>
      <c r="M13" s="1" t="s">
        <v>10</v>
      </c>
      <c r="N13" s="1" t="s">
        <v>362</v>
      </c>
      <c r="O13" s="1" t="s">
        <v>5</v>
      </c>
      <c r="P13" s="1" t="s">
        <v>428</v>
      </c>
      <c r="Q13" s="1" t="s">
        <v>5</v>
      </c>
      <c r="R13" s="1" t="s">
        <v>429</v>
      </c>
      <c r="S13" s="1" t="s">
        <v>12</v>
      </c>
      <c r="T13" s="1" t="s">
        <v>13</v>
      </c>
      <c r="U13" s="1" t="s">
        <v>425</v>
      </c>
    </row>
    <row r="14" spans="1:21" x14ac:dyDescent="0.3">
      <c r="A14" s="1" t="s">
        <v>271</v>
      </c>
      <c r="B14" s="1" t="s">
        <v>129</v>
      </c>
      <c r="C14" s="1" t="s">
        <v>126</v>
      </c>
      <c r="D14" s="1" t="s">
        <v>32</v>
      </c>
      <c r="E14" s="1" t="s">
        <v>334</v>
      </c>
      <c r="F14" s="1" t="str">
        <f t="shared" si="0"/>
        <v>DEQ-Water Planning: Groundwater Management</v>
      </c>
      <c r="G14" s="1" t="str">
        <f>VLOOKUP($D14,orgNodes!$A$2:$D$44,3,FALSE)</f>
        <v>Department of Environmental Quality</v>
      </c>
      <c r="H14" s="11">
        <f>VLOOKUP($D14,orgNodes!$A$2:$D$44,4,FALSE)</f>
        <v>2</v>
      </c>
      <c r="I14" s="1" t="s">
        <v>397</v>
      </c>
      <c r="J14" s="1" t="s">
        <v>8</v>
      </c>
      <c r="K14" s="1" t="s">
        <v>2</v>
      </c>
      <c r="L14" s="1" t="s">
        <v>5</v>
      </c>
      <c r="M14" s="1" t="s">
        <v>363</v>
      </c>
      <c r="N14" s="1" t="s">
        <v>364</v>
      </c>
      <c r="O14" s="1" t="s">
        <v>12</v>
      </c>
      <c r="P14" s="1" t="s">
        <v>12</v>
      </c>
      <c r="Q14" s="1" t="s">
        <v>12</v>
      </c>
      <c r="R14" s="1" t="s">
        <v>12</v>
      </c>
      <c r="S14" s="1" t="s">
        <v>12</v>
      </c>
      <c r="T14" s="1" t="s">
        <v>13</v>
      </c>
      <c r="U14" s="1" t="s">
        <v>90</v>
      </c>
    </row>
    <row r="15" spans="1:21" x14ac:dyDescent="0.3">
      <c r="A15" s="1" t="s">
        <v>272</v>
      </c>
      <c r="B15" s="1" t="s">
        <v>273</v>
      </c>
      <c r="C15" s="1" t="s">
        <v>126</v>
      </c>
      <c r="D15" s="1" t="s">
        <v>32</v>
      </c>
      <c r="E15" s="1" t="s">
        <v>334</v>
      </c>
      <c r="F15" s="1" t="str">
        <f t="shared" si="0"/>
        <v>DEQ-Water Planning: Modeling &amp; Assessment</v>
      </c>
      <c r="G15" s="1" t="str">
        <f>VLOOKUP($D15,orgNodes!$A$2:$D$44,3,FALSE)</f>
        <v>Department of Environmental Quality</v>
      </c>
      <c r="H15" s="11">
        <f>VLOOKUP($D15,orgNodes!$A$2:$D$44,4,FALSE)</f>
        <v>2</v>
      </c>
      <c r="I15" s="1" t="s">
        <v>207</v>
      </c>
      <c r="J15" s="1" t="s">
        <v>359</v>
      </c>
      <c r="K15" s="1" t="s">
        <v>355</v>
      </c>
      <c r="L15" s="1" t="s">
        <v>5</v>
      </c>
      <c r="M15" s="1" t="s">
        <v>9</v>
      </c>
      <c r="N15" s="1" t="s">
        <v>365</v>
      </c>
      <c r="O15" s="1" t="s">
        <v>5</v>
      </c>
      <c r="P15" s="1" t="s">
        <v>7</v>
      </c>
      <c r="Q15" s="1" t="s">
        <v>12</v>
      </c>
      <c r="R15" s="1" t="s">
        <v>424</v>
      </c>
      <c r="S15" s="1" t="s">
        <v>12</v>
      </c>
      <c r="T15" s="1" t="s">
        <v>13</v>
      </c>
      <c r="U15" s="1" t="s">
        <v>425</v>
      </c>
    </row>
    <row r="16" spans="1:21" x14ac:dyDescent="0.3">
      <c r="A16" s="1" t="s">
        <v>274</v>
      </c>
      <c r="B16" s="1" t="s">
        <v>3</v>
      </c>
      <c r="C16" s="1" t="s">
        <v>1</v>
      </c>
      <c r="D16" s="1" t="s">
        <v>29</v>
      </c>
      <c r="E16" s="1" t="s">
        <v>332</v>
      </c>
      <c r="F16" s="1" t="str">
        <f t="shared" si="0"/>
        <v>DEQ-Water Resources: Groundwater</v>
      </c>
      <c r="G16" s="1" t="str">
        <f>VLOOKUP($D16,orgNodes!$A$2:$D$44,3,FALSE)</f>
        <v>Department of Environmental Quality</v>
      </c>
      <c r="H16" s="11">
        <f>VLOOKUP($D16,orgNodes!$A$2:$D$44,4,FALSE)</f>
        <v>2</v>
      </c>
      <c r="I16" s="1" t="s">
        <v>398</v>
      </c>
      <c r="J16" s="1" t="s">
        <v>359</v>
      </c>
      <c r="K16" s="1" t="s">
        <v>355</v>
      </c>
      <c r="L16" s="1" t="s">
        <v>5</v>
      </c>
      <c r="M16" s="1" t="s">
        <v>363</v>
      </c>
      <c r="N16" s="1" t="s">
        <v>366</v>
      </c>
      <c r="O16" s="1" t="s">
        <v>5</v>
      </c>
      <c r="P16" s="1" t="s">
        <v>11</v>
      </c>
      <c r="Q16" s="1" t="s">
        <v>12</v>
      </c>
      <c r="R16" s="1" t="s">
        <v>94</v>
      </c>
      <c r="S16" s="1" t="s">
        <v>12</v>
      </c>
      <c r="T16" s="1" t="s">
        <v>430</v>
      </c>
      <c r="U16" s="1" t="s">
        <v>88</v>
      </c>
    </row>
    <row r="17" spans="1:21" x14ac:dyDescent="0.3">
      <c r="A17" s="1" t="s">
        <v>275</v>
      </c>
      <c r="B17" s="1" t="s">
        <v>276</v>
      </c>
      <c r="C17" s="1" t="s">
        <v>131</v>
      </c>
      <c r="D17" s="1" t="s">
        <v>37</v>
      </c>
      <c r="E17" s="1" t="s">
        <v>335</v>
      </c>
      <c r="F17" s="1" t="str">
        <f t="shared" si="0"/>
        <v>DEQ-Water Quality Regional Ops: Groundwater Protection</v>
      </c>
      <c r="G17" s="1" t="str">
        <f>VLOOKUP($D17,orgNodes!$A$2:$D$44,3,FALSE)</f>
        <v>Department of Environmental Quality</v>
      </c>
      <c r="H17" s="11">
        <f>VLOOKUP($D17,orgNodes!$A$2:$D$44,4,FALSE)</f>
        <v>2</v>
      </c>
      <c r="I17" s="1" t="s">
        <v>399</v>
      </c>
      <c r="J17" s="1" t="s">
        <v>359</v>
      </c>
      <c r="K17" s="1" t="s">
        <v>361</v>
      </c>
      <c r="L17" s="1" t="s">
        <v>5</v>
      </c>
      <c r="M17" s="1" t="s">
        <v>15</v>
      </c>
      <c r="N17" s="1" t="s">
        <v>11</v>
      </c>
      <c r="O17" s="1" t="s">
        <v>12</v>
      </c>
      <c r="P17" s="1" t="s">
        <v>12</v>
      </c>
      <c r="Q17" s="1" t="s">
        <v>12</v>
      </c>
      <c r="R17" s="1" t="s">
        <v>12</v>
      </c>
      <c r="S17" s="1" t="s">
        <v>12</v>
      </c>
      <c r="T17" s="1" t="s">
        <v>6</v>
      </c>
      <c r="U17" s="1" t="s">
        <v>425</v>
      </c>
    </row>
    <row r="18" spans="1:21" x14ac:dyDescent="0.3">
      <c r="A18" s="1" t="s">
        <v>277</v>
      </c>
      <c r="B18" s="1" t="s">
        <v>278</v>
      </c>
      <c r="C18" s="1" t="s">
        <v>145</v>
      </c>
      <c r="D18" s="1" t="s">
        <v>144</v>
      </c>
      <c r="E18" s="1" t="s">
        <v>336</v>
      </c>
      <c r="F18" s="1" t="str">
        <f t="shared" si="0"/>
        <v>DEQ-Facilities: Collection System Facility Map</v>
      </c>
      <c r="G18" s="1" t="str">
        <f>VLOOKUP($D18,orgNodes!$A$2:$D$44,3,FALSE)</f>
        <v>Department of Environmental Quality</v>
      </c>
      <c r="H18" s="11">
        <f>VLOOKUP($D18,orgNodes!$A$2:$D$44,4,FALSE)</f>
        <v>2</v>
      </c>
      <c r="I18" s="1" t="s">
        <v>400</v>
      </c>
      <c r="J18" s="1" t="s">
        <v>359</v>
      </c>
      <c r="K18" s="1" t="s">
        <v>361</v>
      </c>
      <c r="L18" s="1" t="s">
        <v>5</v>
      </c>
      <c r="M18" s="1" t="s">
        <v>15</v>
      </c>
      <c r="N18" s="1" t="s">
        <v>11</v>
      </c>
      <c r="O18" s="1" t="s">
        <v>12</v>
      </c>
      <c r="P18" s="1" t="s">
        <v>12</v>
      </c>
      <c r="Q18" s="1" t="s">
        <v>12</v>
      </c>
      <c r="R18" s="1" t="s">
        <v>12</v>
      </c>
      <c r="S18" s="1" t="s">
        <v>12</v>
      </c>
      <c r="T18" s="1" t="s">
        <v>6</v>
      </c>
      <c r="U18" s="1" t="s">
        <v>425</v>
      </c>
    </row>
    <row r="19" spans="1:21" x14ac:dyDescent="0.3">
      <c r="A19" s="1" t="s">
        <v>279</v>
      </c>
      <c r="B19" s="1" t="s">
        <v>280</v>
      </c>
      <c r="C19" s="1" t="s">
        <v>140</v>
      </c>
      <c r="D19" s="1" t="s">
        <v>139</v>
      </c>
      <c r="E19" s="1" t="s">
        <v>337</v>
      </c>
      <c r="F19" s="1" t="str">
        <f t="shared" si="0"/>
        <v>DEQ-Non-discharge Permits: Non-Discharge Branch Map</v>
      </c>
      <c r="G19" s="1" t="str">
        <f>VLOOKUP($D19,orgNodes!$A$2:$D$44,3,FALSE)</f>
        <v>Department of Environmental Quality</v>
      </c>
      <c r="H19" s="11">
        <f>VLOOKUP($D19,orgNodes!$A$2:$D$44,4,FALSE)</f>
        <v>2</v>
      </c>
      <c r="I19" s="1" t="s">
        <v>401</v>
      </c>
      <c r="J19" s="1" t="s">
        <v>359</v>
      </c>
      <c r="K19" s="1" t="s">
        <v>361</v>
      </c>
      <c r="L19" s="1" t="s">
        <v>5</v>
      </c>
      <c r="M19" s="1" t="s">
        <v>367</v>
      </c>
      <c r="N19" s="1" t="s">
        <v>368</v>
      </c>
      <c r="O19" s="1" t="s">
        <v>12</v>
      </c>
      <c r="P19" s="1" t="s">
        <v>12</v>
      </c>
      <c r="Q19" s="1" t="s">
        <v>12</v>
      </c>
      <c r="R19" s="1" t="s">
        <v>12</v>
      </c>
      <c r="S19" s="1" t="s">
        <v>12</v>
      </c>
      <c r="T19" s="1" t="s">
        <v>6</v>
      </c>
      <c r="U19" s="1" t="s">
        <v>425</v>
      </c>
    </row>
    <row r="20" spans="1:21" x14ac:dyDescent="0.3">
      <c r="A20" s="1" t="s">
        <v>281</v>
      </c>
      <c r="B20" s="1" t="s">
        <v>149</v>
      </c>
      <c r="C20" s="1" t="s">
        <v>138</v>
      </c>
      <c r="D20" s="1" t="s">
        <v>137</v>
      </c>
      <c r="E20" s="1" t="s">
        <v>338</v>
      </c>
      <c r="F20" s="1" t="str">
        <f t="shared" si="0"/>
        <v>DEQ-Water Quality Permits: Transportation Permitting Branch</v>
      </c>
      <c r="G20" s="1" t="str">
        <f>VLOOKUP($D20,orgNodes!$A$2:$D$44,3,FALSE)</f>
        <v>Department of Environmental Quality</v>
      </c>
      <c r="H20" s="11">
        <f>VLOOKUP($D20,orgNodes!$A$2:$D$44,4,FALSE)</f>
        <v>2</v>
      </c>
      <c r="I20" s="1" t="s">
        <v>229</v>
      </c>
      <c r="J20" s="1" t="s">
        <v>354</v>
      </c>
      <c r="K20" s="1" t="s">
        <v>6</v>
      </c>
      <c r="L20" s="1" t="s">
        <v>12</v>
      </c>
      <c r="M20" s="1" t="s">
        <v>6</v>
      </c>
      <c r="N20" s="1" t="s">
        <v>6</v>
      </c>
      <c r="O20" s="1" t="s">
        <v>6</v>
      </c>
      <c r="P20" s="1" t="s">
        <v>6</v>
      </c>
      <c r="Q20" s="1" t="s">
        <v>6</v>
      </c>
      <c r="R20" s="1" t="s">
        <v>6</v>
      </c>
      <c r="S20" s="1" t="s">
        <v>6</v>
      </c>
      <c r="T20" s="1" t="s">
        <v>6</v>
      </c>
      <c r="U20" s="1" t="s">
        <v>6</v>
      </c>
    </row>
    <row r="21" spans="1:21" x14ac:dyDescent="0.3">
      <c r="A21" s="1" t="s">
        <v>282</v>
      </c>
      <c r="B21" s="1" t="s">
        <v>283</v>
      </c>
      <c r="C21" s="1" t="s">
        <v>124</v>
      </c>
      <c r="D21" s="1" t="s">
        <v>30</v>
      </c>
      <c r="E21" s="1" t="s">
        <v>339</v>
      </c>
      <c r="F21" s="1" t="str">
        <f t="shared" si="0"/>
        <v>DEQ-NPDES: NPDES Compliance and Assistance Program</v>
      </c>
      <c r="G21" s="1" t="str">
        <f>VLOOKUP($D21,orgNodes!$A$2:$D$44,3,FALSE)</f>
        <v>Department of Environmental Quality</v>
      </c>
      <c r="H21" s="11">
        <f>VLOOKUP($D21,orgNodes!$A$2:$D$44,4,FALSE)</f>
        <v>2</v>
      </c>
      <c r="I21" s="1" t="s">
        <v>402</v>
      </c>
      <c r="J21" s="1" t="s">
        <v>8</v>
      </c>
      <c r="K21" s="1" t="s">
        <v>2</v>
      </c>
      <c r="L21" s="1" t="s">
        <v>5</v>
      </c>
      <c r="M21" s="1" t="s">
        <v>9</v>
      </c>
      <c r="N21" s="1" t="s">
        <v>7</v>
      </c>
      <c r="O21" s="1" t="s">
        <v>12</v>
      </c>
      <c r="P21" s="1" t="s">
        <v>12</v>
      </c>
      <c r="Q21" s="1" t="s">
        <v>12</v>
      </c>
      <c r="R21" s="1" t="s">
        <v>12</v>
      </c>
      <c r="S21" s="1" t="s">
        <v>12</v>
      </c>
      <c r="T21" s="1" t="s">
        <v>430</v>
      </c>
      <c r="U21" s="1" t="s">
        <v>90</v>
      </c>
    </row>
    <row r="22" spans="1:21" x14ac:dyDescent="0.3">
      <c r="A22" s="1" t="s">
        <v>284</v>
      </c>
      <c r="B22" s="1" t="s">
        <v>285</v>
      </c>
      <c r="C22" s="1" t="s">
        <v>326</v>
      </c>
      <c r="D22" s="1" t="s">
        <v>329</v>
      </c>
      <c r="E22" s="1" t="s">
        <v>340</v>
      </c>
      <c r="F22" s="1" t="str">
        <f t="shared" si="0"/>
        <v>DEQ-Water Sciences: Reports, Publications, and Data</v>
      </c>
      <c r="G22" s="1" t="str">
        <f>VLOOKUP($D22,orgNodes!$A$2:$D$44,3,FALSE)</f>
        <v>Department of Environmental Quality</v>
      </c>
      <c r="H22" s="11">
        <f>VLOOKUP($D22,orgNodes!$A$2:$D$44,4,FALSE)</f>
        <v>2</v>
      </c>
      <c r="I22" s="1" t="s">
        <v>403</v>
      </c>
      <c r="J22" s="1" t="s">
        <v>8</v>
      </c>
      <c r="K22" s="1" t="s">
        <v>2</v>
      </c>
      <c r="L22" s="1" t="s">
        <v>5</v>
      </c>
      <c r="M22" s="1" t="s">
        <v>9</v>
      </c>
      <c r="N22" s="1" t="s">
        <v>7</v>
      </c>
      <c r="O22" s="1" t="s">
        <v>12</v>
      </c>
      <c r="P22" s="1" t="s">
        <v>12</v>
      </c>
      <c r="Q22" s="1" t="s">
        <v>12</v>
      </c>
      <c r="R22" s="1" t="s">
        <v>12</v>
      </c>
      <c r="S22" s="1" t="s">
        <v>12</v>
      </c>
      <c r="T22" s="1" t="s">
        <v>13</v>
      </c>
      <c r="U22" s="1" t="s">
        <v>89</v>
      </c>
    </row>
    <row r="23" spans="1:21" x14ac:dyDescent="0.3">
      <c r="A23" s="1" t="s">
        <v>286</v>
      </c>
      <c r="B23" s="1" t="s">
        <v>133</v>
      </c>
      <c r="C23" s="1" t="s">
        <v>326</v>
      </c>
      <c r="D23" s="1" t="s">
        <v>329</v>
      </c>
      <c r="E23" s="1" t="s">
        <v>340</v>
      </c>
      <c r="F23" s="1" t="str">
        <f t="shared" si="0"/>
        <v>DEQ-Water Sciences: Aquatic Toxicology Branch</v>
      </c>
      <c r="G23" s="1" t="str">
        <f>VLOOKUP($D23,orgNodes!$A$2:$D$44,3,FALSE)</f>
        <v>Department of Environmental Quality</v>
      </c>
      <c r="H23" s="11">
        <f>VLOOKUP($D23,orgNodes!$A$2:$D$44,4,FALSE)</f>
        <v>2</v>
      </c>
      <c r="I23" s="1" t="s">
        <v>404</v>
      </c>
      <c r="J23" s="1" t="s">
        <v>8</v>
      </c>
      <c r="K23" s="1" t="s">
        <v>2</v>
      </c>
      <c r="L23" s="1" t="s">
        <v>12</v>
      </c>
      <c r="M23" s="1" t="s">
        <v>6</v>
      </c>
      <c r="N23" s="1" t="s">
        <v>6</v>
      </c>
      <c r="O23" s="1" t="s">
        <v>6</v>
      </c>
      <c r="P23" s="1" t="s">
        <v>6</v>
      </c>
      <c r="Q23" s="1" t="s">
        <v>6</v>
      </c>
      <c r="R23" s="1" t="s">
        <v>6</v>
      </c>
      <c r="S23" s="1" t="s">
        <v>6</v>
      </c>
      <c r="T23" s="1" t="s">
        <v>6</v>
      </c>
      <c r="U23" s="1" t="s">
        <v>6</v>
      </c>
    </row>
    <row r="24" spans="1:21" x14ac:dyDescent="0.3">
      <c r="A24" s="1" t="s">
        <v>287</v>
      </c>
      <c r="B24" s="1" t="s">
        <v>288</v>
      </c>
      <c r="C24" s="1" t="s">
        <v>134</v>
      </c>
      <c r="D24" s="1" t="s">
        <v>118</v>
      </c>
      <c r="E24" s="1" t="s">
        <v>341</v>
      </c>
      <c r="F24" s="1" t="str">
        <f t="shared" si="0"/>
        <v>DEQ-Biological Assessment: Ambient Lake Monitoring</v>
      </c>
      <c r="G24" s="1" t="str">
        <f>VLOOKUP($D24,orgNodes!$A$2:$D$44,3,FALSE)</f>
        <v>Department of Environmental Quality</v>
      </c>
      <c r="H24" s="11">
        <f>VLOOKUP($D24,orgNodes!$A$2:$D$44,4,FALSE)</f>
        <v>2</v>
      </c>
      <c r="I24" s="1" t="s">
        <v>405</v>
      </c>
      <c r="J24" s="1" t="s">
        <v>8</v>
      </c>
      <c r="K24" s="1" t="s">
        <v>355</v>
      </c>
      <c r="L24" s="1" t="s">
        <v>12</v>
      </c>
      <c r="M24" s="1" t="s">
        <v>354</v>
      </c>
      <c r="N24" s="1" t="s">
        <v>354</v>
      </c>
      <c r="O24" s="1" t="s">
        <v>5</v>
      </c>
      <c r="P24" s="1" t="s">
        <v>7</v>
      </c>
      <c r="Q24" s="1" t="s">
        <v>12</v>
      </c>
      <c r="R24" s="1" t="s">
        <v>431</v>
      </c>
      <c r="S24" s="1" t="s">
        <v>12</v>
      </c>
      <c r="T24" s="1" t="s">
        <v>13</v>
      </c>
      <c r="U24" s="1" t="s">
        <v>6</v>
      </c>
    </row>
    <row r="25" spans="1:21" x14ac:dyDescent="0.3">
      <c r="A25" s="1" t="s">
        <v>289</v>
      </c>
      <c r="B25" s="1" t="s">
        <v>136</v>
      </c>
      <c r="C25" s="1" t="s">
        <v>326</v>
      </c>
      <c r="D25" s="1" t="s">
        <v>329</v>
      </c>
      <c r="E25" s="1" t="s">
        <v>340</v>
      </c>
      <c r="F25" s="1" t="str">
        <f t="shared" si="0"/>
        <v>DEQ-Water Sciences: Ecosystems Branch</v>
      </c>
      <c r="G25" s="1" t="str">
        <f>VLOOKUP($D25,orgNodes!$A$2:$D$44,3,FALSE)</f>
        <v>Department of Environmental Quality</v>
      </c>
      <c r="H25" s="11">
        <f>VLOOKUP($D25,orgNodes!$A$2:$D$44,4,FALSE)</f>
        <v>2</v>
      </c>
      <c r="I25" s="1" t="s">
        <v>406</v>
      </c>
      <c r="J25" s="1" t="s">
        <v>8</v>
      </c>
      <c r="K25" s="1" t="s">
        <v>2</v>
      </c>
      <c r="L25" s="1" t="s">
        <v>12</v>
      </c>
      <c r="M25" s="1" t="s">
        <v>10</v>
      </c>
      <c r="N25" s="1" t="s">
        <v>354</v>
      </c>
      <c r="O25" s="1" t="s">
        <v>5</v>
      </c>
      <c r="P25" s="1" t="s">
        <v>12</v>
      </c>
      <c r="Q25" s="1" t="s">
        <v>5</v>
      </c>
      <c r="R25" s="1" t="s">
        <v>431</v>
      </c>
      <c r="S25" s="1" t="s">
        <v>12</v>
      </c>
      <c r="T25" s="1" t="s">
        <v>14</v>
      </c>
      <c r="U25" s="1" t="s">
        <v>425</v>
      </c>
    </row>
    <row r="26" spans="1:21" x14ac:dyDescent="0.3">
      <c r="A26" s="1" t="s">
        <v>290</v>
      </c>
      <c r="B26" s="1" t="s">
        <v>291</v>
      </c>
      <c r="C26" s="1" t="s">
        <v>123</v>
      </c>
      <c r="D26" s="1" t="s">
        <v>28</v>
      </c>
      <c r="E26" s="1" t="s">
        <v>342</v>
      </c>
      <c r="F26" s="1" t="str">
        <f t="shared" si="0"/>
        <v>DEQ-Water Infrastructure: Environmental Documents</v>
      </c>
      <c r="G26" s="1" t="str">
        <f>VLOOKUP($D26,orgNodes!$A$2:$D$44,3,FALSE)</f>
        <v>Department of Environmental Quality</v>
      </c>
      <c r="H26" s="11">
        <f>VLOOKUP($D26,orgNodes!$A$2:$D$44,4,FALSE)</f>
        <v>2</v>
      </c>
      <c r="I26" s="1" t="s">
        <v>407</v>
      </c>
      <c r="J26" s="1" t="s">
        <v>8</v>
      </c>
      <c r="K26" s="1" t="s">
        <v>2</v>
      </c>
      <c r="L26" s="1" t="s">
        <v>5</v>
      </c>
      <c r="M26" s="1" t="s">
        <v>9</v>
      </c>
      <c r="N26" s="1" t="s">
        <v>7</v>
      </c>
      <c r="O26" s="1" t="s">
        <v>5</v>
      </c>
      <c r="P26" s="1" t="s">
        <v>426</v>
      </c>
      <c r="Q26" s="1" t="s">
        <v>5</v>
      </c>
      <c r="R26" s="1" t="s">
        <v>431</v>
      </c>
      <c r="S26" s="1" t="s">
        <v>12</v>
      </c>
      <c r="T26" s="1" t="s">
        <v>13</v>
      </c>
      <c r="U26" s="1" t="s">
        <v>89</v>
      </c>
    </row>
    <row r="27" spans="1:21" x14ac:dyDescent="0.3">
      <c r="A27" s="1" t="s">
        <v>292</v>
      </c>
      <c r="B27" s="1" t="s">
        <v>293</v>
      </c>
      <c r="C27" s="1" t="s">
        <v>123</v>
      </c>
      <c r="D27" s="1" t="s">
        <v>28</v>
      </c>
      <c r="E27" s="1" t="s">
        <v>342</v>
      </c>
      <c r="F27" s="1" t="str">
        <f t="shared" si="0"/>
        <v>DEQ-Water Infrastructure: Master Plan</v>
      </c>
      <c r="G27" s="1" t="str">
        <f>VLOOKUP($D27,orgNodes!$A$2:$D$44,3,FALSE)</f>
        <v>Department of Environmental Quality</v>
      </c>
      <c r="H27" s="11">
        <f>VLOOKUP($D27,orgNodes!$A$2:$D$44,4,FALSE)</f>
        <v>2</v>
      </c>
      <c r="I27" s="1" t="s">
        <v>408</v>
      </c>
      <c r="J27" s="1" t="s">
        <v>8</v>
      </c>
      <c r="K27" s="1" t="s">
        <v>2</v>
      </c>
      <c r="L27" s="1" t="s">
        <v>5</v>
      </c>
      <c r="M27" s="1" t="s">
        <v>9</v>
      </c>
      <c r="N27" s="1" t="s">
        <v>7</v>
      </c>
      <c r="O27" s="1" t="s">
        <v>12</v>
      </c>
      <c r="P27" s="1" t="s">
        <v>12</v>
      </c>
      <c r="Q27" s="1" t="s">
        <v>12</v>
      </c>
      <c r="R27" s="1" t="s">
        <v>12</v>
      </c>
      <c r="S27" s="1" t="s">
        <v>12</v>
      </c>
      <c r="T27" s="1" t="s">
        <v>13</v>
      </c>
      <c r="U27" s="1" t="s">
        <v>89</v>
      </c>
    </row>
    <row r="28" spans="1:21" x14ac:dyDescent="0.3">
      <c r="A28" s="1" t="s">
        <v>294</v>
      </c>
      <c r="B28" s="1" t="s">
        <v>295</v>
      </c>
      <c r="C28" s="1" t="s">
        <v>123</v>
      </c>
      <c r="D28" s="1" t="s">
        <v>28</v>
      </c>
      <c r="E28" s="1" t="s">
        <v>342</v>
      </c>
      <c r="F28" s="1" t="str">
        <f t="shared" si="0"/>
        <v>DEQ-Water Infrastructure: Environmental Finance Center Reports</v>
      </c>
      <c r="G28" s="1" t="str">
        <f>VLOOKUP($D28,orgNodes!$A$2:$D$44,3,FALSE)</f>
        <v>Department of Environmental Quality</v>
      </c>
      <c r="H28" s="11">
        <f>VLOOKUP($D28,orgNodes!$A$2:$D$44,4,FALSE)</f>
        <v>2</v>
      </c>
      <c r="I28" s="1" t="s">
        <v>409</v>
      </c>
      <c r="J28" s="1" t="s">
        <v>8</v>
      </c>
      <c r="K28" s="1" t="s">
        <v>2</v>
      </c>
      <c r="L28" s="1" t="s">
        <v>5</v>
      </c>
      <c r="M28" s="1" t="s">
        <v>9</v>
      </c>
      <c r="N28" s="1" t="s">
        <v>7</v>
      </c>
      <c r="O28" s="1" t="s">
        <v>12</v>
      </c>
      <c r="P28" s="1" t="s">
        <v>12</v>
      </c>
      <c r="Q28" s="1" t="s">
        <v>12</v>
      </c>
      <c r="R28" s="1" t="s">
        <v>12</v>
      </c>
      <c r="S28" s="1" t="s">
        <v>12</v>
      </c>
      <c r="T28" s="1" t="s">
        <v>13</v>
      </c>
      <c r="U28" s="1" t="s">
        <v>89</v>
      </c>
    </row>
    <row r="29" spans="1:21" x14ac:dyDescent="0.3">
      <c r="A29" s="1" t="s">
        <v>296</v>
      </c>
      <c r="B29" s="1" t="s">
        <v>153</v>
      </c>
      <c r="C29" s="1" t="s">
        <v>151</v>
      </c>
      <c r="D29" s="1" t="s">
        <v>150</v>
      </c>
      <c r="E29" s="1" t="s">
        <v>343</v>
      </c>
      <c r="F29" s="1" t="str">
        <f t="shared" si="0"/>
        <v>DEQ-EMLR: Dam Safety</v>
      </c>
      <c r="G29" s="1" t="str">
        <f>VLOOKUP($D29,orgNodes!$A$2:$D$44,3,FALSE)</f>
        <v>Department of Environmental Quality</v>
      </c>
      <c r="H29" s="11">
        <f>VLOOKUP($D29,orgNodes!$A$2:$D$44,4,FALSE)</f>
        <v>2</v>
      </c>
      <c r="I29" s="1" t="s">
        <v>233</v>
      </c>
      <c r="J29" s="1" t="s">
        <v>8</v>
      </c>
      <c r="K29" s="1" t="s">
        <v>2</v>
      </c>
      <c r="L29" s="1" t="s">
        <v>5</v>
      </c>
      <c r="M29" s="1" t="s">
        <v>369</v>
      </c>
      <c r="N29" s="1" t="s">
        <v>370</v>
      </c>
      <c r="O29" s="1" t="s">
        <v>12</v>
      </c>
      <c r="P29" s="1" t="s">
        <v>12</v>
      </c>
      <c r="Q29" s="1" t="s">
        <v>12</v>
      </c>
      <c r="R29" s="1" t="s">
        <v>12</v>
      </c>
      <c r="S29" s="1" t="s">
        <v>12</v>
      </c>
      <c r="T29" s="1" t="s">
        <v>13</v>
      </c>
      <c r="U29" s="1" t="s">
        <v>425</v>
      </c>
    </row>
    <row r="30" spans="1:21" x14ac:dyDescent="0.3">
      <c r="A30" s="1" t="s">
        <v>297</v>
      </c>
      <c r="B30" s="1" t="s">
        <v>155</v>
      </c>
      <c r="C30" s="1" t="s">
        <v>151</v>
      </c>
      <c r="D30" s="1" t="s">
        <v>150</v>
      </c>
      <c r="E30" s="1" t="s">
        <v>343</v>
      </c>
      <c r="F30" s="1" t="str">
        <f t="shared" si="0"/>
        <v>DEQ-EMLR: Stormwater</v>
      </c>
      <c r="G30" s="1" t="str">
        <f>VLOOKUP($D30,orgNodes!$A$2:$D$44,3,FALSE)</f>
        <v>Department of Environmental Quality</v>
      </c>
      <c r="H30" s="11">
        <f>VLOOKUP($D30,orgNodes!$A$2:$D$44,4,FALSE)</f>
        <v>2</v>
      </c>
      <c r="I30" s="1" t="s">
        <v>410</v>
      </c>
      <c r="J30" s="1" t="s">
        <v>359</v>
      </c>
      <c r="K30" s="1" t="s">
        <v>355</v>
      </c>
      <c r="L30" s="1" t="s">
        <v>5</v>
      </c>
      <c r="M30" s="1" t="s">
        <v>9</v>
      </c>
      <c r="N30" s="1" t="s">
        <v>371</v>
      </c>
      <c r="O30" s="1" t="s">
        <v>5</v>
      </c>
      <c r="P30" s="1" t="s">
        <v>7</v>
      </c>
      <c r="Q30" s="1" t="s">
        <v>12</v>
      </c>
      <c r="R30" s="1" t="s">
        <v>94</v>
      </c>
      <c r="S30" s="1" t="s">
        <v>12</v>
      </c>
      <c r="T30" s="1" t="s">
        <v>13</v>
      </c>
      <c r="U30" s="1" t="s">
        <v>425</v>
      </c>
    </row>
    <row r="31" spans="1:21" x14ac:dyDescent="0.3">
      <c r="A31" s="1" t="s">
        <v>298</v>
      </c>
      <c r="B31" s="1" t="s">
        <v>299</v>
      </c>
      <c r="C31" s="1" t="s">
        <v>151</v>
      </c>
      <c r="D31" s="1" t="s">
        <v>150</v>
      </c>
      <c r="E31" s="1" t="s">
        <v>343</v>
      </c>
      <c r="F31" s="1" t="str">
        <f t="shared" si="0"/>
        <v>DEQ-EMLR: NPDES MS4 Permitting</v>
      </c>
      <c r="G31" s="1" t="str">
        <f>VLOOKUP($D31,orgNodes!$A$2:$D$44,3,FALSE)</f>
        <v>Department of Environmental Quality</v>
      </c>
      <c r="H31" s="11">
        <f>VLOOKUP($D31,orgNodes!$A$2:$D$44,4,FALSE)</f>
        <v>2</v>
      </c>
      <c r="I31" s="1" t="s">
        <v>411</v>
      </c>
      <c r="J31" s="1" t="s">
        <v>359</v>
      </c>
      <c r="K31" s="1" t="s">
        <v>355</v>
      </c>
      <c r="L31" s="1" t="s">
        <v>5</v>
      </c>
      <c r="M31" s="1" t="s">
        <v>354</v>
      </c>
      <c r="N31" s="1" t="s">
        <v>354</v>
      </c>
      <c r="O31" s="1" t="s">
        <v>12</v>
      </c>
      <c r="P31" s="1" t="s">
        <v>12</v>
      </c>
      <c r="Q31" s="1" t="s">
        <v>12</v>
      </c>
      <c r="R31" s="1" t="s">
        <v>12</v>
      </c>
      <c r="S31" s="1" t="s">
        <v>12</v>
      </c>
      <c r="T31" s="1" t="s">
        <v>6</v>
      </c>
      <c r="U31" s="1" t="s">
        <v>89</v>
      </c>
    </row>
    <row r="32" spans="1:21" x14ac:dyDescent="0.3">
      <c r="A32" s="1" t="s">
        <v>300</v>
      </c>
      <c r="B32" s="1" t="s">
        <v>301</v>
      </c>
      <c r="C32" s="1" t="s">
        <v>151</v>
      </c>
      <c r="D32" s="1" t="s">
        <v>150</v>
      </c>
      <c r="E32" s="1" t="s">
        <v>343</v>
      </c>
      <c r="F32" s="1" t="str">
        <f t="shared" si="0"/>
        <v>DEQ-EMLR: Water Supply Watershed Protection Program</v>
      </c>
      <c r="G32" s="1" t="str">
        <f>VLOOKUP($D32,orgNodes!$A$2:$D$44,3,FALSE)</f>
        <v>Department of Environmental Quality</v>
      </c>
      <c r="H32" s="11">
        <f>VLOOKUP($D32,orgNodes!$A$2:$D$44,4,FALSE)</f>
        <v>2</v>
      </c>
      <c r="I32" s="1" t="s">
        <v>412</v>
      </c>
      <c r="J32" s="1" t="s">
        <v>359</v>
      </c>
      <c r="K32" s="1" t="s">
        <v>361</v>
      </c>
      <c r="L32" s="1" t="s">
        <v>5</v>
      </c>
      <c r="M32" s="1" t="s">
        <v>372</v>
      </c>
      <c r="N32" s="1" t="s">
        <v>373</v>
      </c>
      <c r="O32" s="1" t="s">
        <v>5</v>
      </c>
      <c r="P32" s="1" t="s">
        <v>432</v>
      </c>
      <c r="Q32" s="1" t="s">
        <v>12</v>
      </c>
      <c r="R32" s="1" t="s">
        <v>424</v>
      </c>
      <c r="S32" s="1" t="s">
        <v>12</v>
      </c>
      <c r="T32" s="1" t="s">
        <v>13</v>
      </c>
      <c r="U32" s="1" t="s">
        <v>425</v>
      </c>
    </row>
    <row r="33" spans="1:21" x14ac:dyDescent="0.3">
      <c r="A33" s="1" t="s">
        <v>302</v>
      </c>
      <c r="B33" s="1" t="s">
        <v>303</v>
      </c>
      <c r="C33" s="1" t="s">
        <v>157</v>
      </c>
      <c r="D33" s="1" t="s">
        <v>156</v>
      </c>
      <c r="E33" s="1" t="s">
        <v>344</v>
      </c>
      <c r="F33" s="1" t="str">
        <f t="shared" si="0"/>
        <v>DEQ-Coastal: Coastal Management Science and Data</v>
      </c>
      <c r="G33" s="1" t="str">
        <f>VLOOKUP($D33,orgNodes!$A$2:$D$44,3,FALSE)</f>
        <v>Department of Environmental Quality</v>
      </c>
      <c r="H33" s="11">
        <f>VLOOKUP($D33,orgNodes!$A$2:$D$44,4,FALSE)</f>
        <v>2</v>
      </c>
      <c r="I33" s="1" t="s">
        <v>413</v>
      </c>
      <c r="J33" s="1" t="s">
        <v>359</v>
      </c>
      <c r="K33" s="1" t="s">
        <v>355</v>
      </c>
      <c r="L33" s="1" t="s">
        <v>5</v>
      </c>
      <c r="M33" s="1" t="s">
        <v>374</v>
      </c>
      <c r="N33" s="1" t="s">
        <v>373</v>
      </c>
      <c r="O33" s="1" t="s">
        <v>5</v>
      </c>
      <c r="P33" s="1" t="s">
        <v>433</v>
      </c>
      <c r="Q33" s="1" t="s">
        <v>6</v>
      </c>
      <c r="R33" s="1" t="s">
        <v>6</v>
      </c>
      <c r="S33" s="1" t="s">
        <v>6</v>
      </c>
      <c r="T33" s="1" t="s">
        <v>13</v>
      </c>
      <c r="U33" s="1" t="s">
        <v>425</v>
      </c>
    </row>
    <row r="34" spans="1:21" x14ac:dyDescent="0.3">
      <c r="A34" s="1" t="s">
        <v>304</v>
      </c>
      <c r="B34" s="1" t="s">
        <v>305</v>
      </c>
      <c r="C34" s="1" t="s">
        <v>327</v>
      </c>
      <c r="D34" s="1" t="s">
        <v>331</v>
      </c>
      <c r="E34" s="1" t="s">
        <v>345</v>
      </c>
      <c r="F34" s="1" t="str">
        <f t="shared" si="0"/>
        <v>DEQ-Permits and Rules: Application Tracker</v>
      </c>
      <c r="G34" s="1" t="s">
        <v>353</v>
      </c>
      <c r="H34" s="11">
        <v>2</v>
      </c>
      <c r="I34" s="1" t="s">
        <v>414</v>
      </c>
      <c r="J34" s="1" t="s">
        <v>375</v>
      </c>
      <c r="K34" s="1" t="s">
        <v>361</v>
      </c>
      <c r="L34" s="1" t="s">
        <v>12</v>
      </c>
      <c r="M34" s="1" t="s">
        <v>354</v>
      </c>
      <c r="N34" s="1" t="s">
        <v>354</v>
      </c>
      <c r="O34" s="1" t="s">
        <v>12</v>
      </c>
      <c r="P34" s="1" t="s">
        <v>12</v>
      </c>
      <c r="Q34" s="1" t="s">
        <v>12</v>
      </c>
      <c r="R34" s="1" t="s">
        <v>12</v>
      </c>
      <c r="S34" s="1" t="s">
        <v>12</v>
      </c>
      <c r="T34" s="1" t="s">
        <v>434</v>
      </c>
      <c r="U34" s="1" t="s">
        <v>425</v>
      </c>
    </row>
    <row r="35" spans="1:21" x14ac:dyDescent="0.3">
      <c r="A35" s="1" t="s">
        <v>306</v>
      </c>
      <c r="B35" s="1" t="s">
        <v>307</v>
      </c>
      <c r="C35" s="1" t="s">
        <v>122</v>
      </c>
      <c r="D35" s="1" t="s">
        <v>27</v>
      </c>
      <c r="E35" s="1" t="s">
        <v>346</v>
      </c>
      <c r="F35" s="1" t="str">
        <f t="shared" si="0"/>
        <v>DEQ-Online GIS: NCDEQ Online GIS</v>
      </c>
      <c r="G35" s="1" t="str">
        <f>VLOOKUP($D35,orgNodes!$A$2:$D$44,3,FALSE)</f>
        <v>Department of Environmental Quality</v>
      </c>
      <c r="H35" s="11">
        <f>VLOOKUP($D35,orgNodes!$A$2:$D$44,4,FALSE)</f>
        <v>2</v>
      </c>
      <c r="I35" s="1" t="s">
        <v>415</v>
      </c>
      <c r="J35" s="1" t="s">
        <v>375</v>
      </c>
      <c r="K35" s="1" t="s">
        <v>376</v>
      </c>
      <c r="L35" s="1" t="s">
        <v>5</v>
      </c>
      <c r="M35" s="1" t="s">
        <v>374</v>
      </c>
      <c r="N35" s="1" t="s">
        <v>377</v>
      </c>
      <c r="O35" s="1" t="s">
        <v>5</v>
      </c>
      <c r="P35" s="1" t="s">
        <v>432</v>
      </c>
      <c r="Q35" s="1" t="s">
        <v>12</v>
      </c>
      <c r="R35" s="1" t="s">
        <v>94</v>
      </c>
      <c r="S35" s="1" t="s">
        <v>5</v>
      </c>
      <c r="T35" s="1" t="s">
        <v>13</v>
      </c>
      <c r="U35" s="1" t="s">
        <v>427</v>
      </c>
    </row>
    <row r="36" spans="1:21" x14ac:dyDescent="0.3">
      <c r="A36" s="1" t="s">
        <v>308</v>
      </c>
      <c r="B36" s="1" t="s">
        <v>309</v>
      </c>
      <c r="C36" s="1" t="s">
        <v>179</v>
      </c>
      <c r="D36" s="1" t="s">
        <v>178</v>
      </c>
      <c r="E36" s="1" t="s">
        <v>347</v>
      </c>
      <c r="F36" s="1" t="str">
        <f t="shared" si="0"/>
        <v>HHS-Water Protection: Non-Point Source Pollution Program</v>
      </c>
      <c r="G36" s="1" t="str">
        <f>VLOOKUP($D36,orgNodes!$A$2:$D$44,3,FALSE)</f>
        <v>Department of Health and Human Services</v>
      </c>
      <c r="H36" s="11">
        <f>VLOOKUP($D36,orgNodes!$A$2:$D$44,4,FALSE)</f>
        <v>5</v>
      </c>
      <c r="I36" s="1" t="s">
        <v>416</v>
      </c>
      <c r="J36" s="1" t="s">
        <v>8</v>
      </c>
      <c r="K36" s="1" t="s">
        <v>2</v>
      </c>
      <c r="L36" s="1" t="s">
        <v>5</v>
      </c>
      <c r="M36" s="1" t="s">
        <v>9</v>
      </c>
      <c r="N36" s="1" t="s">
        <v>7</v>
      </c>
      <c r="O36" s="1" t="s">
        <v>12</v>
      </c>
      <c r="P36" s="1" t="s">
        <v>12</v>
      </c>
      <c r="Q36" s="1" t="s">
        <v>12</v>
      </c>
      <c r="R36" s="1" t="s">
        <v>12</v>
      </c>
      <c r="S36" s="1" t="s">
        <v>12</v>
      </c>
      <c r="T36" s="1" t="s">
        <v>6</v>
      </c>
      <c r="U36" s="1" t="s">
        <v>89</v>
      </c>
    </row>
    <row r="37" spans="1:21" x14ac:dyDescent="0.3">
      <c r="A37" s="1" t="s">
        <v>310</v>
      </c>
      <c r="B37" s="1" t="s">
        <v>311</v>
      </c>
      <c r="C37" s="1" t="s">
        <v>171</v>
      </c>
      <c r="D37" s="1" t="s">
        <v>170</v>
      </c>
      <c r="E37" s="1" t="s">
        <v>348</v>
      </c>
      <c r="F37" s="1" t="str">
        <f t="shared" si="0"/>
        <v>IT-GIS Data: NC Onemap</v>
      </c>
      <c r="G37" s="1" t="str">
        <f>VLOOKUP($D37,orgNodes!$A$2:$D$44,3,FALSE)</f>
        <v>Department of Information Technology</v>
      </c>
      <c r="H37" s="11">
        <f>VLOOKUP($D37,orgNodes!$A$2:$D$44,4,FALSE)</f>
        <v>4</v>
      </c>
      <c r="I37" s="1" t="s">
        <v>417</v>
      </c>
      <c r="J37" s="1" t="s">
        <v>359</v>
      </c>
      <c r="K37" s="1" t="s">
        <v>378</v>
      </c>
      <c r="L37" s="1" t="s">
        <v>5</v>
      </c>
      <c r="M37" s="1" t="s">
        <v>360</v>
      </c>
      <c r="N37" s="1" t="s">
        <v>379</v>
      </c>
      <c r="O37" s="1" t="s">
        <v>5</v>
      </c>
      <c r="P37" s="1" t="s">
        <v>435</v>
      </c>
      <c r="Q37" s="1" t="s">
        <v>12</v>
      </c>
      <c r="R37" s="1" t="s">
        <v>436</v>
      </c>
      <c r="S37" s="1" t="s">
        <v>5</v>
      </c>
      <c r="T37" s="1" t="s">
        <v>13</v>
      </c>
      <c r="U37" s="1" t="s">
        <v>425</v>
      </c>
    </row>
    <row r="38" spans="1:21" x14ac:dyDescent="0.3">
      <c r="A38" s="1" t="s">
        <v>312</v>
      </c>
      <c r="B38" s="1" t="s">
        <v>163</v>
      </c>
      <c r="C38" s="1" t="s">
        <v>161</v>
      </c>
      <c r="D38" s="1" t="s">
        <v>160</v>
      </c>
      <c r="E38" s="1" t="s">
        <v>349</v>
      </c>
      <c r="F38" s="1" t="str">
        <f t="shared" si="0"/>
        <v>DACS-Ag Statistics: Environmental Statistics</v>
      </c>
      <c r="G38" s="1" t="str">
        <f>VLOOKUP($D38,orgNodes!$A$2:$D$44,3,FALSE)</f>
        <v>Department of Agriculture and Consumer Services</v>
      </c>
      <c r="H38" s="11">
        <f>VLOOKUP($D38,orgNodes!$A$2:$D$44,4,FALSE)</f>
        <v>3</v>
      </c>
      <c r="I38" s="1" t="s">
        <v>242</v>
      </c>
      <c r="J38" s="1" t="s">
        <v>8</v>
      </c>
      <c r="K38" s="1" t="s">
        <v>2</v>
      </c>
      <c r="L38" s="1" t="s">
        <v>5</v>
      </c>
      <c r="M38" s="1" t="s">
        <v>363</v>
      </c>
      <c r="N38" s="1" t="s">
        <v>7</v>
      </c>
      <c r="O38" s="1" t="s">
        <v>12</v>
      </c>
      <c r="P38" s="1" t="s">
        <v>12</v>
      </c>
      <c r="Q38" s="1" t="s">
        <v>12</v>
      </c>
      <c r="R38" s="1" t="s">
        <v>12</v>
      </c>
      <c r="S38" s="1" t="s">
        <v>12</v>
      </c>
      <c r="T38" s="1" t="s">
        <v>13</v>
      </c>
      <c r="U38" s="1" t="s">
        <v>88</v>
      </c>
    </row>
    <row r="39" spans="1:21" x14ac:dyDescent="0.3">
      <c r="A39" s="1" t="s">
        <v>313</v>
      </c>
      <c r="B39" s="1" t="s">
        <v>165</v>
      </c>
      <c r="C39" s="1" t="s">
        <v>161</v>
      </c>
      <c r="D39" s="1" t="s">
        <v>160</v>
      </c>
      <c r="E39" s="1" t="s">
        <v>349</v>
      </c>
      <c r="F39" s="1" t="str">
        <f t="shared" si="0"/>
        <v>DACS-Ag Statistics: Weather and Crop Reports</v>
      </c>
      <c r="G39" s="1" t="str">
        <f>VLOOKUP($D39,orgNodes!$A$2:$D$44,3,FALSE)</f>
        <v>Department of Agriculture and Consumer Services</v>
      </c>
      <c r="H39" s="11">
        <f>VLOOKUP($D39,orgNodes!$A$2:$D$44,4,FALSE)</f>
        <v>3</v>
      </c>
      <c r="I39" s="1" t="s">
        <v>243</v>
      </c>
      <c r="J39" s="1" t="s">
        <v>8</v>
      </c>
      <c r="K39" s="1" t="s">
        <v>2</v>
      </c>
      <c r="L39" s="1" t="s">
        <v>5</v>
      </c>
      <c r="M39" s="1" t="s">
        <v>363</v>
      </c>
      <c r="N39" s="1" t="s">
        <v>7</v>
      </c>
      <c r="O39" s="1" t="s">
        <v>5</v>
      </c>
      <c r="P39" s="1" t="s">
        <v>426</v>
      </c>
      <c r="Q39" s="1" t="s">
        <v>12</v>
      </c>
      <c r="R39" s="1" t="s">
        <v>91</v>
      </c>
      <c r="S39" s="1" t="s">
        <v>12</v>
      </c>
      <c r="T39" s="1" t="s">
        <v>437</v>
      </c>
      <c r="U39" s="1" t="s">
        <v>90</v>
      </c>
    </row>
    <row r="40" spans="1:21" x14ac:dyDescent="0.3">
      <c r="A40" s="1" t="s">
        <v>314</v>
      </c>
      <c r="B40" s="1" t="s">
        <v>4</v>
      </c>
      <c r="C40" s="1" t="s">
        <v>167</v>
      </c>
      <c r="D40" s="1" t="s">
        <v>166</v>
      </c>
      <c r="E40" s="1" t="s">
        <v>350</v>
      </c>
      <c r="F40" s="1" t="str">
        <f t="shared" si="0"/>
        <v>DACS-Forest Service: Water Quality</v>
      </c>
      <c r="G40" s="1" t="str">
        <f>VLOOKUP($D40,orgNodes!$A$2:$D$44,3,FALSE)</f>
        <v>Department of Agriculture and Consumer Services</v>
      </c>
      <c r="H40" s="11">
        <f>VLOOKUP($D40,orgNodes!$A$2:$D$44,4,FALSE)</f>
        <v>3</v>
      </c>
      <c r="I40" s="1" t="s">
        <v>418</v>
      </c>
      <c r="J40" s="1" t="s">
        <v>8</v>
      </c>
      <c r="K40" s="1" t="s">
        <v>2</v>
      </c>
      <c r="L40" s="1" t="s">
        <v>5</v>
      </c>
      <c r="M40" s="1" t="s">
        <v>363</v>
      </c>
      <c r="N40" s="1" t="s">
        <v>7</v>
      </c>
      <c r="O40" s="1" t="s">
        <v>12</v>
      </c>
      <c r="P40" s="1" t="s">
        <v>12</v>
      </c>
      <c r="Q40" s="1" t="s">
        <v>12</v>
      </c>
      <c r="R40" s="1" t="s">
        <v>12</v>
      </c>
      <c r="S40" s="1" t="s">
        <v>12</v>
      </c>
      <c r="T40" s="1" t="s">
        <v>14</v>
      </c>
      <c r="U40" s="1" t="s">
        <v>89</v>
      </c>
    </row>
    <row r="41" spans="1:21" x14ac:dyDescent="0.3">
      <c r="A41" s="1" t="s">
        <v>315</v>
      </c>
      <c r="B41" s="1" t="s">
        <v>316</v>
      </c>
      <c r="C41" s="1" t="s">
        <v>328</v>
      </c>
      <c r="D41" s="1" t="s">
        <v>331</v>
      </c>
      <c r="E41" s="1" t="s">
        <v>351</v>
      </c>
      <c r="F41" s="1" t="str">
        <f t="shared" si="0"/>
        <v>DOT-Env. Compliance: Environmental Compliance</v>
      </c>
      <c r="G41" s="1" t="s">
        <v>181</v>
      </c>
      <c r="H41" s="11">
        <v>6</v>
      </c>
      <c r="I41" s="1" t="s">
        <v>419</v>
      </c>
      <c r="J41" s="1" t="s">
        <v>8</v>
      </c>
      <c r="K41" s="1" t="s">
        <v>2</v>
      </c>
      <c r="L41" s="1" t="s">
        <v>5</v>
      </c>
      <c r="M41" s="1" t="s">
        <v>9</v>
      </c>
      <c r="N41" s="1" t="s">
        <v>7</v>
      </c>
      <c r="O41" s="1" t="s">
        <v>12</v>
      </c>
      <c r="P41" s="1" t="s">
        <v>12</v>
      </c>
      <c r="Q41" s="1" t="s">
        <v>12</v>
      </c>
      <c r="R41" s="1" t="s">
        <v>12</v>
      </c>
      <c r="S41" s="1" t="s">
        <v>12</v>
      </c>
      <c r="T41" s="1" t="s">
        <v>13</v>
      </c>
      <c r="U41" s="1" t="s">
        <v>89</v>
      </c>
    </row>
    <row r="42" spans="1:21" x14ac:dyDescent="0.3">
      <c r="A42" s="1" t="s">
        <v>317</v>
      </c>
      <c r="B42" s="1" t="s">
        <v>318</v>
      </c>
      <c r="C42" s="1" t="s">
        <v>187</v>
      </c>
      <c r="D42" s="1" t="s">
        <v>186</v>
      </c>
      <c r="E42" s="1" t="s">
        <v>352</v>
      </c>
      <c r="F42" s="1" t="str">
        <f t="shared" si="0"/>
        <v>PS-Risk Management: Floodplain Mapping and Management</v>
      </c>
      <c r="G42" s="1" t="str">
        <f>VLOOKUP($D42,orgNodes!$A$2:$D$44,3,FALSE)</f>
        <v>Department of Public Safety</v>
      </c>
      <c r="H42" s="11">
        <v>7</v>
      </c>
      <c r="I42" s="1" t="s">
        <v>420</v>
      </c>
      <c r="J42" s="1" t="s">
        <v>359</v>
      </c>
      <c r="K42" s="1" t="s">
        <v>378</v>
      </c>
      <c r="L42" s="1" t="s">
        <v>5</v>
      </c>
      <c r="M42" s="1" t="s">
        <v>380</v>
      </c>
      <c r="N42" s="1" t="s">
        <v>7</v>
      </c>
      <c r="O42" s="1" t="s">
        <v>5</v>
      </c>
      <c r="P42" s="1" t="s">
        <v>11</v>
      </c>
      <c r="Q42" s="1" t="s">
        <v>12</v>
      </c>
      <c r="R42" s="1" t="s">
        <v>91</v>
      </c>
      <c r="S42" s="1" t="s">
        <v>12</v>
      </c>
      <c r="T42" s="1" t="s">
        <v>6</v>
      </c>
      <c r="U42" s="1" t="s">
        <v>425</v>
      </c>
    </row>
    <row r="43" spans="1:21" x14ac:dyDescent="0.3">
      <c r="A43" s="1" t="s">
        <v>319</v>
      </c>
      <c r="B43" s="1" t="s">
        <v>320</v>
      </c>
      <c r="C43" s="1" t="s">
        <v>187</v>
      </c>
      <c r="D43" s="1" t="s">
        <v>186</v>
      </c>
      <c r="E43" s="1" t="s">
        <v>352</v>
      </c>
      <c r="F43" s="1" t="str">
        <f t="shared" si="0"/>
        <v>PS-Risk Management: Flood Inundation Mapping and Alert Network</v>
      </c>
      <c r="G43" s="1" t="str">
        <f>VLOOKUP($D43,orgNodes!$A$2:$D$44,3,FALSE)</f>
        <v>Department of Public Safety</v>
      </c>
      <c r="H43" s="11">
        <v>7</v>
      </c>
      <c r="I43" s="1" t="s">
        <v>421</v>
      </c>
      <c r="J43" s="1" t="s">
        <v>375</v>
      </c>
      <c r="K43" s="1" t="s">
        <v>361</v>
      </c>
      <c r="L43" s="1" t="s">
        <v>5</v>
      </c>
      <c r="M43" s="1" t="s">
        <v>381</v>
      </c>
      <c r="N43" s="1" t="s">
        <v>382</v>
      </c>
      <c r="O43" s="1" t="s">
        <v>5</v>
      </c>
      <c r="P43" s="1" t="s">
        <v>11</v>
      </c>
      <c r="Q43" s="1" t="s">
        <v>12</v>
      </c>
      <c r="R43" s="1" t="s">
        <v>424</v>
      </c>
      <c r="S43" s="1" t="s">
        <v>12</v>
      </c>
      <c r="T43" s="1" t="s">
        <v>434</v>
      </c>
      <c r="U43" s="1" t="s">
        <v>425</v>
      </c>
    </row>
    <row r="44" spans="1:21" x14ac:dyDescent="0.3">
      <c r="A44" s="1" t="s">
        <v>321</v>
      </c>
      <c r="B44" s="1" t="s">
        <v>322</v>
      </c>
      <c r="C44" s="1" t="s">
        <v>187</v>
      </c>
      <c r="D44" s="1" t="s">
        <v>186</v>
      </c>
      <c r="E44" s="1" t="s">
        <v>352</v>
      </c>
      <c r="F44" s="1" t="str">
        <f t="shared" si="0"/>
        <v>PS-Risk Management: Flood Risk Information System</v>
      </c>
      <c r="G44" s="1" t="str">
        <f>VLOOKUP($D44,orgNodes!$A$2:$D$44,3,FALSE)</f>
        <v>Department of Public Safety</v>
      </c>
      <c r="H44" s="11">
        <v>7</v>
      </c>
      <c r="I44" s="1" t="s">
        <v>422</v>
      </c>
      <c r="J44" s="1" t="s">
        <v>375</v>
      </c>
      <c r="K44" s="1" t="s">
        <v>378</v>
      </c>
      <c r="L44" s="1" t="s">
        <v>5</v>
      </c>
      <c r="M44" s="1" t="s">
        <v>381</v>
      </c>
      <c r="N44" s="1" t="s">
        <v>525</v>
      </c>
      <c r="O44" s="1" t="s">
        <v>5</v>
      </c>
      <c r="P44" s="1" t="s">
        <v>11</v>
      </c>
      <c r="Q44" s="1" t="s">
        <v>12</v>
      </c>
      <c r="R44" s="1" t="s">
        <v>91</v>
      </c>
      <c r="S44" s="1" t="s">
        <v>12</v>
      </c>
      <c r="T44" s="1" t="s">
        <v>6</v>
      </c>
      <c r="U44" s="1" t="s">
        <v>425</v>
      </c>
    </row>
    <row r="45" spans="1:21" x14ac:dyDescent="0.3">
      <c r="A45" s="1" t="s">
        <v>323</v>
      </c>
      <c r="B45" s="1" t="s">
        <v>324</v>
      </c>
      <c r="C45" s="1" t="s">
        <v>187</v>
      </c>
      <c r="D45" s="1" t="s">
        <v>186</v>
      </c>
      <c r="E45" s="1" t="s">
        <v>352</v>
      </c>
      <c r="F45" s="1" t="str">
        <f t="shared" si="0"/>
        <v>PS-Risk Management: Spatial Data Download</v>
      </c>
      <c r="G45" s="1" t="str">
        <f>VLOOKUP($D45,orgNodes!$A$2:$D$44,3,FALSE)</f>
        <v>Department of Public Safety</v>
      </c>
      <c r="H45" s="11">
        <v>7</v>
      </c>
      <c r="I45" s="1" t="s">
        <v>423</v>
      </c>
      <c r="J45" s="1" t="s">
        <v>375</v>
      </c>
      <c r="K45" s="1" t="s">
        <v>361</v>
      </c>
      <c r="L45" s="1" t="s">
        <v>383</v>
      </c>
      <c r="M45" s="1" t="s">
        <v>369</v>
      </c>
      <c r="N45" s="1" t="s">
        <v>384</v>
      </c>
      <c r="O45" s="1" t="s">
        <v>5</v>
      </c>
      <c r="P45" s="1" t="s">
        <v>433</v>
      </c>
      <c r="Q45" s="1" t="s">
        <v>6</v>
      </c>
      <c r="R45" s="1" t="s">
        <v>6</v>
      </c>
      <c r="S45" s="1" t="s">
        <v>6</v>
      </c>
      <c r="T45" s="1" t="s">
        <v>6</v>
      </c>
      <c r="U45"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B36" sqref="B36"/>
    </sheetView>
  </sheetViews>
  <sheetFormatPr defaultRowHeight="15.6" x14ac:dyDescent="0.3"/>
  <cols>
    <col min="1" max="1" width="9.8984375" style="1" bestFit="1" customWidth="1"/>
    <col min="2" max="2" width="29.19921875" style="1" customWidth="1"/>
    <col min="3" max="3" width="12.3984375" style="1" bestFit="1" customWidth="1"/>
    <col min="4" max="16384" width="8.796875" style="1"/>
  </cols>
  <sheetData>
    <row r="1" spans="1:3" x14ac:dyDescent="0.3">
      <c r="A1" s="5" t="s">
        <v>114</v>
      </c>
      <c r="B1" s="5" t="s">
        <v>113</v>
      </c>
      <c r="C1" s="5" t="s">
        <v>112</v>
      </c>
    </row>
    <row r="2" spans="1:3" x14ac:dyDescent="0.3">
      <c r="A2" s="1" t="s">
        <v>53</v>
      </c>
      <c r="B2" s="1" t="s">
        <v>74</v>
      </c>
      <c r="C2" s="1" t="s">
        <v>62</v>
      </c>
    </row>
    <row r="3" spans="1:3" x14ac:dyDescent="0.3">
      <c r="A3" s="1" t="s">
        <v>54</v>
      </c>
      <c r="B3" s="1" t="s">
        <v>75</v>
      </c>
      <c r="C3" s="1" t="s">
        <v>62</v>
      </c>
    </row>
    <row r="4" spans="1:3" x14ac:dyDescent="0.3">
      <c r="A4" s="1" t="s">
        <v>56</v>
      </c>
      <c r="B4" s="1" t="s">
        <v>76</v>
      </c>
      <c r="C4" s="1" t="s">
        <v>76</v>
      </c>
    </row>
    <row r="5" spans="1:3" x14ac:dyDescent="0.3">
      <c r="A5" s="1" t="s">
        <v>77</v>
      </c>
      <c r="B5" s="1" t="s">
        <v>68</v>
      </c>
      <c r="C5" s="1" t="s">
        <v>76</v>
      </c>
    </row>
    <row r="6" spans="1:3" x14ac:dyDescent="0.3">
      <c r="A6" s="1" t="s">
        <v>57</v>
      </c>
      <c r="B6" s="1" t="s">
        <v>55</v>
      </c>
      <c r="C6" s="1" t="s">
        <v>78</v>
      </c>
    </row>
    <row r="7" spans="1:3" x14ac:dyDescent="0.3">
      <c r="A7" s="1" t="s">
        <v>58</v>
      </c>
      <c r="B7" s="1" t="s">
        <v>79</v>
      </c>
      <c r="C7" s="1" t="s">
        <v>78</v>
      </c>
    </row>
    <row r="8" spans="1:3" x14ac:dyDescent="0.3">
      <c r="A8" s="1" t="s">
        <v>59</v>
      </c>
      <c r="B8" s="1" t="s">
        <v>80</v>
      </c>
      <c r="C8" s="1" t="s">
        <v>78</v>
      </c>
    </row>
    <row r="9" spans="1:3" x14ac:dyDescent="0.3">
      <c r="A9" s="1" t="s">
        <v>61</v>
      </c>
      <c r="B9" s="1" t="s">
        <v>3</v>
      </c>
      <c r="C9" s="1" t="s">
        <v>78</v>
      </c>
    </row>
    <row r="10" spans="1:3" x14ac:dyDescent="0.3">
      <c r="A10" s="1" t="s">
        <v>81</v>
      </c>
      <c r="B10" s="1" t="s">
        <v>64</v>
      </c>
      <c r="C10" s="1" t="s">
        <v>78</v>
      </c>
    </row>
    <row r="11" spans="1:3" x14ac:dyDescent="0.3">
      <c r="A11" s="1" t="s">
        <v>63</v>
      </c>
      <c r="B11" s="1" t="s">
        <v>66</v>
      </c>
      <c r="C11" s="1" t="s">
        <v>78</v>
      </c>
    </row>
    <row r="12" spans="1:3" x14ac:dyDescent="0.3">
      <c r="A12" s="1" t="s">
        <v>65</v>
      </c>
      <c r="B12" s="1" t="s">
        <v>18</v>
      </c>
      <c r="C12" s="1" t="s">
        <v>78</v>
      </c>
    </row>
    <row r="13" spans="1:3" x14ac:dyDescent="0.3">
      <c r="A13" s="1" t="s">
        <v>67</v>
      </c>
      <c r="B13" s="1" t="s">
        <v>71</v>
      </c>
      <c r="C13" s="1" t="s">
        <v>78</v>
      </c>
    </row>
    <row r="14" spans="1:3" x14ac:dyDescent="0.3">
      <c r="A14" s="1" t="s">
        <v>69</v>
      </c>
      <c r="B14" s="1" t="s">
        <v>17</v>
      </c>
      <c r="C14" s="1" t="s">
        <v>78</v>
      </c>
    </row>
    <row r="15" spans="1:3" x14ac:dyDescent="0.3">
      <c r="A15" s="1" t="s">
        <v>82</v>
      </c>
      <c r="B15" s="1" t="s">
        <v>60</v>
      </c>
      <c r="C15" s="1" t="s">
        <v>83</v>
      </c>
    </row>
    <row r="16" spans="1:3" x14ac:dyDescent="0.3">
      <c r="A16" s="1" t="s">
        <v>84</v>
      </c>
      <c r="B16" s="1" t="s">
        <v>85</v>
      </c>
      <c r="C16" s="1" t="s">
        <v>83</v>
      </c>
    </row>
    <row r="17" spans="1:3" x14ac:dyDescent="0.3">
      <c r="A17" s="1" t="s">
        <v>70</v>
      </c>
      <c r="B17" s="1" t="s">
        <v>83</v>
      </c>
      <c r="C17" s="1" t="s">
        <v>83</v>
      </c>
    </row>
    <row r="18" spans="1:3" x14ac:dyDescent="0.3">
      <c r="A18" s="1" t="s">
        <v>72</v>
      </c>
      <c r="B18" s="1" t="s">
        <v>41</v>
      </c>
      <c r="C18" s="1" t="s">
        <v>83</v>
      </c>
    </row>
    <row r="19" spans="1:3" x14ac:dyDescent="0.3">
      <c r="A19" s="1" t="s">
        <v>73</v>
      </c>
      <c r="B19" s="1" t="s">
        <v>86</v>
      </c>
      <c r="C19" s="1" t="s">
        <v>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9"/>
  <sheetViews>
    <sheetView topLeftCell="B1" zoomScale="80" zoomScaleNormal="80" workbookViewId="0">
      <pane ySplit="1" topLeftCell="A2" activePane="bottomLeft" state="frozen"/>
      <selection pane="bottomLeft" activeCell="I2" sqref="I2"/>
    </sheetView>
  </sheetViews>
  <sheetFormatPr defaultRowHeight="15.6" x14ac:dyDescent="0.3"/>
  <cols>
    <col min="1" max="1" width="5.5" style="1" bestFit="1" customWidth="1"/>
    <col min="2" max="2" width="36.59765625" style="1" customWidth="1"/>
    <col min="3" max="4" width="19.796875" style="1" customWidth="1"/>
    <col min="5" max="5" width="13.59765625" style="1" customWidth="1"/>
    <col min="6" max="6" width="14.59765625" style="1" bestFit="1" customWidth="1"/>
    <col min="7" max="7" width="16.796875" style="1" customWidth="1"/>
    <col min="8" max="8" width="13.5" style="1" bestFit="1" customWidth="1"/>
    <col min="9" max="9" width="9.5" style="1" bestFit="1" customWidth="1"/>
    <col min="10" max="12" width="8.796875" style="1"/>
    <col min="13" max="13" width="16.796875" style="1" customWidth="1"/>
    <col min="14" max="16384" width="8.796875" style="1"/>
  </cols>
  <sheetData>
    <row r="1" spans="1:14" x14ac:dyDescent="0.3">
      <c r="A1" s="3" t="s">
        <v>99</v>
      </c>
      <c r="B1" s="8" t="s">
        <v>100</v>
      </c>
      <c r="C1" s="7" t="s">
        <v>95</v>
      </c>
      <c r="D1" s="7" t="s">
        <v>96</v>
      </c>
      <c r="E1" s="8" t="s">
        <v>20</v>
      </c>
      <c r="F1" s="7" t="s">
        <v>111</v>
      </c>
      <c r="G1" s="7" t="s">
        <v>113</v>
      </c>
      <c r="H1" s="7" t="s">
        <v>112</v>
      </c>
      <c r="I1" s="9" t="s">
        <v>114</v>
      </c>
      <c r="J1" s="7" t="s">
        <v>0</v>
      </c>
      <c r="M1" s="1" t="s">
        <v>116</v>
      </c>
      <c r="N1" s="1" t="s">
        <v>115</v>
      </c>
    </row>
    <row r="2" spans="1:14" x14ac:dyDescent="0.3">
      <c r="A2" s="1" t="s">
        <v>42</v>
      </c>
      <c r="B2" s="1" t="s">
        <v>262</v>
      </c>
      <c r="C2" s="1" t="s">
        <v>1</v>
      </c>
      <c r="D2" s="1" t="s">
        <v>122</v>
      </c>
      <c r="E2" s="1" t="s">
        <v>385</v>
      </c>
      <c r="F2" s="1" t="s">
        <v>459</v>
      </c>
      <c r="G2" s="1" t="s">
        <v>68</v>
      </c>
      <c r="H2" s="1" t="str">
        <f>VLOOKUP(G2,dataNodes!$B$2:$C$19,2,FALSE)</f>
        <v>Quality</v>
      </c>
      <c r="I2" s="1" t="str">
        <f>VLOOKUP(G2,$M$2:$N$19,2,FALSE)</f>
        <v>d04</v>
      </c>
      <c r="M2" s="6" t="str">
        <f>dataNodes!B2</f>
        <v>Built</v>
      </c>
      <c r="N2" s="4" t="str">
        <f>dataNodes!A2</f>
        <v>d01</v>
      </c>
    </row>
    <row r="3" spans="1:14" x14ac:dyDescent="0.3">
      <c r="A3" s="1" t="s">
        <v>42</v>
      </c>
      <c r="B3" s="1" t="s">
        <v>262</v>
      </c>
      <c r="C3" s="1" t="s">
        <v>1</v>
      </c>
      <c r="D3" s="1" t="s">
        <v>122</v>
      </c>
      <c r="E3" s="1" t="s">
        <v>385</v>
      </c>
      <c r="F3" s="1" t="s">
        <v>460</v>
      </c>
      <c r="G3" s="1" t="s">
        <v>68</v>
      </c>
      <c r="H3" s="1" t="str">
        <f>VLOOKUP(G3,dataNodes!$B$2:$C$19,2,FALSE)</f>
        <v>Quality</v>
      </c>
      <c r="I3" s="1" t="str">
        <f t="shared" ref="I3:I18" si="0">VLOOKUP(G3,$M$2:$N$19,2,FALSE)</f>
        <v>d04</v>
      </c>
      <c r="M3" s="6" t="str">
        <f>dataNodes!B3</f>
        <v>Natural</v>
      </c>
      <c r="N3" s="4" t="str">
        <f>dataNodes!A3</f>
        <v>d02</v>
      </c>
    </row>
    <row r="4" spans="1:14" x14ac:dyDescent="0.3">
      <c r="A4" s="1" t="s">
        <v>42</v>
      </c>
      <c r="B4" s="1" t="s">
        <v>262</v>
      </c>
      <c r="C4" s="1" t="s">
        <v>1</v>
      </c>
      <c r="D4" s="1" t="s">
        <v>122</v>
      </c>
      <c r="E4" s="1" t="s">
        <v>385</v>
      </c>
      <c r="F4" s="1" t="s">
        <v>461</v>
      </c>
      <c r="G4" s="1" t="s">
        <v>68</v>
      </c>
      <c r="H4" s="1" t="str">
        <f>VLOOKUP(G4,dataNodes!$B$2:$C$19,2,FALSE)</f>
        <v>Quality</v>
      </c>
      <c r="I4" s="1" t="str">
        <f t="shared" si="0"/>
        <v>d04</v>
      </c>
      <c r="M4" s="6" t="str">
        <f>dataNodes!B4</f>
        <v>Quality</v>
      </c>
      <c r="N4" s="4" t="str">
        <f>dataNodes!A4</f>
        <v>d03</v>
      </c>
    </row>
    <row r="5" spans="1:14" x14ac:dyDescent="0.3">
      <c r="A5" s="1" t="s">
        <v>43</v>
      </c>
      <c r="B5" s="1" t="s">
        <v>438</v>
      </c>
      <c r="C5" s="1" t="s">
        <v>1</v>
      </c>
      <c r="D5" s="1" t="s">
        <v>122</v>
      </c>
      <c r="E5" s="1" t="s">
        <v>386</v>
      </c>
      <c r="F5" s="1" t="s">
        <v>438</v>
      </c>
      <c r="G5" s="1" t="s">
        <v>68</v>
      </c>
      <c r="H5" s="1" t="str">
        <f>VLOOKUP(G5,dataNodes!$B$2:$C$19,2,FALSE)</f>
        <v>Quality</v>
      </c>
      <c r="I5" s="1" t="str">
        <f t="shared" si="0"/>
        <v>d04</v>
      </c>
      <c r="M5" s="6" t="str">
        <f>dataNodes!B5</f>
        <v>Regulatory</v>
      </c>
      <c r="N5" s="4" t="str">
        <f>dataNodes!A5</f>
        <v>d04</v>
      </c>
    </row>
    <row r="6" spans="1:14" x14ac:dyDescent="0.3">
      <c r="A6" s="1" t="s">
        <v>44</v>
      </c>
      <c r="B6" s="1" t="s">
        <v>439</v>
      </c>
      <c r="C6" s="1" t="s">
        <v>1</v>
      </c>
      <c r="D6" s="1" t="s">
        <v>122</v>
      </c>
      <c r="E6" s="1" t="s">
        <v>387</v>
      </c>
      <c r="F6" s="1" t="s">
        <v>462</v>
      </c>
      <c r="G6" s="1" t="s">
        <v>68</v>
      </c>
      <c r="H6" s="1" t="str">
        <f>VLOOKUP(G6,dataNodes!$B$2:$C$19,2,FALSE)</f>
        <v>Quality</v>
      </c>
      <c r="I6" s="1" t="str">
        <f t="shared" si="0"/>
        <v>d04</v>
      </c>
      <c r="M6" s="6" t="str">
        <f>dataNodes!B6</f>
        <v>Evapotranspiration</v>
      </c>
      <c r="N6" s="4" t="str">
        <f>dataNodes!A6</f>
        <v>d05</v>
      </c>
    </row>
    <row r="7" spans="1:14" x14ac:dyDescent="0.3">
      <c r="A7" s="1" t="s">
        <v>45</v>
      </c>
      <c r="B7" s="1" t="s">
        <v>265</v>
      </c>
      <c r="C7" s="1" t="s">
        <v>1</v>
      </c>
      <c r="D7" s="1" t="s">
        <v>122</v>
      </c>
      <c r="E7" s="1" t="s">
        <v>456</v>
      </c>
      <c r="F7" s="1" t="s">
        <v>463</v>
      </c>
      <c r="G7" s="1" t="s">
        <v>68</v>
      </c>
      <c r="H7" s="1" t="str">
        <f>VLOOKUP(G7,dataNodes!$B$2:$C$19,2,FALSE)</f>
        <v>Quality</v>
      </c>
      <c r="I7" s="1" t="str">
        <f t="shared" si="0"/>
        <v>d04</v>
      </c>
      <c r="M7" s="6" t="str">
        <f>dataNodes!B7</f>
        <v>Extreme Events</v>
      </c>
      <c r="N7" s="4" t="str">
        <f>dataNodes!A7</f>
        <v>d06</v>
      </c>
    </row>
    <row r="8" spans="1:14" x14ac:dyDescent="0.3">
      <c r="A8" s="1" t="s">
        <v>45</v>
      </c>
      <c r="B8" s="1" t="s">
        <v>265</v>
      </c>
      <c r="C8" s="1" t="s">
        <v>1</v>
      </c>
      <c r="D8" s="1" t="s">
        <v>122</v>
      </c>
      <c r="E8" s="1" t="s">
        <v>456</v>
      </c>
      <c r="F8" s="1" t="s">
        <v>464</v>
      </c>
      <c r="G8" s="1" t="s">
        <v>68</v>
      </c>
      <c r="H8" s="1" t="str">
        <f>VLOOKUP(G8,dataNodes!$B$2:$C$19,2,FALSE)</f>
        <v>Quality</v>
      </c>
      <c r="I8" s="1" t="str">
        <f t="shared" si="0"/>
        <v>d04</v>
      </c>
      <c r="M8" s="6" t="str">
        <f>dataNodes!B8</f>
        <v>Glacial and Snow</v>
      </c>
      <c r="N8" s="4" t="str">
        <f>dataNodes!A8</f>
        <v>d07</v>
      </c>
    </row>
    <row r="9" spans="1:14" x14ac:dyDescent="0.3">
      <c r="A9" s="1" t="s">
        <v>46</v>
      </c>
      <c r="B9" s="1" t="s">
        <v>266</v>
      </c>
      <c r="C9" s="1" t="s">
        <v>1</v>
      </c>
      <c r="D9" s="1" t="s">
        <v>122</v>
      </c>
      <c r="E9" s="1" t="s">
        <v>389</v>
      </c>
      <c r="F9" s="1" t="s">
        <v>465</v>
      </c>
      <c r="G9" s="1" t="s">
        <v>76</v>
      </c>
      <c r="H9" s="1" t="str">
        <f>VLOOKUP(G9,dataNodes!$B$2:$C$19,2,FALSE)</f>
        <v>Quality</v>
      </c>
      <c r="I9" s="1" t="str">
        <f t="shared" si="0"/>
        <v>d03</v>
      </c>
      <c r="M9" s="6" t="str">
        <f>dataNodes!B9</f>
        <v>Groundwater</v>
      </c>
      <c r="N9" s="4" t="str">
        <f>dataNodes!A9</f>
        <v>d08</v>
      </c>
    </row>
    <row r="10" spans="1:14" x14ac:dyDescent="0.3">
      <c r="A10" s="1" t="s">
        <v>46</v>
      </c>
      <c r="B10" s="1" t="s">
        <v>266</v>
      </c>
      <c r="C10" s="1" t="s">
        <v>1</v>
      </c>
      <c r="D10" s="1" t="s">
        <v>122</v>
      </c>
      <c r="E10" s="1" t="s">
        <v>389</v>
      </c>
      <c r="F10" s="1" t="s">
        <v>465</v>
      </c>
      <c r="G10" s="1" t="s">
        <v>3</v>
      </c>
      <c r="H10" s="1" t="str">
        <f>VLOOKUP(G10,dataNodes!$B$2:$C$19,2,FALSE)</f>
        <v>Quantity</v>
      </c>
      <c r="I10" s="1" t="str">
        <f t="shared" si="0"/>
        <v>d08</v>
      </c>
      <c r="M10" s="6" t="str">
        <f>dataNodes!B10</f>
        <v>Meteorology</v>
      </c>
      <c r="N10" s="4" t="str">
        <f>dataNodes!A10</f>
        <v>d09</v>
      </c>
    </row>
    <row r="11" spans="1:14" x14ac:dyDescent="0.3">
      <c r="A11" s="1" t="s">
        <v>46</v>
      </c>
      <c r="B11" s="1" t="s">
        <v>266</v>
      </c>
      <c r="C11" s="1" t="s">
        <v>1</v>
      </c>
      <c r="D11" s="1" t="s">
        <v>122</v>
      </c>
      <c r="E11" s="1" t="s">
        <v>389</v>
      </c>
      <c r="F11" s="1" t="s">
        <v>466</v>
      </c>
      <c r="G11" s="1" t="s">
        <v>68</v>
      </c>
      <c r="H11" s="1" t="str">
        <f>VLOOKUP(G11,dataNodes!$B$2:$C$19,2,FALSE)</f>
        <v>Quality</v>
      </c>
      <c r="I11" s="1" t="str">
        <f t="shared" si="0"/>
        <v>d04</v>
      </c>
      <c r="M11" s="6" t="str">
        <f>dataNodes!B11</f>
        <v>Precipitation</v>
      </c>
      <c r="N11" s="4" t="str">
        <f>dataNodes!A11</f>
        <v>d10</v>
      </c>
    </row>
    <row r="12" spans="1:14" x14ac:dyDescent="0.3">
      <c r="A12" s="1" t="s">
        <v>46</v>
      </c>
      <c r="B12" s="1" t="s">
        <v>266</v>
      </c>
      <c r="C12" s="1" t="s">
        <v>1</v>
      </c>
      <c r="D12" s="1" t="s">
        <v>122</v>
      </c>
      <c r="E12" s="1" t="s">
        <v>457</v>
      </c>
      <c r="F12" s="1" t="s">
        <v>467</v>
      </c>
      <c r="G12" s="1" t="s">
        <v>76</v>
      </c>
      <c r="H12" s="1" t="str">
        <f>VLOOKUP(G12,dataNodes!$B$2:$C$19,2,FALSE)</f>
        <v>Quality</v>
      </c>
      <c r="I12" s="1" t="str">
        <f t="shared" si="0"/>
        <v>d03</v>
      </c>
      <c r="M12" s="6" t="str">
        <f>dataNodes!B12</f>
        <v>Reservoir</v>
      </c>
      <c r="N12" s="4" t="str">
        <f>dataNodes!A12</f>
        <v>d11</v>
      </c>
    </row>
    <row r="13" spans="1:14" x14ac:dyDescent="0.3">
      <c r="A13" s="1" t="s">
        <v>46</v>
      </c>
      <c r="B13" s="1" t="s">
        <v>266</v>
      </c>
      <c r="C13" s="1" t="s">
        <v>1</v>
      </c>
      <c r="D13" s="1" t="s">
        <v>122</v>
      </c>
      <c r="E13" s="1" t="s">
        <v>389</v>
      </c>
      <c r="F13" s="1" t="s">
        <v>468</v>
      </c>
      <c r="G13" s="1" t="s">
        <v>76</v>
      </c>
      <c r="H13" s="1" t="str">
        <f>VLOOKUP(G13,dataNodes!$B$2:$C$19,2,FALSE)</f>
        <v>Quality</v>
      </c>
      <c r="I13" s="1" t="str">
        <f t="shared" si="0"/>
        <v>d03</v>
      </c>
      <c r="M13" s="6" t="str">
        <f>dataNodes!B13</f>
        <v>Soil</v>
      </c>
      <c r="N13" s="4" t="str">
        <f>dataNodes!A13</f>
        <v>d12</v>
      </c>
    </row>
    <row r="14" spans="1:14" x14ac:dyDescent="0.3">
      <c r="A14" s="1" t="s">
        <v>46</v>
      </c>
      <c r="B14" s="1" t="s">
        <v>266</v>
      </c>
      <c r="C14" s="1" t="s">
        <v>1</v>
      </c>
      <c r="D14" s="1" t="s">
        <v>122</v>
      </c>
      <c r="E14" s="1" t="s">
        <v>389</v>
      </c>
      <c r="F14" s="1" t="s">
        <v>468</v>
      </c>
      <c r="G14" s="1" t="s">
        <v>68</v>
      </c>
      <c r="H14" s="1" t="str">
        <f>VLOOKUP(G14,dataNodes!$B$2:$C$19,2,FALSE)</f>
        <v>Quality</v>
      </c>
      <c r="I14" s="1" t="str">
        <f t="shared" si="0"/>
        <v>d04</v>
      </c>
      <c r="M14" s="6" t="str">
        <f>dataNodes!B14</f>
        <v>Surface Water</v>
      </c>
      <c r="N14" s="4" t="str">
        <f>dataNodes!A14</f>
        <v>d13</v>
      </c>
    </row>
    <row r="15" spans="1:14" x14ac:dyDescent="0.3">
      <c r="A15" s="1" t="s">
        <v>47</v>
      </c>
      <c r="B15" s="1" t="s">
        <v>125</v>
      </c>
      <c r="C15" s="1" t="s">
        <v>1</v>
      </c>
      <c r="D15" s="1" t="s">
        <v>122</v>
      </c>
      <c r="E15" s="1" t="s">
        <v>390</v>
      </c>
      <c r="F15" s="1" t="s">
        <v>469</v>
      </c>
      <c r="G15" s="1" t="s">
        <v>41</v>
      </c>
      <c r="H15" s="1" t="str">
        <f>VLOOKUP(G15,dataNodes!$B$2:$C$19,2,FALSE)</f>
        <v>Use</v>
      </c>
      <c r="I15" s="1" t="str">
        <f t="shared" si="0"/>
        <v>d17</v>
      </c>
      <c r="M15" s="6" t="str">
        <f>dataNodes!B15</f>
        <v>Hydropower</v>
      </c>
      <c r="N15" s="4" t="str">
        <f>dataNodes!A15</f>
        <v>d14</v>
      </c>
    </row>
    <row r="16" spans="1:14" x14ac:dyDescent="0.3">
      <c r="A16" s="1" t="s">
        <v>47</v>
      </c>
      <c r="B16" s="1" t="s">
        <v>125</v>
      </c>
      <c r="C16" s="1" t="s">
        <v>1</v>
      </c>
      <c r="D16" s="1" t="s">
        <v>122</v>
      </c>
      <c r="E16" s="1" t="s">
        <v>390</v>
      </c>
      <c r="F16" s="1" t="s">
        <v>470</v>
      </c>
      <c r="G16" s="1" t="s">
        <v>76</v>
      </c>
      <c r="H16" s="1" t="str">
        <f>VLOOKUP(G16,dataNodes!$B$2:$C$19,2,FALSE)</f>
        <v>Quality</v>
      </c>
      <c r="I16" s="1" t="str">
        <f t="shared" si="0"/>
        <v>d03</v>
      </c>
      <c r="M16" s="6" t="str">
        <f>dataNodes!B16</f>
        <v>Irrigation</v>
      </c>
      <c r="N16" s="4" t="str">
        <f>dataNodes!A16</f>
        <v>d15</v>
      </c>
    </row>
    <row r="17" spans="1:14" x14ac:dyDescent="0.3">
      <c r="A17" s="1" t="s">
        <v>47</v>
      </c>
      <c r="B17" s="1" t="s">
        <v>125</v>
      </c>
      <c r="C17" s="1" t="s">
        <v>1</v>
      </c>
      <c r="D17" s="1" t="s">
        <v>122</v>
      </c>
      <c r="E17" s="1" t="s">
        <v>390</v>
      </c>
      <c r="F17" s="1" t="s">
        <v>471</v>
      </c>
      <c r="G17" s="1" t="s">
        <v>41</v>
      </c>
      <c r="H17" s="1" t="str">
        <f>VLOOKUP(G17,dataNodes!$B$2:$C$19,2,FALSE)</f>
        <v>Use</v>
      </c>
      <c r="I17" s="1" t="str">
        <f t="shared" si="0"/>
        <v>d17</v>
      </c>
      <c r="M17" s="6" t="str">
        <f>dataNodes!B17</f>
        <v>Use</v>
      </c>
      <c r="N17" s="4" t="str">
        <f>dataNodes!A17</f>
        <v>d16</v>
      </c>
    </row>
    <row r="18" spans="1:14" x14ac:dyDescent="0.3">
      <c r="A18" s="1" t="s">
        <v>48</v>
      </c>
      <c r="B18" s="1" t="s">
        <v>267</v>
      </c>
      <c r="C18" s="1" t="s">
        <v>1</v>
      </c>
      <c r="D18" s="1" t="s">
        <v>122</v>
      </c>
      <c r="E18" s="1" t="s">
        <v>391</v>
      </c>
      <c r="F18" s="1" t="s">
        <v>472</v>
      </c>
      <c r="G18" s="1" t="s">
        <v>41</v>
      </c>
      <c r="H18" s="1" t="str">
        <f>VLOOKUP(G18,dataNodes!$B$2:$C$19,2,FALSE)</f>
        <v>Use</v>
      </c>
      <c r="I18" s="1" t="str">
        <f t="shared" si="0"/>
        <v>d17</v>
      </c>
      <c r="M18" s="6" t="str">
        <f>dataNodes!B18</f>
        <v>Utilities</v>
      </c>
      <c r="N18" s="4" t="str">
        <f>dataNodes!A18</f>
        <v>d17</v>
      </c>
    </row>
    <row r="19" spans="1:14" x14ac:dyDescent="0.3">
      <c r="A19" s="1" t="s">
        <v>48</v>
      </c>
      <c r="B19" s="1" t="s">
        <v>267</v>
      </c>
      <c r="C19" s="1" t="s">
        <v>1</v>
      </c>
      <c r="D19" s="1" t="s">
        <v>122</v>
      </c>
      <c r="E19" s="1" t="s">
        <v>391</v>
      </c>
      <c r="F19" s="1" t="s">
        <v>463</v>
      </c>
      <c r="G19" s="1" t="s">
        <v>68</v>
      </c>
      <c r="H19" s="1" t="str">
        <f>VLOOKUP(G19,dataNodes!$B$2:$C$19,2,FALSE)</f>
        <v>Quality</v>
      </c>
      <c r="I19" s="1" t="str">
        <f t="shared" ref="I19:I82" si="1">VLOOKUP(G19,$M$2:$N$19,2,FALSE)</f>
        <v>d04</v>
      </c>
      <c r="M19" s="6" t="str">
        <f>dataNodes!B19</f>
        <v>Management Plans</v>
      </c>
      <c r="N19" s="4" t="str">
        <f>dataNodes!A19</f>
        <v>d18</v>
      </c>
    </row>
    <row r="20" spans="1:14" x14ac:dyDescent="0.3">
      <c r="A20" s="1" t="s">
        <v>49</v>
      </c>
      <c r="B20" s="1" t="s">
        <v>16</v>
      </c>
      <c r="C20" s="1" t="s">
        <v>1</v>
      </c>
      <c r="D20" s="1" t="s">
        <v>122</v>
      </c>
      <c r="E20" s="1" t="s">
        <v>392</v>
      </c>
      <c r="F20" s="1" t="s">
        <v>472</v>
      </c>
      <c r="G20" s="1" t="s">
        <v>41</v>
      </c>
      <c r="H20" s="1" t="str">
        <f>VLOOKUP(G20,dataNodes!$B$2:$C$19,2,FALSE)</f>
        <v>Use</v>
      </c>
      <c r="I20" s="1" t="str">
        <f t="shared" si="1"/>
        <v>d17</v>
      </c>
    </row>
    <row r="21" spans="1:14" x14ac:dyDescent="0.3">
      <c r="A21" s="1" t="s">
        <v>49</v>
      </c>
      <c r="B21" s="1" t="s">
        <v>16</v>
      </c>
      <c r="C21" s="1" t="s">
        <v>1</v>
      </c>
      <c r="D21" s="1" t="s">
        <v>122</v>
      </c>
      <c r="E21" s="1" t="s">
        <v>392</v>
      </c>
      <c r="F21" s="1" t="s">
        <v>472</v>
      </c>
      <c r="G21" s="1" t="s">
        <v>68</v>
      </c>
      <c r="H21" s="1" t="str">
        <f>VLOOKUP(G21,dataNodes!$B$2:$C$19,2,FALSE)</f>
        <v>Quality</v>
      </c>
      <c r="I21" s="1" t="str">
        <f t="shared" si="1"/>
        <v>d04</v>
      </c>
    </row>
    <row r="22" spans="1:14" x14ac:dyDescent="0.3">
      <c r="A22" s="1" t="s">
        <v>50</v>
      </c>
      <c r="B22" s="1" t="s">
        <v>268</v>
      </c>
      <c r="C22" s="1" t="s">
        <v>1</v>
      </c>
      <c r="D22" s="1" t="s">
        <v>122</v>
      </c>
      <c r="E22" s="1" t="s">
        <v>393</v>
      </c>
      <c r="F22" s="1" t="s">
        <v>473</v>
      </c>
      <c r="G22" s="1" t="s">
        <v>76</v>
      </c>
      <c r="H22" s="1" t="str">
        <f>VLOOKUP(G22,dataNodes!$B$2:$C$19,2,FALSE)</f>
        <v>Quality</v>
      </c>
      <c r="I22" s="1" t="str">
        <f t="shared" si="1"/>
        <v>d03</v>
      </c>
    </row>
    <row r="23" spans="1:14" x14ac:dyDescent="0.3">
      <c r="A23" s="1" t="s">
        <v>51</v>
      </c>
      <c r="B23" s="1" t="s">
        <v>269</v>
      </c>
      <c r="C23" s="1" t="s">
        <v>1</v>
      </c>
      <c r="D23" s="1" t="s">
        <v>122</v>
      </c>
      <c r="E23" s="1" t="s">
        <v>394</v>
      </c>
      <c r="F23" s="1" t="s">
        <v>269</v>
      </c>
      <c r="G23" s="1" t="s">
        <v>41</v>
      </c>
      <c r="H23" s="1" t="str">
        <f>VLOOKUP(G23,dataNodes!$B$2:$C$19,2,FALSE)</f>
        <v>Use</v>
      </c>
      <c r="I23" s="1" t="str">
        <f t="shared" si="1"/>
        <v>d17</v>
      </c>
    </row>
    <row r="24" spans="1:14" x14ac:dyDescent="0.3">
      <c r="A24" s="1" t="s">
        <v>52</v>
      </c>
      <c r="B24" s="1" t="s">
        <v>127</v>
      </c>
      <c r="C24" s="1" t="s">
        <v>1</v>
      </c>
      <c r="D24" s="1" t="s">
        <v>122</v>
      </c>
      <c r="E24" s="1" t="s">
        <v>395</v>
      </c>
      <c r="F24" s="1" t="s">
        <v>474</v>
      </c>
      <c r="G24" s="1" t="s">
        <v>68</v>
      </c>
      <c r="H24" s="1" t="str">
        <f>VLOOKUP(G24,dataNodes!$B$2:$C$19,2,FALSE)</f>
        <v>Quality</v>
      </c>
      <c r="I24" s="1" t="str">
        <f t="shared" si="1"/>
        <v>d04</v>
      </c>
    </row>
    <row r="25" spans="1:14" x14ac:dyDescent="0.3">
      <c r="A25" s="1" t="s">
        <v>52</v>
      </c>
      <c r="B25" s="1" t="s">
        <v>127</v>
      </c>
      <c r="C25" s="1" t="s">
        <v>1</v>
      </c>
      <c r="D25" s="1" t="s">
        <v>122</v>
      </c>
      <c r="E25" s="1" t="s">
        <v>395</v>
      </c>
      <c r="F25" s="1" t="s">
        <v>473</v>
      </c>
      <c r="G25" s="1" t="s">
        <v>76</v>
      </c>
      <c r="H25" s="1" t="str">
        <f>VLOOKUP(G25,dataNodes!$B$2:$C$19,2,FALSE)</f>
        <v>Quality</v>
      </c>
      <c r="I25" s="1" t="str">
        <f t="shared" si="1"/>
        <v>d03</v>
      </c>
    </row>
    <row r="26" spans="1:14" x14ac:dyDescent="0.3">
      <c r="A26" s="1" t="s">
        <v>52</v>
      </c>
      <c r="B26" s="1" t="s">
        <v>127</v>
      </c>
      <c r="C26" s="1" t="s">
        <v>1</v>
      </c>
      <c r="D26" s="1" t="s">
        <v>122</v>
      </c>
      <c r="E26" s="1" t="s">
        <v>395</v>
      </c>
      <c r="F26" s="1" t="s">
        <v>475</v>
      </c>
      <c r="G26" s="1" t="s">
        <v>76</v>
      </c>
      <c r="H26" s="1" t="str">
        <f>VLOOKUP(G26,dataNodes!$B$2:$C$19,2,FALSE)</f>
        <v>Quality</v>
      </c>
      <c r="I26" s="1" t="str">
        <f t="shared" si="1"/>
        <v>d03</v>
      </c>
    </row>
    <row r="27" spans="1:14" x14ac:dyDescent="0.3">
      <c r="A27" s="1" t="s">
        <v>52</v>
      </c>
      <c r="B27" s="1" t="s">
        <v>127</v>
      </c>
      <c r="C27" s="1" t="s">
        <v>1</v>
      </c>
      <c r="D27" s="1" t="s">
        <v>122</v>
      </c>
      <c r="E27" s="1" t="s">
        <v>395</v>
      </c>
      <c r="F27" s="1" t="s">
        <v>476</v>
      </c>
      <c r="G27" s="1" t="s">
        <v>76</v>
      </c>
      <c r="H27" s="1" t="str">
        <f>VLOOKUP(G27,dataNodes!$B$2:$C$19,2,FALSE)</f>
        <v>Quality</v>
      </c>
      <c r="I27" s="1" t="str">
        <f t="shared" si="1"/>
        <v>d03</v>
      </c>
    </row>
    <row r="28" spans="1:14" x14ac:dyDescent="0.3">
      <c r="A28" s="1" t="s">
        <v>52</v>
      </c>
      <c r="B28" s="1" t="s">
        <v>127</v>
      </c>
      <c r="C28" s="1" t="s">
        <v>1</v>
      </c>
      <c r="D28" s="1" t="s">
        <v>122</v>
      </c>
      <c r="E28" s="1" t="s">
        <v>395</v>
      </c>
      <c r="F28" s="1" t="s">
        <v>476</v>
      </c>
      <c r="G28" s="1" t="s">
        <v>68</v>
      </c>
      <c r="H28" s="1" t="str">
        <f>VLOOKUP(G28,dataNodes!$B$2:$C$19,2,FALSE)</f>
        <v>Quality</v>
      </c>
      <c r="I28" s="1" t="str">
        <f t="shared" si="1"/>
        <v>d04</v>
      </c>
    </row>
    <row r="29" spans="1:14" x14ac:dyDescent="0.3">
      <c r="A29" s="1" t="s">
        <v>52</v>
      </c>
      <c r="B29" s="1" t="s">
        <v>127</v>
      </c>
      <c r="C29" s="1" t="s">
        <v>1</v>
      </c>
      <c r="D29" s="1" t="s">
        <v>122</v>
      </c>
      <c r="E29" s="1" t="s">
        <v>395</v>
      </c>
      <c r="F29" s="1" t="s">
        <v>477</v>
      </c>
      <c r="G29" s="1" t="s">
        <v>41</v>
      </c>
      <c r="H29" s="1" t="str">
        <f>VLOOKUP(G29,dataNodes!$B$2:$C$19,2,FALSE)</f>
        <v>Use</v>
      </c>
      <c r="I29" s="1" t="str">
        <f t="shared" si="1"/>
        <v>d17</v>
      </c>
    </row>
    <row r="30" spans="1:14" x14ac:dyDescent="0.3">
      <c r="A30" s="1" t="s">
        <v>52</v>
      </c>
      <c r="B30" s="1" t="s">
        <v>127</v>
      </c>
      <c r="C30" s="1" t="s">
        <v>1</v>
      </c>
      <c r="D30" s="1" t="s">
        <v>122</v>
      </c>
      <c r="E30" s="1" t="s">
        <v>395</v>
      </c>
      <c r="F30" s="1" t="s">
        <v>478</v>
      </c>
      <c r="G30" s="1" t="s">
        <v>75</v>
      </c>
      <c r="H30" s="1" t="str">
        <f>VLOOKUP(G30,dataNodes!$B$2:$C$19,2,FALSE)</f>
        <v>Infrastructure</v>
      </c>
      <c r="I30" s="1" t="str">
        <f t="shared" si="1"/>
        <v>d02</v>
      </c>
    </row>
    <row r="31" spans="1:14" x14ac:dyDescent="0.3">
      <c r="A31" s="1" t="s">
        <v>52</v>
      </c>
      <c r="B31" s="1" t="s">
        <v>127</v>
      </c>
      <c r="C31" s="1" t="s">
        <v>1</v>
      </c>
      <c r="D31" s="1" t="s">
        <v>122</v>
      </c>
      <c r="E31" s="1" t="s">
        <v>395</v>
      </c>
      <c r="F31" s="1" t="s">
        <v>479</v>
      </c>
      <c r="G31" s="1" t="s">
        <v>86</v>
      </c>
      <c r="H31" s="1" t="str">
        <f>VLOOKUP(G31,dataNodes!$B$2:$C$19,2,FALSE)</f>
        <v>Use</v>
      </c>
      <c r="I31" s="1" t="str">
        <f t="shared" si="1"/>
        <v>d18</v>
      </c>
    </row>
    <row r="32" spans="1:14" x14ac:dyDescent="0.3">
      <c r="A32" s="1" t="s">
        <v>270</v>
      </c>
      <c r="B32" s="1" t="s">
        <v>440</v>
      </c>
      <c r="C32" s="1" t="s">
        <v>1</v>
      </c>
      <c r="D32" s="1" t="s">
        <v>122</v>
      </c>
      <c r="E32" s="1" t="s">
        <v>396</v>
      </c>
      <c r="F32" s="1" t="s">
        <v>480</v>
      </c>
      <c r="G32" s="1" t="s">
        <v>86</v>
      </c>
      <c r="H32" s="1" t="str">
        <f>VLOOKUP(G32,dataNodes!$B$2:$C$19,2,FALSE)</f>
        <v>Use</v>
      </c>
      <c r="I32" s="1" t="str">
        <f t="shared" si="1"/>
        <v>d18</v>
      </c>
    </row>
    <row r="33" spans="1:9" x14ac:dyDescent="0.3">
      <c r="A33" s="1" t="s">
        <v>271</v>
      </c>
      <c r="B33" s="1" t="s">
        <v>129</v>
      </c>
      <c r="C33" s="1" t="s">
        <v>1</v>
      </c>
      <c r="D33" s="1" t="s">
        <v>122</v>
      </c>
      <c r="E33" s="1" t="s">
        <v>397</v>
      </c>
      <c r="F33" s="1" t="s">
        <v>481</v>
      </c>
      <c r="G33" s="1" t="s">
        <v>3</v>
      </c>
      <c r="H33" s="1" t="str">
        <f>VLOOKUP(G33,dataNodes!$B$2:$C$19,2,FALSE)</f>
        <v>Quantity</v>
      </c>
      <c r="I33" s="1" t="str">
        <f t="shared" si="1"/>
        <v>d08</v>
      </c>
    </row>
    <row r="34" spans="1:9" x14ac:dyDescent="0.3">
      <c r="A34" s="1" t="s">
        <v>271</v>
      </c>
      <c r="B34" s="1" t="s">
        <v>129</v>
      </c>
      <c r="C34" s="1" t="s">
        <v>1</v>
      </c>
      <c r="D34" s="1" t="s">
        <v>122</v>
      </c>
      <c r="E34" s="1" t="s">
        <v>397</v>
      </c>
      <c r="F34" s="1" t="s">
        <v>481</v>
      </c>
      <c r="G34" s="1" t="s">
        <v>76</v>
      </c>
      <c r="H34" s="1" t="str">
        <f>VLOOKUP(G34,dataNodes!$B$2:$C$19,2,FALSE)</f>
        <v>Quality</v>
      </c>
      <c r="I34" s="1" t="str">
        <f t="shared" si="1"/>
        <v>d03</v>
      </c>
    </row>
    <row r="35" spans="1:9" x14ac:dyDescent="0.3">
      <c r="A35" s="1" t="s">
        <v>271</v>
      </c>
      <c r="B35" s="1" t="s">
        <v>129</v>
      </c>
      <c r="C35" s="1" t="s">
        <v>1</v>
      </c>
      <c r="D35" s="1" t="s">
        <v>122</v>
      </c>
      <c r="E35" s="1" t="s">
        <v>397</v>
      </c>
      <c r="F35" s="1" t="s">
        <v>482</v>
      </c>
      <c r="G35" s="1" t="s">
        <v>41</v>
      </c>
      <c r="H35" s="1" t="str">
        <f>VLOOKUP(G35,dataNodes!$B$2:$C$19,2,FALSE)</f>
        <v>Use</v>
      </c>
      <c r="I35" s="1" t="str">
        <f t="shared" si="1"/>
        <v>d17</v>
      </c>
    </row>
    <row r="36" spans="1:9" x14ac:dyDescent="0.3">
      <c r="A36" s="1" t="s">
        <v>272</v>
      </c>
      <c r="B36" s="1" t="s">
        <v>273</v>
      </c>
      <c r="C36" s="1" t="s">
        <v>1</v>
      </c>
      <c r="D36" s="1" t="s">
        <v>122</v>
      </c>
      <c r="E36" s="1" t="s">
        <v>207</v>
      </c>
      <c r="F36" s="1" t="s">
        <v>483</v>
      </c>
      <c r="G36" s="1" t="s">
        <v>68</v>
      </c>
      <c r="H36" s="1" t="str">
        <f>VLOOKUP(G36,dataNodes!$B$2:$C$19,2,FALSE)</f>
        <v>Quality</v>
      </c>
      <c r="I36" s="1" t="str">
        <f t="shared" si="1"/>
        <v>d04</v>
      </c>
    </row>
    <row r="37" spans="1:9" x14ac:dyDescent="0.3">
      <c r="A37" s="1" t="s">
        <v>272</v>
      </c>
      <c r="B37" s="1" t="s">
        <v>273</v>
      </c>
      <c r="C37" s="1" t="s">
        <v>1</v>
      </c>
      <c r="D37" s="1" t="s">
        <v>122</v>
      </c>
      <c r="E37" s="1" t="s">
        <v>207</v>
      </c>
      <c r="F37" s="1" t="s">
        <v>473</v>
      </c>
      <c r="G37" s="1" t="s">
        <v>76</v>
      </c>
      <c r="H37" s="1" t="str">
        <f>VLOOKUP(G37,dataNodes!$B$2:$C$19,2,FALSE)</f>
        <v>Quality</v>
      </c>
      <c r="I37" s="1" t="str">
        <f t="shared" si="1"/>
        <v>d03</v>
      </c>
    </row>
    <row r="38" spans="1:9" x14ac:dyDescent="0.3">
      <c r="A38" s="1" t="s">
        <v>274</v>
      </c>
      <c r="B38" s="1" t="s">
        <v>3</v>
      </c>
      <c r="C38" s="1" t="s">
        <v>1</v>
      </c>
      <c r="D38" s="1" t="s">
        <v>122</v>
      </c>
      <c r="E38" s="1" t="s">
        <v>398</v>
      </c>
      <c r="F38" s="1" t="s">
        <v>484</v>
      </c>
      <c r="G38" s="1" t="s">
        <v>3</v>
      </c>
      <c r="H38" s="1" t="str">
        <f>VLOOKUP(G38,dataNodes!$B$2:$C$19,2,FALSE)</f>
        <v>Quantity</v>
      </c>
      <c r="I38" s="1" t="str">
        <f t="shared" si="1"/>
        <v>d08</v>
      </c>
    </row>
    <row r="39" spans="1:9" x14ac:dyDescent="0.3">
      <c r="A39" s="1" t="s">
        <v>274</v>
      </c>
      <c r="B39" s="1" t="s">
        <v>3</v>
      </c>
      <c r="C39" s="1" t="s">
        <v>1</v>
      </c>
      <c r="D39" s="1" t="s">
        <v>122</v>
      </c>
      <c r="E39" s="1" t="s">
        <v>398</v>
      </c>
      <c r="F39" s="1" t="s">
        <v>485</v>
      </c>
      <c r="G39" s="1" t="s">
        <v>17</v>
      </c>
      <c r="H39" s="1" t="str">
        <f>VLOOKUP(G39,dataNodes!$B$2:$C$19,2,FALSE)</f>
        <v>Quantity</v>
      </c>
      <c r="I39" s="1" t="str">
        <f t="shared" si="1"/>
        <v>d13</v>
      </c>
    </row>
    <row r="40" spans="1:9" x14ac:dyDescent="0.3">
      <c r="A40" s="1" t="s">
        <v>274</v>
      </c>
      <c r="B40" s="1" t="s">
        <v>3</v>
      </c>
      <c r="C40" s="1" t="s">
        <v>1</v>
      </c>
      <c r="D40" s="1" t="s">
        <v>122</v>
      </c>
      <c r="E40" s="1" t="s">
        <v>398</v>
      </c>
      <c r="F40" s="1" t="s">
        <v>486</v>
      </c>
      <c r="G40" s="1" t="s">
        <v>3</v>
      </c>
      <c r="H40" s="1" t="str">
        <f>VLOOKUP(G40,dataNodes!$B$2:$C$19,2,FALSE)</f>
        <v>Quantity</v>
      </c>
      <c r="I40" s="1" t="str">
        <f t="shared" si="1"/>
        <v>d08</v>
      </c>
    </row>
    <row r="41" spans="1:9" x14ac:dyDescent="0.3">
      <c r="A41" s="1" t="s">
        <v>274</v>
      </c>
      <c r="B41" s="1" t="s">
        <v>3</v>
      </c>
      <c r="C41" s="1" t="s">
        <v>1</v>
      </c>
      <c r="D41" s="1" t="s">
        <v>122</v>
      </c>
      <c r="E41" s="1" t="s">
        <v>398</v>
      </c>
      <c r="F41" s="1" t="s">
        <v>487</v>
      </c>
      <c r="G41" s="1" t="s">
        <v>75</v>
      </c>
      <c r="H41" s="1" t="str">
        <f>VLOOKUP(G41,dataNodes!$B$2:$C$19,2,FALSE)</f>
        <v>Infrastructure</v>
      </c>
      <c r="I41" s="1" t="str">
        <f t="shared" si="1"/>
        <v>d02</v>
      </c>
    </row>
    <row r="42" spans="1:9" x14ac:dyDescent="0.3">
      <c r="A42" s="1" t="s">
        <v>274</v>
      </c>
      <c r="B42" s="1" t="s">
        <v>3</v>
      </c>
      <c r="C42" s="1" t="s">
        <v>1</v>
      </c>
      <c r="D42" s="1" t="s">
        <v>122</v>
      </c>
      <c r="E42" s="1" t="s">
        <v>398</v>
      </c>
      <c r="F42" s="1" t="s">
        <v>488</v>
      </c>
      <c r="G42" s="1" t="s">
        <v>79</v>
      </c>
      <c r="H42" s="1" t="str">
        <f>VLOOKUP(G42,dataNodes!$B$2:$C$19,2,FALSE)</f>
        <v>Quantity</v>
      </c>
      <c r="I42" s="1" t="str">
        <f t="shared" si="1"/>
        <v>d06</v>
      </c>
    </row>
    <row r="43" spans="1:9" x14ac:dyDescent="0.3">
      <c r="A43" s="1" t="s">
        <v>275</v>
      </c>
      <c r="B43" s="1" t="s">
        <v>276</v>
      </c>
      <c r="C43" s="1" t="s">
        <v>1</v>
      </c>
      <c r="D43" s="1" t="s">
        <v>122</v>
      </c>
      <c r="E43" s="1" t="s">
        <v>399</v>
      </c>
      <c r="F43" s="1" t="s">
        <v>489</v>
      </c>
      <c r="G43" s="1" t="s">
        <v>74</v>
      </c>
      <c r="H43" s="1" t="str">
        <f>VLOOKUP(G43,dataNodes!$B$2:$C$19,2,FALSE)</f>
        <v>Infrastructure</v>
      </c>
      <c r="I43" s="1" t="str">
        <f t="shared" si="1"/>
        <v>d01</v>
      </c>
    </row>
    <row r="44" spans="1:9" x14ac:dyDescent="0.3">
      <c r="A44" s="1" t="s">
        <v>275</v>
      </c>
      <c r="B44" s="1" t="s">
        <v>276</v>
      </c>
      <c r="C44" s="1" t="s">
        <v>1</v>
      </c>
      <c r="D44" s="1" t="s">
        <v>122</v>
      </c>
      <c r="E44" s="1" t="s">
        <v>399</v>
      </c>
      <c r="F44" s="1" t="s">
        <v>490</v>
      </c>
      <c r="G44" s="1" t="s">
        <v>74</v>
      </c>
      <c r="H44" s="1" t="str">
        <f>VLOOKUP(G44,dataNodes!$B$2:$C$19,2,FALSE)</f>
        <v>Infrastructure</v>
      </c>
      <c r="I44" s="1" t="str">
        <f t="shared" si="1"/>
        <v>d01</v>
      </c>
    </row>
    <row r="45" spans="1:9" x14ac:dyDescent="0.3">
      <c r="A45" s="1" t="s">
        <v>275</v>
      </c>
      <c r="B45" s="1" t="s">
        <v>276</v>
      </c>
      <c r="C45" s="1" t="s">
        <v>1</v>
      </c>
      <c r="D45" s="1" t="s">
        <v>122</v>
      </c>
      <c r="E45" s="1" t="s">
        <v>399</v>
      </c>
      <c r="F45" s="1" t="s">
        <v>490</v>
      </c>
      <c r="G45" s="1" t="s">
        <v>68</v>
      </c>
      <c r="H45" s="1" t="str">
        <f>VLOOKUP(G45,dataNodes!$B$2:$C$19,2,FALSE)</f>
        <v>Quality</v>
      </c>
      <c r="I45" s="1" t="str">
        <f t="shared" si="1"/>
        <v>d04</v>
      </c>
    </row>
    <row r="46" spans="1:9" x14ac:dyDescent="0.3">
      <c r="A46" s="1" t="s">
        <v>277</v>
      </c>
      <c r="B46" s="1" t="s">
        <v>278</v>
      </c>
      <c r="C46" s="1" t="s">
        <v>1</v>
      </c>
      <c r="D46" s="1" t="s">
        <v>122</v>
      </c>
      <c r="E46" s="1" t="s">
        <v>400</v>
      </c>
      <c r="F46" s="1" t="s">
        <v>491</v>
      </c>
      <c r="G46" s="1" t="s">
        <v>41</v>
      </c>
      <c r="H46" s="1" t="str">
        <f>VLOOKUP(G46,dataNodes!$B$2:$C$19,2,FALSE)</f>
        <v>Use</v>
      </c>
      <c r="I46" s="1" t="str">
        <f t="shared" si="1"/>
        <v>d17</v>
      </c>
    </row>
    <row r="47" spans="1:9" x14ac:dyDescent="0.3">
      <c r="A47" s="1" t="s">
        <v>277</v>
      </c>
      <c r="B47" s="1" t="s">
        <v>278</v>
      </c>
      <c r="C47" s="1" t="s">
        <v>1</v>
      </c>
      <c r="D47" s="1" t="s">
        <v>122</v>
      </c>
      <c r="E47" s="1" t="s">
        <v>400</v>
      </c>
      <c r="F47" s="1" t="s">
        <v>491</v>
      </c>
      <c r="G47" s="1" t="s">
        <v>68</v>
      </c>
      <c r="H47" s="1" t="str">
        <f>VLOOKUP(G47,dataNodes!$B$2:$C$19,2,FALSE)</f>
        <v>Quality</v>
      </c>
      <c r="I47" s="1" t="str">
        <f t="shared" si="1"/>
        <v>d04</v>
      </c>
    </row>
    <row r="48" spans="1:9" x14ac:dyDescent="0.3">
      <c r="A48" s="1" t="s">
        <v>279</v>
      </c>
      <c r="B48" s="1" t="s">
        <v>441</v>
      </c>
      <c r="C48" s="1" t="s">
        <v>1</v>
      </c>
      <c r="D48" s="1" t="s">
        <v>122</v>
      </c>
      <c r="E48" s="1" t="s">
        <v>401</v>
      </c>
      <c r="F48" s="1" t="s">
        <v>492</v>
      </c>
      <c r="G48" s="1" t="s">
        <v>68</v>
      </c>
      <c r="H48" s="1" t="str">
        <f>VLOOKUP(G48,dataNodes!$B$2:$C$19,2,FALSE)</f>
        <v>Quality</v>
      </c>
      <c r="I48" s="1" t="str">
        <f t="shared" si="1"/>
        <v>d04</v>
      </c>
    </row>
    <row r="49" spans="1:9" x14ac:dyDescent="0.3">
      <c r="A49" s="1" t="s">
        <v>281</v>
      </c>
      <c r="B49" s="1" t="s">
        <v>442</v>
      </c>
      <c r="C49" s="1" t="s">
        <v>1</v>
      </c>
      <c r="D49" s="1" t="s">
        <v>122</v>
      </c>
      <c r="E49" s="1" t="s">
        <v>229</v>
      </c>
      <c r="F49" s="1" t="s">
        <v>493</v>
      </c>
      <c r="G49" s="1" t="s">
        <v>75</v>
      </c>
      <c r="H49" s="1" t="str">
        <f>VLOOKUP(G49,dataNodes!$B$2:$C$19,2,FALSE)</f>
        <v>Infrastructure</v>
      </c>
      <c r="I49" s="1" t="str">
        <f t="shared" si="1"/>
        <v>d02</v>
      </c>
    </row>
    <row r="50" spans="1:9" x14ac:dyDescent="0.3">
      <c r="A50" s="1" t="s">
        <v>282</v>
      </c>
      <c r="B50" s="1" t="s">
        <v>283</v>
      </c>
      <c r="C50" s="1" t="s">
        <v>1</v>
      </c>
      <c r="D50" s="1" t="s">
        <v>122</v>
      </c>
      <c r="E50" s="1" t="s">
        <v>402</v>
      </c>
      <c r="F50" s="1" t="s">
        <v>494</v>
      </c>
      <c r="G50" s="1" t="s">
        <v>68</v>
      </c>
      <c r="H50" s="1" t="str">
        <f>VLOOKUP(G50,dataNodes!$B$2:$C$19,2,FALSE)</f>
        <v>Quality</v>
      </c>
      <c r="I50" s="1" t="str">
        <f t="shared" si="1"/>
        <v>d04</v>
      </c>
    </row>
    <row r="51" spans="1:9" x14ac:dyDescent="0.3">
      <c r="A51" s="1" t="s">
        <v>282</v>
      </c>
      <c r="B51" s="1" t="s">
        <v>283</v>
      </c>
      <c r="C51" s="1" t="s">
        <v>1</v>
      </c>
      <c r="D51" s="1" t="s">
        <v>122</v>
      </c>
      <c r="E51" s="1" t="s">
        <v>402</v>
      </c>
      <c r="F51" s="1" t="s">
        <v>494</v>
      </c>
      <c r="G51" s="1" t="s">
        <v>41</v>
      </c>
      <c r="H51" s="1" t="str">
        <f>VLOOKUP(G51,dataNodes!$B$2:$C$19,2,FALSE)</f>
        <v>Use</v>
      </c>
      <c r="I51" s="1" t="str">
        <f t="shared" si="1"/>
        <v>d17</v>
      </c>
    </row>
    <row r="52" spans="1:9" x14ac:dyDescent="0.3">
      <c r="A52" s="1" t="s">
        <v>284</v>
      </c>
      <c r="B52" s="1" t="s">
        <v>443</v>
      </c>
      <c r="C52" s="1" t="s">
        <v>1</v>
      </c>
      <c r="D52" s="1" t="s">
        <v>122</v>
      </c>
      <c r="E52" s="1" t="s">
        <v>403</v>
      </c>
      <c r="F52" s="1" t="s">
        <v>473</v>
      </c>
      <c r="G52" s="1" t="s">
        <v>76</v>
      </c>
      <c r="H52" s="1" t="str">
        <f>VLOOKUP(G52,dataNodes!$B$2:$C$19,2,FALSE)</f>
        <v>Quality</v>
      </c>
      <c r="I52" s="1" t="str">
        <f t="shared" si="1"/>
        <v>d03</v>
      </c>
    </row>
    <row r="53" spans="1:9" x14ac:dyDescent="0.3">
      <c r="A53" s="1" t="s">
        <v>286</v>
      </c>
      <c r="B53" s="1" t="s">
        <v>133</v>
      </c>
      <c r="C53" s="1" t="s">
        <v>1</v>
      </c>
      <c r="D53" s="1" t="s">
        <v>122</v>
      </c>
      <c r="E53" s="1" t="s">
        <v>404</v>
      </c>
      <c r="F53" s="1" t="s">
        <v>473</v>
      </c>
      <c r="G53" s="1" t="s">
        <v>76</v>
      </c>
      <c r="H53" s="1" t="str">
        <f>VLOOKUP(G53,dataNodes!$B$2:$C$19,2,FALSE)</f>
        <v>Quality</v>
      </c>
      <c r="I53" s="1" t="str">
        <f t="shared" si="1"/>
        <v>d03</v>
      </c>
    </row>
    <row r="54" spans="1:9" x14ac:dyDescent="0.3">
      <c r="A54" s="1" t="s">
        <v>287</v>
      </c>
      <c r="B54" s="1" t="s">
        <v>288</v>
      </c>
      <c r="C54" s="1" t="s">
        <v>1</v>
      </c>
      <c r="D54" s="1" t="s">
        <v>122</v>
      </c>
      <c r="E54" s="1" t="s">
        <v>405</v>
      </c>
      <c r="F54" s="1" t="s">
        <v>473</v>
      </c>
      <c r="G54" s="1" t="s">
        <v>76</v>
      </c>
      <c r="H54" s="1" t="str">
        <f>VLOOKUP(G54,dataNodes!$B$2:$C$19,2,FALSE)</f>
        <v>Quality</v>
      </c>
      <c r="I54" s="1" t="str">
        <f t="shared" si="1"/>
        <v>d03</v>
      </c>
    </row>
    <row r="55" spans="1:9" x14ac:dyDescent="0.3">
      <c r="A55" s="1" t="s">
        <v>289</v>
      </c>
      <c r="B55" s="1" t="s">
        <v>444</v>
      </c>
      <c r="C55" s="1" t="s">
        <v>1</v>
      </c>
      <c r="D55" s="1" t="s">
        <v>122</v>
      </c>
      <c r="E55" s="1" t="s">
        <v>406</v>
      </c>
      <c r="F55" s="1" t="s">
        <v>473</v>
      </c>
      <c r="G55" s="1" t="s">
        <v>76</v>
      </c>
      <c r="H55" s="1" t="str">
        <f>VLOOKUP(G55,dataNodes!$B$2:$C$19,2,FALSE)</f>
        <v>Quality</v>
      </c>
      <c r="I55" s="1" t="str">
        <f t="shared" si="1"/>
        <v>d03</v>
      </c>
    </row>
    <row r="56" spans="1:9" x14ac:dyDescent="0.3">
      <c r="A56" s="1" t="s">
        <v>290</v>
      </c>
      <c r="B56" s="1" t="s">
        <v>445</v>
      </c>
      <c r="C56" s="1" t="s">
        <v>123</v>
      </c>
      <c r="D56" s="1" t="s">
        <v>122</v>
      </c>
      <c r="E56" s="1" t="s">
        <v>407</v>
      </c>
      <c r="F56" s="1" t="s">
        <v>62</v>
      </c>
      <c r="G56" s="1" t="s">
        <v>74</v>
      </c>
      <c r="H56" s="1" t="str">
        <f>VLOOKUP(G56,dataNodes!$B$2:$C$19,2,FALSE)</f>
        <v>Infrastructure</v>
      </c>
      <c r="I56" s="1" t="str">
        <f t="shared" si="1"/>
        <v>d01</v>
      </c>
    </row>
    <row r="57" spans="1:9" x14ac:dyDescent="0.3">
      <c r="A57" s="1" t="s">
        <v>292</v>
      </c>
      <c r="B57" s="1" t="s">
        <v>293</v>
      </c>
      <c r="C57" s="1" t="s">
        <v>123</v>
      </c>
      <c r="D57" s="1" t="s">
        <v>122</v>
      </c>
      <c r="E57" s="1" t="s">
        <v>408</v>
      </c>
      <c r="F57" s="1" t="s">
        <v>495</v>
      </c>
      <c r="G57" s="1" t="s">
        <v>86</v>
      </c>
      <c r="H57" s="1" t="str">
        <f>VLOOKUP(G57,dataNodes!$B$2:$C$19,2,FALSE)</f>
        <v>Use</v>
      </c>
      <c r="I57" s="1" t="str">
        <f t="shared" si="1"/>
        <v>d18</v>
      </c>
    </row>
    <row r="58" spans="1:9" x14ac:dyDescent="0.3">
      <c r="A58" s="1" t="s">
        <v>294</v>
      </c>
      <c r="B58" s="1" t="s">
        <v>295</v>
      </c>
      <c r="C58" s="1" t="s">
        <v>123</v>
      </c>
      <c r="D58" s="1" t="s">
        <v>122</v>
      </c>
      <c r="E58" s="1" t="s">
        <v>409</v>
      </c>
      <c r="F58" s="1" t="s">
        <v>496</v>
      </c>
      <c r="G58" s="1" t="s">
        <v>86</v>
      </c>
      <c r="H58" s="1" t="str">
        <f>VLOOKUP(G58,dataNodes!$B$2:$C$19,2,FALSE)</f>
        <v>Use</v>
      </c>
      <c r="I58" s="1" t="str">
        <f t="shared" si="1"/>
        <v>d18</v>
      </c>
    </row>
    <row r="59" spans="1:9" x14ac:dyDescent="0.3">
      <c r="A59" s="1" t="s">
        <v>294</v>
      </c>
      <c r="B59" s="1" t="s">
        <v>295</v>
      </c>
      <c r="C59" s="1" t="s">
        <v>123</v>
      </c>
      <c r="D59" s="1" t="s">
        <v>122</v>
      </c>
      <c r="E59" s="1" t="s">
        <v>409</v>
      </c>
      <c r="F59" s="1" t="s">
        <v>496</v>
      </c>
      <c r="G59" s="1" t="s">
        <v>86</v>
      </c>
      <c r="H59" s="1" t="str">
        <f>VLOOKUP(G59,dataNodes!$B$2:$C$19,2,FALSE)</f>
        <v>Use</v>
      </c>
      <c r="I59" s="1" t="str">
        <f t="shared" si="1"/>
        <v>d18</v>
      </c>
    </row>
    <row r="60" spans="1:9" x14ac:dyDescent="0.3">
      <c r="A60" s="1" t="s">
        <v>296</v>
      </c>
      <c r="B60" s="1" t="s">
        <v>153</v>
      </c>
      <c r="C60" s="1" t="s">
        <v>451</v>
      </c>
      <c r="D60" s="1" t="s">
        <v>122</v>
      </c>
      <c r="E60" s="1" t="s">
        <v>233</v>
      </c>
      <c r="F60" s="1" t="s">
        <v>497</v>
      </c>
      <c r="G60" s="1" t="s">
        <v>74</v>
      </c>
      <c r="H60" s="1" t="str">
        <f>VLOOKUP(G60,dataNodes!$B$2:$C$19,2,FALSE)</f>
        <v>Infrastructure</v>
      </c>
      <c r="I60" s="1" t="str">
        <f t="shared" si="1"/>
        <v>d01</v>
      </c>
    </row>
    <row r="61" spans="1:9" x14ac:dyDescent="0.3">
      <c r="A61" s="1" t="s">
        <v>296</v>
      </c>
      <c r="B61" s="1" t="s">
        <v>153</v>
      </c>
      <c r="C61" s="1" t="s">
        <v>451</v>
      </c>
      <c r="D61" s="1" t="s">
        <v>122</v>
      </c>
      <c r="E61" s="1" t="s">
        <v>233</v>
      </c>
      <c r="F61" s="1" t="s">
        <v>497</v>
      </c>
      <c r="G61" s="1" t="s">
        <v>18</v>
      </c>
      <c r="H61" s="1" t="str">
        <f>VLOOKUP(G61,dataNodes!$B$2:$C$19,2,FALSE)</f>
        <v>Quantity</v>
      </c>
      <c r="I61" s="1" t="str">
        <f t="shared" si="1"/>
        <v>d11</v>
      </c>
    </row>
    <row r="62" spans="1:9" x14ac:dyDescent="0.3">
      <c r="A62" s="1" t="s">
        <v>297</v>
      </c>
      <c r="B62" s="1" t="s">
        <v>155</v>
      </c>
      <c r="C62" s="1" t="s">
        <v>451</v>
      </c>
      <c r="D62" s="1" t="s">
        <v>122</v>
      </c>
      <c r="E62" s="1" t="s">
        <v>410</v>
      </c>
      <c r="F62" s="1" t="s">
        <v>498</v>
      </c>
      <c r="G62" s="1" t="s">
        <v>68</v>
      </c>
      <c r="H62" s="1" t="str">
        <f>VLOOKUP(G62,dataNodes!$B$2:$C$19,2,FALSE)</f>
        <v>Quality</v>
      </c>
      <c r="I62" s="1" t="str">
        <f t="shared" si="1"/>
        <v>d04</v>
      </c>
    </row>
    <row r="63" spans="1:9" x14ac:dyDescent="0.3">
      <c r="A63" s="1" t="s">
        <v>298</v>
      </c>
      <c r="B63" s="1" t="s">
        <v>299</v>
      </c>
      <c r="C63" s="1" t="s">
        <v>451</v>
      </c>
      <c r="D63" s="1" t="s">
        <v>122</v>
      </c>
      <c r="E63" s="1" t="s">
        <v>411</v>
      </c>
      <c r="F63" s="1" t="s">
        <v>299</v>
      </c>
      <c r="G63" s="1" t="s">
        <v>68</v>
      </c>
      <c r="H63" s="1" t="str">
        <f>VLOOKUP(G63,dataNodes!$B$2:$C$19,2,FALSE)</f>
        <v>Quality</v>
      </c>
      <c r="I63" s="1" t="str">
        <f t="shared" si="1"/>
        <v>d04</v>
      </c>
    </row>
    <row r="64" spans="1:9" x14ac:dyDescent="0.3">
      <c r="A64" s="1" t="s">
        <v>300</v>
      </c>
      <c r="B64" s="1" t="s">
        <v>446</v>
      </c>
      <c r="C64" s="1" t="s">
        <v>451</v>
      </c>
      <c r="D64" s="1" t="s">
        <v>122</v>
      </c>
      <c r="E64" s="1" t="s">
        <v>412</v>
      </c>
      <c r="F64" s="1" t="s">
        <v>499</v>
      </c>
      <c r="G64" s="1" t="s">
        <v>74</v>
      </c>
      <c r="H64" s="1" t="str">
        <f>VLOOKUP(G64,dataNodes!$B$2:$C$19,2,FALSE)</f>
        <v>Infrastructure</v>
      </c>
      <c r="I64" s="1" t="str">
        <f t="shared" si="1"/>
        <v>d01</v>
      </c>
    </row>
    <row r="65" spans="1:9" x14ac:dyDescent="0.3">
      <c r="A65" s="1" t="s">
        <v>300</v>
      </c>
      <c r="B65" s="1" t="s">
        <v>446</v>
      </c>
      <c r="C65" s="1" t="s">
        <v>451</v>
      </c>
      <c r="D65" s="1" t="s">
        <v>122</v>
      </c>
      <c r="E65" s="1" t="s">
        <v>412</v>
      </c>
      <c r="F65" s="1" t="s">
        <v>499</v>
      </c>
      <c r="G65" s="1" t="s">
        <v>86</v>
      </c>
      <c r="H65" s="1" t="str">
        <f>VLOOKUP(G65,dataNodes!$B$2:$C$19,2,FALSE)</f>
        <v>Use</v>
      </c>
      <c r="I65" s="1" t="str">
        <f t="shared" si="1"/>
        <v>d18</v>
      </c>
    </row>
    <row r="66" spans="1:9" x14ac:dyDescent="0.3">
      <c r="A66" s="1" t="s">
        <v>300</v>
      </c>
      <c r="B66" s="1" t="s">
        <v>446</v>
      </c>
      <c r="C66" s="1" t="s">
        <v>451</v>
      </c>
      <c r="D66" s="1" t="s">
        <v>122</v>
      </c>
      <c r="E66" s="1" t="s">
        <v>412</v>
      </c>
      <c r="F66" s="1" t="s">
        <v>480</v>
      </c>
      <c r="G66" s="1" t="s">
        <v>86</v>
      </c>
      <c r="H66" s="1" t="str">
        <f>VLOOKUP(G66,dataNodes!$B$2:$C$19,2,FALSE)</f>
        <v>Use</v>
      </c>
      <c r="I66" s="1" t="str">
        <f t="shared" si="1"/>
        <v>d18</v>
      </c>
    </row>
    <row r="67" spans="1:9" x14ac:dyDescent="0.3">
      <c r="A67" s="1" t="s">
        <v>300</v>
      </c>
      <c r="B67" s="1" t="s">
        <v>446</v>
      </c>
      <c r="C67" s="1" t="s">
        <v>451</v>
      </c>
      <c r="D67" s="1" t="s">
        <v>122</v>
      </c>
      <c r="E67" s="1" t="s">
        <v>412</v>
      </c>
      <c r="F67" s="1" t="s">
        <v>476</v>
      </c>
      <c r="G67" s="1" t="s">
        <v>76</v>
      </c>
      <c r="H67" s="1" t="str">
        <f>VLOOKUP(G67,dataNodes!$B$2:$C$19,2,FALSE)</f>
        <v>Quality</v>
      </c>
      <c r="I67" s="1" t="str">
        <f t="shared" si="1"/>
        <v>d03</v>
      </c>
    </row>
    <row r="68" spans="1:9" x14ac:dyDescent="0.3">
      <c r="A68" s="1" t="s">
        <v>300</v>
      </c>
      <c r="B68" s="1" t="s">
        <v>446</v>
      </c>
      <c r="C68" s="1" t="s">
        <v>451</v>
      </c>
      <c r="D68" s="1" t="s">
        <v>122</v>
      </c>
      <c r="E68" s="1" t="s">
        <v>412</v>
      </c>
      <c r="F68" s="1" t="s">
        <v>476</v>
      </c>
      <c r="G68" s="1" t="s">
        <v>68</v>
      </c>
      <c r="H68" s="1" t="str">
        <f>VLOOKUP(G68,dataNodes!$B$2:$C$19,2,FALSE)</f>
        <v>Quality</v>
      </c>
      <c r="I68" s="1" t="str">
        <f t="shared" si="1"/>
        <v>d04</v>
      </c>
    </row>
    <row r="69" spans="1:9" x14ac:dyDescent="0.3">
      <c r="A69" s="1" t="s">
        <v>302</v>
      </c>
      <c r="B69" s="1" t="s">
        <v>447</v>
      </c>
      <c r="C69" s="1" t="s">
        <v>157</v>
      </c>
      <c r="D69" s="1" t="s">
        <v>122</v>
      </c>
      <c r="E69" s="1" t="s">
        <v>413</v>
      </c>
      <c r="F69" s="1" t="s">
        <v>500</v>
      </c>
      <c r="G69" s="1" t="s">
        <v>75</v>
      </c>
      <c r="H69" s="1" t="str">
        <f>VLOOKUP(G69,dataNodes!$B$2:$C$19,2,FALSE)</f>
        <v>Infrastructure</v>
      </c>
      <c r="I69" s="1" t="str">
        <f t="shared" si="1"/>
        <v>d02</v>
      </c>
    </row>
    <row r="70" spans="1:9" x14ac:dyDescent="0.3">
      <c r="A70" s="1" t="s">
        <v>304</v>
      </c>
      <c r="B70" s="1" t="s">
        <v>448</v>
      </c>
      <c r="C70" s="1" t="s">
        <v>452</v>
      </c>
      <c r="D70" s="1" t="s">
        <v>122</v>
      </c>
      <c r="E70" s="1" t="s">
        <v>414</v>
      </c>
      <c r="F70" s="1" t="s">
        <v>459</v>
      </c>
      <c r="G70" s="1" t="s">
        <v>68</v>
      </c>
      <c r="H70" s="1" t="str">
        <f>VLOOKUP(G70,dataNodes!$B$2:$C$19,2,FALSE)</f>
        <v>Quality</v>
      </c>
      <c r="I70" s="1" t="str">
        <f t="shared" si="1"/>
        <v>d04</v>
      </c>
    </row>
    <row r="71" spans="1:9" x14ac:dyDescent="0.3">
      <c r="A71" s="1" t="s">
        <v>304</v>
      </c>
      <c r="B71" s="1" t="s">
        <v>448</v>
      </c>
      <c r="C71" s="1" t="s">
        <v>452</v>
      </c>
      <c r="D71" s="1" t="s">
        <v>122</v>
      </c>
      <c r="E71" s="1" t="s">
        <v>414</v>
      </c>
      <c r="F71" s="1" t="s">
        <v>501</v>
      </c>
      <c r="G71" s="1" t="s">
        <v>3</v>
      </c>
      <c r="H71" s="1" t="str">
        <f>VLOOKUP(G71,dataNodes!$B$2:$C$19,2,FALSE)</f>
        <v>Quantity</v>
      </c>
      <c r="I71" s="1" t="str">
        <f t="shared" si="1"/>
        <v>d08</v>
      </c>
    </row>
    <row r="72" spans="1:9" x14ac:dyDescent="0.3">
      <c r="A72" s="1" t="s">
        <v>304</v>
      </c>
      <c r="B72" s="1" t="s">
        <v>448</v>
      </c>
      <c r="C72" s="1" t="s">
        <v>452</v>
      </c>
      <c r="D72" s="1" t="s">
        <v>122</v>
      </c>
      <c r="E72" s="1" t="s">
        <v>414</v>
      </c>
      <c r="F72" s="1" t="s">
        <v>501</v>
      </c>
      <c r="G72" s="1" t="s">
        <v>68</v>
      </c>
      <c r="H72" s="1" t="str">
        <f>VLOOKUP(G72,dataNodes!$B$2:$C$19,2,FALSE)</f>
        <v>Quality</v>
      </c>
      <c r="I72" s="1" t="str">
        <f t="shared" si="1"/>
        <v>d04</v>
      </c>
    </row>
    <row r="73" spans="1:9" x14ac:dyDescent="0.3">
      <c r="A73" s="1" t="s">
        <v>306</v>
      </c>
      <c r="B73" s="1" t="s">
        <v>449</v>
      </c>
      <c r="C73" s="1" t="s">
        <v>453</v>
      </c>
      <c r="D73" s="1" t="s">
        <v>122</v>
      </c>
      <c r="E73" s="1" t="s">
        <v>415</v>
      </c>
      <c r="F73" s="1" t="s">
        <v>502</v>
      </c>
      <c r="G73" s="1" t="s">
        <v>75</v>
      </c>
      <c r="H73" s="1" t="str">
        <f>VLOOKUP(G73,dataNodes!$B$2:$C$19,2,FALSE)</f>
        <v>Infrastructure</v>
      </c>
      <c r="I73" s="1" t="str">
        <f t="shared" si="1"/>
        <v>d02</v>
      </c>
    </row>
    <row r="74" spans="1:9" x14ac:dyDescent="0.3">
      <c r="A74" s="1" t="s">
        <v>306</v>
      </c>
      <c r="B74" s="1" t="s">
        <v>449</v>
      </c>
      <c r="C74" s="1" t="s">
        <v>453</v>
      </c>
      <c r="D74" s="1" t="s">
        <v>122</v>
      </c>
      <c r="E74" s="1" t="s">
        <v>415</v>
      </c>
      <c r="F74" s="1" t="s">
        <v>503</v>
      </c>
      <c r="G74" s="1" t="s">
        <v>74</v>
      </c>
      <c r="H74" s="1" t="str">
        <f>VLOOKUP(G74,dataNodes!$B$2:$C$19,2,FALSE)</f>
        <v>Infrastructure</v>
      </c>
      <c r="I74" s="1" t="str">
        <f t="shared" si="1"/>
        <v>d01</v>
      </c>
    </row>
    <row r="75" spans="1:9" x14ac:dyDescent="0.3">
      <c r="A75" s="1" t="s">
        <v>306</v>
      </c>
      <c r="B75" s="1" t="s">
        <v>449</v>
      </c>
      <c r="C75" s="1" t="s">
        <v>453</v>
      </c>
      <c r="D75" s="1" t="s">
        <v>122</v>
      </c>
      <c r="E75" s="1" t="s">
        <v>415</v>
      </c>
      <c r="F75" s="1" t="s">
        <v>504</v>
      </c>
      <c r="G75" s="1" t="s">
        <v>76</v>
      </c>
      <c r="H75" s="1" t="str">
        <f>VLOOKUP(G75,dataNodes!$B$2:$C$19,2,FALSE)</f>
        <v>Quality</v>
      </c>
      <c r="I75" s="1" t="str">
        <f t="shared" si="1"/>
        <v>d03</v>
      </c>
    </row>
    <row r="76" spans="1:9" x14ac:dyDescent="0.3">
      <c r="A76" s="1" t="s">
        <v>306</v>
      </c>
      <c r="B76" s="1" t="s">
        <v>449</v>
      </c>
      <c r="C76" s="1" t="s">
        <v>453</v>
      </c>
      <c r="D76" s="1" t="s">
        <v>122</v>
      </c>
      <c r="E76" s="1" t="s">
        <v>415</v>
      </c>
      <c r="F76" s="1" t="s">
        <v>505</v>
      </c>
      <c r="G76" s="1" t="s">
        <v>68</v>
      </c>
      <c r="H76" s="1" t="str">
        <f>VLOOKUP(G76,dataNodes!$B$2:$C$19,2,FALSE)</f>
        <v>Quality</v>
      </c>
      <c r="I76" s="1" t="str">
        <f t="shared" si="1"/>
        <v>d04</v>
      </c>
    </row>
    <row r="77" spans="1:9" x14ac:dyDescent="0.3">
      <c r="A77" s="1" t="s">
        <v>306</v>
      </c>
      <c r="B77" s="1" t="s">
        <v>449</v>
      </c>
      <c r="C77" s="1" t="s">
        <v>453</v>
      </c>
      <c r="D77" s="1" t="s">
        <v>122</v>
      </c>
      <c r="E77" s="1" t="s">
        <v>415</v>
      </c>
      <c r="F77" s="1" t="s">
        <v>506</v>
      </c>
      <c r="G77" s="1" t="s">
        <v>76</v>
      </c>
      <c r="H77" s="1" t="str">
        <f>VLOOKUP(G77,dataNodes!$B$2:$C$19,2,FALSE)</f>
        <v>Quality</v>
      </c>
      <c r="I77" s="1" t="str">
        <f t="shared" si="1"/>
        <v>d03</v>
      </c>
    </row>
    <row r="78" spans="1:9" x14ac:dyDescent="0.3">
      <c r="A78" s="1" t="s">
        <v>308</v>
      </c>
      <c r="B78" s="1" t="s">
        <v>450</v>
      </c>
      <c r="C78" s="1" t="s">
        <v>175</v>
      </c>
      <c r="D78" s="1" t="s">
        <v>173</v>
      </c>
      <c r="E78" s="1" t="s">
        <v>416</v>
      </c>
      <c r="F78" s="1" t="s">
        <v>507</v>
      </c>
      <c r="G78" s="1" t="s">
        <v>41</v>
      </c>
      <c r="H78" s="1" t="str">
        <f>VLOOKUP(G78,dataNodes!$B$2:$C$19,2,FALSE)</f>
        <v>Use</v>
      </c>
      <c r="I78" s="1" t="str">
        <f t="shared" si="1"/>
        <v>d17</v>
      </c>
    </row>
    <row r="79" spans="1:9" x14ac:dyDescent="0.3">
      <c r="A79" s="1" t="s">
        <v>308</v>
      </c>
      <c r="B79" s="1" t="s">
        <v>450</v>
      </c>
      <c r="C79" s="1" t="s">
        <v>175</v>
      </c>
      <c r="D79" s="1" t="s">
        <v>173</v>
      </c>
      <c r="E79" s="1" t="s">
        <v>416</v>
      </c>
      <c r="F79" s="1" t="s">
        <v>508</v>
      </c>
      <c r="G79" s="1" t="s">
        <v>41</v>
      </c>
      <c r="H79" s="1" t="str">
        <f>VLOOKUP(G79,dataNodes!$B$2:$C$19,2,FALSE)</f>
        <v>Use</v>
      </c>
      <c r="I79" s="1" t="str">
        <f t="shared" si="1"/>
        <v>d17</v>
      </c>
    </row>
    <row r="80" spans="1:9" x14ac:dyDescent="0.3">
      <c r="A80" s="1" t="s">
        <v>310</v>
      </c>
      <c r="B80" s="1" t="s">
        <v>311</v>
      </c>
      <c r="C80" s="1" t="s">
        <v>454</v>
      </c>
      <c r="D80" s="1" t="s">
        <v>169</v>
      </c>
      <c r="E80" s="1" t="s">
        <v>417</v>
      </c>
      <c r="F80" s="1" t="s">
        <v>478</v>
      </c>
      <c r="G80" s="1" t="s">
        <v>75</v>
      </c>
      <c r="H80" s="1" t="str">
        <f>VLOOKUP(G80,dataNodes!$B$2:$C$19,2,FALSE)</f>
        <v>Infrastructure</v>
      </c>
      <c r="I80" s="1" t="str">
        <f t="shared" si="1"/>
        <v>d02</v>
      </c>
    </row>
    <row r="81" spans="1:9" x14ac:dyDescent="0.3">
      <c r="A81" s="1" t="s">
        <v>310</v>
      </c>
      <c r="B81" s="1" t="s">
        <v>311</v>
      </c>
      <c r="C81" s="1" t="s">
        <v>454</v>
      </c>
      <c r="D81" s="1" t="s">
        <v>169</v>
      </c>
      <c r="E81" s="1" t="s">
        <v>417</v>
      </c>
      <c r="F81" s="1" t="s">
        <v>509</v>
      </c>
      <c r="G81" s="1" t="s">
        <v>74</v>
      </c>
      <c r="H81" s="1" t="str">
        <f>VLOOKUP(G81,dataNodes!$B$2:$C$19,2,FALSE)</f>
        <v>Infrastructure</v>
      </c>
      <c r="I81" s="1" t="str">
        <f t="shared" si="1"/>
        <v>d01</v>
      </c>
    </row>
    <row r="82" spans="1:9" x14ac:dyDescent="0.3">
      <c r="A82" s="1" t="s">
        <v>310</v>
      </c>
      <c r="B82" s="1" t="s">
        <v>311</v>
      </c>
      <c r="C82" s="1" t="s">
        <v>454</v>
      </c>
      <c r="D82" s="1" t="s">
        <v>169</v>
      </c>
      <c r="E82" s="1" t="s">
        <v>417</v>
      </c>
      <c r="F82" s="1" t="s">
        <v>510</v>
      </c>
      <c r="G82" s="1" t="s">
        <v>86</v>
      </c>
      <c r="H82" s="1" t="str">
        <f>VLOOKUP(G82,dataNodes!$B$2:$C$19,2,FALSE)</f>
        <v>Use</v>
      </c>
      <c r="I82" s="1" t="str">
        <f t="shared" si="1"/>
        <v>d18</v>
      </c>
    </row>
    <row r="83" spans="1:9" x14ac:dyDescent="0.3">
      <c r="A83" s="1" t="s">
        <v>310</v>
      </c>
      <c r="B83" s="1" t="s">
        <v>311</v>
      </c>
      <c r="C83" s="1" t="s">
        <v>454</v>
      </c>
      <c r="D83" s="1" t="s">
        <v>169</v>
      </c>
      <c r="E83" s="1" t="s">
        <v>417</v>
      </c>
      <c r="F83" s="1" t="s">
        <v>511</v>
      </c>
      <c r="G83" s="1" t="s">
        <v>76</v>
      </c>
      <c r="H83" s="1" t="str">
        <f>VLOOKUP(G83,dataNodes!$B$2:$C$19,2,FALSE)</f>
        <v>Quality</v>
      </c>
      <c r="I83" s="1" t="str">
        <f t="shared" ref="I83:I99" si="2">VLOOKUP(G83,$M$2:$N$19,2,FALSE)</f>
        <v>d03</v>
      </c>
    </row>
    <row r="84" spans="1:9" x14ac:dyDescent="0.3">
      <c r="A84" s="1" t="s">
        <v>312</v>
      </c>
      <c r="B84" s="1" t="s">
        <v>163</v>
      </c>
      <c r="C84" s="1" t="s">
        <v>161</v>
      </c>
      <c r="D84" s="1" t="s">
        <v>159</v>
      </c>
      <c r="E84" s="1" t="s">
        <v>242</v>
      </c>
      <c r="F84" s="1" t="s">
        <v>512</v>
      </c>
      <c r="G84" s="1" t="s">
        <v>83</v>
      </c>
      <c r="H84" s="1" t="str">
        <f>VLOOKUP(G84,dataNodes!$B$2:$C$19,2,FALSE)</f>
        <v>Use</v>
      </c>
      <c r="I84" s="1" t="str">
        <f t="shared" si="2"/>
        <v>d16</v>
      </c>
    </row>
    <row r="85" spans="1:9" x14ac:dyDescent="0.3">
      <c r="A85" s="1" t="s">
        <v>312</v>
      </c>
      <c r="B85" s="1" t="s">
        <v>163</v>
      </c>
      <c r="C85" s="1" t="s">
        <v>161</v>
      </c>
      <c r="D85" s="1" t="s">
        <v>159</v>
      </c>
      <c r="E85" s="1" t="s">
        <v>242</v>
      </c>
      <c r="F85" s="1" t="s">
        <v>513</v>
      </c>
      <c r="G85" s="1" t="s">
        <v>85</v>
      </c>
      <c r="H85" s="1" t="str">
        <f>VLOOKUP(G85,dataNodes!$B$2:$C$19,2,FALSE)</f>
        <v>Use</v>
      </c>
      <c r="I85" s="1" t="str">
        <f t="shared" si="2"/>
        <v>d15</v>
      </c>
    </row>
    <row r="86" spans="1:9" x14ac:dyDescent="0.3">
      <c r="A86" s="1" t="s">
        <v>313</v>
      </c>
      <c r="B86" s="1" t="s">
        <v>165</v>
      </c>
      <c r="C86" s="1" t="s">
        <v>161</v>
      </c>
      <c r="D86" s="1" t="s">
        <v>159</v>
      </c>
      <c r="E86" s="1" t="s">
        <v>243</v>
      </c>
      <c r="F86" s="1" t="s">
        <v>514</v>
      </c>
      <c r="G86" s="1" t="s">
        <v>71</v>
      </c>
      <c r="H86" s="1" t="str">
        <f>VLOOKUP(G86,dataNodes!$B$2:$C$19,2,FALSE)</f>
        <v>Quantity</v>
      </c>
      <c r="I86" s="1" t="str">
        <f t="shared" si="2"/>
        <v>d12</v>
      </c>
    </row>
    <row r="87" spans="1:9" x14ac:dyDescent="0.3">
      <c r="A87" s="1" t="s">
        <v>313</v>
      </c>
      <c r="B87" s="1" t="s">
        <v>165</v>
      </c>
      <c r="C87" s="1" t="s">
        <v>161</v>
      </c>
      <c r="D87" s="1" t="s">
        <v>159</v>
      </c>
      <c r="E87" s="1" t="s">
        <v>243</v>
      </c>
      <c r="F87" s="1" t="s">
        <v>66</v>
      </c>
      <c r="G87" s="1" t="s">
        <v>66</v>
      </c>
      <c r="H87" s="1" t="str">
        <f>VLOOKUP(G87,dataNodes!$B$2:$C$19,2,FALSE)</f>
        <v>Quantity</v>
      </c>
      <c r="I87" s="1" t="str">
        <f t="shared" si="2"/>
        <v>d10</v>
      </c>
    </row>
    <row r="88" spans="1:9" x14ac:dyDescent="0.3">
      <c r="A88" s="1" t="s">
        <v>313</v>
      </c>
      <c r="B88" s="1" t="s">
        <v>165</v>
      </c>
      <c r="C88" s="1" t="s">
        <v>161</v>
      </c>
      <c r="D88" s="1" t="s">
        <v>159</v>
      </c>
      <c r="E88" s="1" t="s">
        <v>243</v>
      </c>
      <c r="F88" s="1" t="s">
        <v>515</v>
      </c>
      <c r="G88" s="1" t="s">
        <v>64</v>
      </c>
      <c r="H88" s="1" t="str">
        <f>VLOOKUP(G88,dataNodes!$B$2:$C$19,2,FALSE)</f>
        <v>Quantity</v>
      </c>
      <c r="I88" s="1" t="str">
        <f t="shared" si="2"/>
        <v>d09</v>
      </c>
    </row>
    <row r="89" spans="1:9" x14ac:dyDescent="0.3">
      <c r="A89" s="1" t="s">
        <v>313</v>
      </c>
      <c r="B89" s="1" t="s">
        <v>165</v>
      </c>
      <c r="C89" s="1" t="s">
        <v>161</v>
      </c>
      <c r="D89" s="1" t="s">
        <v>159</v>
      </c>
      <c r="E89" s="1" t="s">
        <v>243</v>
      </c>
      <c r="F89" s="1" t="s">
        <v>488</v>
      </c>
      <c r="G89" s="1" t="s">
        <v>79</v>
      </c>
      <c r="H89" s="1" t="str">
        <f>VLOOKUP(G89,dataNodes!$B$2:$C$19,2,FALSE)</f>
        <v>Quantity</v>
      </c>
      <c r="I89" s="1" t="str">
        <f t="shared" si="2"/>
        <v>d06</v>
      </c>
    </row>
    <row r="90" spans="1:9" x14ac:dyDescent="0.3">
      <c r="A90" s="1" t="s">
        <v>314</v>
      </c>
      <c r="B90" s="1" t="s">
        <v>4</v>
      </c>
      <c r="C90" s="1" t="s">
        <v>455</v>
      </c>
      <c r="D90" s="1" t="s">
        <v>159</v>
      </c>
      <c r="E90" s="1" t="s">
        <v>458</v>
      </c>
      <c r="F90" s="1" t="s">
        <v>4</v>
      </c>
      <c r="G90" s="1" t="s">
        <v>76</v>
      </c>
      <c r="H90" s="1" t="str">
        <f>VLOOKUP(G90,dataNodes!$B$2:$C$19,2,FALSE)</f>
        <v>Quality</v>
      </c>
      <c r="I90" s="1" t="str">
        <f t="shared" si="2"/>
        <v>d03</v>
      </c>
    </row>
    <row r="91" spans="1:9" x14ac:dyDescent="0.3">
      <c r="A91" s="1" t="s">
        <v>314</v>
      </c>
      <c r="B91" s="1" t="s">
        <v>4</v>
      </c>
      <c r="C91" s="1" t="s">
        <v>455</v>
      </c>
      <c r="D91" s="1" t="s">
        <v>159</v>
      </c>
      <c r="E91" s="1" t="s">
        <v>458</v>
      </c>
      <c r="F91" s="1" t="s">
        <v>516</v>
      </c>
      <c r="G91" s="1" t="s">
        <v>74</v>
      </c>
      <c r="H91" s="1" t="str">
        <f>VLOOKUP(G91,dataNodes!$B$2:$C$19,2,FALSE)</f>
        <v>Infrastructure</v>
      </c>
      <c r="I91" s="1" t="str">
        <f t="shared" si="2"/>
        <v>d01</v>
      </c>
    </row>
    <row r="92" spans="1:9" x14ac:dyDescent="0.3">
      <c r="A92" s="1" t="s">
        <v>315</v>
      </c>
      <c r="B92" s="1" t="s">
        <v>316</v>
      </c>
      <c r="C92" s="1" t="s">
        <v>328</v>
      </c>
      <c r="D92" s="1" t="s">
        <v>181</v>
      </c>
      <c r="E92" s="1" t="s">
        <v>419</v>
      </c>
      <c r="F92" s="1" t="s">
        <v>517</v>
      </c>
      <c r="G92" s="1" t="s">
        <v>68</v>
      </c>
      <c r="H92" s="1" t="str">
        <f>VLOOKUP(G92,dataNodes!$B$2:$C$19,2,FALSE)</f>
        <v>Quality</v>
      </c>
      <c r="I92" s="1" t="str">
        <f t="shared" si="2"/>
        <v>d04</v>
      </c>
    </row>
    <row r="93" spans="1:9" x14ac:dyDescent="0.3">
      <c r="A93" s="1" t="s">
        <v>317</v>
      </c>
      <c r="B93" s="1" t="s">
        <v>318</v>
      </c>
      <c r="C93" s="1" t="s">
        <v>187</v>
      </c>
      <c r="D93" s="1" t="s">
        <v>183</v>
      </c>
      <c r="E93" s="1" t="s">
        <v>420</v>
      </c>
      <c r="F93" s="1" t="s">
        <v>518</v>
      </c>
      <c r="G93" s="1" t="s">
        <v>79</v>
      </c>
      <c r="H93" s="1" t="str">
        <f>VLOOKUP(G93,dataNodes!$B$2:$C$19,2,FALSE)</f>
        <v>Quantity</v>
      </c>
      <c r="I93" s="1" t="str">
        <f t="shared" si="2"/>
        <v>d06</v>
      </c>
    </row>
    <row r="94" spans="1:9" x14ac:dyDescent="0.3">
      <c r="A94" s="1" t="s">
        <v>317</v>
      </c>
      <c r="B94" s="1" t="s">
        <v>318</v>
      </c>
      <c r="C94" s="1" t="s">
        <v>187</v>
      </c>
      <c r="D94" s="1" t="s">
        <v>183</v>
      </c>
      <c r="E94" s="1" t="s">
        <v>420</v>
      </c>
      <c r="F94" s="1" t="s">
        <v>519</v>
      </c>
      <c r="G94" s="1" t="s">
        <v>74</v>
      </c>
      <c r="H94" s="1" t="str">
        <f>VLOOKUP(G94,dataNodes!$B$2:$C$19,2,FALSE)</f>
        <v>Infrastructure</v>
      </c>
      <c r="I94" s="1" t="str">
        <f t="shared" si="2"/>
        <v>d01</v>
      </c>
    </row>
    <row r="95" spans="1:9" x14ac:dyDescent="0.3">
      <c r="A95" s="1" t="s">
        <v>319</v>
      </c>
      <c r="B95" s="1" t="s">
        <v>320</v>
      </c>
      <c r="C95" s="1" t="s">
        <v>187</v>
      </c>
      <c r="D95" s="1" t="s">
        <v>183</v>
      </c>
      <c r="E95" s="1" t="s">
        <v>421</v>
      </c>
      <c r="F95" s="1" t="s">
        <v>520</v>
      </c>
      <c r="G95" s="1" t="s">
        <v>17</v>
      </c>
      <c r="H95" s="1" t="str">
        <f>VLOOKUP(G95,dataNodes!$B$2:$C$19,2,FALSE)</f>
        <v>Quantity</v>
      </c>
      <c r="I95" s="1" t="str">
        <f t="shared" si="2"/>
        <v>d13</v>
      </c>
    </row>
    <row r="96" spans="1:9" x14ac:dyDescent="0.3">
      <c r="A96" s="1" t="s">
        <v>319</v>
      </c>
      <c r="B96" s="1" t="s">
        <v>320</v>
      </c>
      <c r="C96" s="1" t="s">
        <v>187</v>
      </c>
      <c r="D96" s="1" t="s">
        <v>183</v>
      </c>
      <c r="E96" s="1" t="s">
        <v>421</v>
      </c>
      <c r="F96" s="1" t="s">
        <v>521</v>
      </c>
      <c r="G96" s="1" t="s">
        <v>79</v>
      </c>
      <c r="H96" s="1" t="str">
        <f>VLOOKUP(G96,dataNodes!$B$2:$C$19,2,FALSE)</f>
        <v>Quantity</v>
      </c>
      <c r="I96" s="1" t="str">
        <f t="shared" si="2"/>
        <v>d06</v>
      </c>
    </row>
    <row r="97" spans="1:9" x14ac:dyDescent="0.3">
      <c r="A97" s="1" t="s">
        <v>321</v>
      </c>
      <c r="B97" s="1" t="s">
        <v>322</v>
      </c>
      <c r="C97" s="1" t="s">
        <v>187</v>
      </c>
      <c r="D97" s="1" t="s">
        <v>183</v>
      </c>
      <c r="E97" s="1" t="s">
        <v>422</v>
      </c>
      <c r="F97" s="1" t="s">
        <v>522</v>
      </c>
      <c r="G97" s="1" t="s">
        <v>79</v>
      </c>
      <c r="H97" s="1" t="str">
        <f>VLOOKUP(G97,dataNodes!$B$2:$C$19,2,FALSE)</f>
        <v>Quantity</v>
      </c>
      <c r="I97" s="1" t="str">
        <f t="shared" si="2"/>
        <v>d06</v>
      </c>
    </row>
    <row r="98" spans="1:9" x14ac:dyDescent="0.3">
      <c r="A98" s="1" t="s">
        <v>323</v>
      </c>
      <c r="B98" s="1" t="s">
        <v>324</v>
      </c>
      <c r="C98" s="1" t="s">
        <v>187</v>
      </c>
      <c r="D98" s="1" t="s">
        <v>183</v>
      </c>
      <c r="E98" s="1" t="s">
        <v>423</v>
      </c>
      <c r="F98" s="1" t="s">
        <v>523</v>
      </c>
      <c r="G98" s="1" t="s">
        <v>79</v>
      </c>
      <c r="H98" s="1" t="str">
        <f>VLOOKUP(G98,dataNodes!$B$2:$C$19,2,FALSE)</f>
        <v>Quantity</v>
      </c>
      <c r="I98" s="1" t="str">
        <f t="shared" si="2"/>
        <v>d06</v>
      </c>
    </row>
    <row r="99" spans="1:9" x14ac:dyDescent="0.3">
      <c r="A99" s="1" t="s">
        <v>323</v>
      </c>
      <c r="B99" s="1" t="s">
        <v>324</v>
      </c>
      <c r="C99" s="1" t="s">
        <v>187</v>
      </c>
      <c r="D99" s="1" t="s">
        <v>183</v>
      </c>
      <c r="E99" s="1" t="s">
        <v>423</v>
      </c>
      <c r="F99" s="1" t="s">
        <v>524</v>
      </c>
      <c r="G99" s="1" t="s">
        <v>79</v>
      </c>
      <c r="H99" s="1" t="str">
        <f>VLOOKUP(G99,dataNodes!$B$2:$C$19,2,FALSE)</f>
        <v>Quantity</v>
      </c>
      <c r="I99" s="1" t="str">
        <f t="shared" si="2"/>
        <v>d06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
  <sheetViews>
    <sheetView workbookViewId="0">
      <selection activeCell="C11" sqref="C11"/>
    </sheetView>
  </sheetViews>
  <sheetFormatPr defaultRowHeight="15.6" x14ac:dyDescent="0.3"/>
  <cols>
    <col min="1" max="16384" width="8.796875" style="1"/>
  </cols>
  <sheetData>
    <row r="1" spans="1:2" x14ac:dyDescent="0.3">
      <c r="A1" s="5" t="s">
        <v>39</v>
      </c>
      <c r="B1" s="5" t="s">
        <v>40</v>
      </c>
    </row>
    <row r="2" spans="1:2" x14ac:dyDescent="0.3">
      <c r="A2" s="1" t="s">
        <v>42</v>
      </c>
      <c r="B2" s="1" t="s">
        <v>77</v>
      </c>
    </row>
    <row r="3" spans="1:2" x14ac:dyDescent="0.3">
      <c r="A3" s="1" t="s">
        <v>43</v>
      </c>
      <c r="B3" s="1" t="s">
        <v>77</v>
      </c>
    </row>
    <row r="4" spans="1:2" x14ac:dyDescent="0.3">
      <c r="A4" s="1" t="s">
        <v>44</v>
      </c>
      <c r="B4" s="1" t="s">
        <v>77</v>
      </c>
    </row>
    <row r="5" spans="1:2" x14ac:dyDescent="0.3">
      <c r="A5" s="1" t="s">
        <v>45</v>
      </c>
      <c r="B5" s="1" t="s">
        <v>77</v>
      </c>
    </row>
    <row r="6" spans="1:2" x14ac:dyDescent="0.3">
      <c r="A6" s="1" t="s">
        <v>46</v>
      </c>
      <c r="B6" s="1" t="s">
        <v>56</v>
      </c>
    </row>
    <row r="7" spans="1:2" x14ac:dyDescent="0.3">
      <c r="A7" s="1" t="s">
        <v>46</v>
      </c>
      <c r="B7" s="1" t="s">
        <v>61</v>
      </c>
    </row>
    <row r="8" spans="1:2" x14ac:dyDescent="0.3">
      <c r="A8" s="1" t="s">
        <v>46</v>
      </c>
      <c r="B8" s="1" t="s">
        <v>77</v>
      </c>
    </row>
    <row r="9" spans="1:2" x14ac:dyDescent="0.3">
      <c r="A9" s="1" t="s">
        <v>47</v>
      </c>
      <c r="B9" s="1" t="s">
        <v>72</v>
      </c>
    </row>
    <row r="10" spans="1:2" x14ac:dyDescent="0.3">
      <c r="A10" s="1" t="s">
        <v>47</v>
      </c>
      <c r="B10" s="1" t="s">
        <v>56</v>
      </c>
    </row>
    <row r="11" spans="1:2" x14ac:dyDescent="0.3">
      <c r="A11" s="1" t="s">
        <v>48</v>
      </c>
      <c r="B11" s="1" t="s">
        <v>72</v>
      </c>
    </row>
    <row r="12" spans="1:2" x14ac:dyDescent="0.3">
      <c r="A12" s="1" t="s">
        <v>48</v>
      </c>
      <c r="B12" s="1" t="s">
        <v>77</v>
      </c>
    </row>
    <row r="13" spans="1:2" x14ac:dyDescent="0.3">
      <c r="A13" s="1" t="s">
        <v>49</v>
      </c>
      <c r="B13" s="1" t="s">
        <v>72</v>
      </c>
    </row>
    <row r="14" spans="1:2" x14ac:dyDescent="0.3">
      <c r="A14" s="1" t="s">
        <v>49</v>
      </c>
      <c r="B14" s="1" t="s">
        <v>77</v>
      </c>
    </row>
    <row r="15" spans="1:2" x14ac:dyDescent="0.3">
      <c r="A15" s="1" t="s">
        <v>50</v>
      </c>
      <c r="B15" s="1" t="s">
        <v>56</v>
      </c>
    </row>
    <row r="16" spans="1:2" x14ac:dyDescent="0.3">
      <c r="A16" s="1" t="s">
        <v>51</v>
      </c>
      <c r="B16" s="1" t="s">
        <v>72</v>
      </c>
    </row>
    <row r="17" spans="1:2" x14ac:dyDescent="0.3">
      <c r="A17" s="1" t="s">
        <v>52</v>
      </c>
      <c r="B17" s="1" t="s">
        <v>77</v>
      </c>
    </row>
    <row r="18" spans="1:2" x14ac:dyDescent="0.3">
      <c r="A18" s="1" t="s">
        <v>52</v>
      </c>
      <c r="B18" s="1" t="s">
        <v>56</v>
      </c>
    </row>
    <row r="19" spans="1:2" x14ac:dyDescent="0.3">
      <c r="A19" s="1" t="s">
        <v>52</v>
      </c>
      <c r="B19" s="1" t="s">
        <v>72</v>
      </c>
    </row>
    <row r="20" spans="1:2" x14ac:dyDescent="0.3">
      <c r="A20" s="1" t="s">
        <v>52</v>
      </c>
      <c r="B20" s="1" t="s">
        <v>54</v>
      </c>
    </row>
    <row r="21" spans="1:2" x14ac:dyDescent="0.3">
      <c r="A21" s="1" t="s">
        <v>52</v>
      </c>
      <c r="B21" s="1" t="s">
        <v>73</v>
      </c>
    </row>
    <row r="22" spans="1:2" x14ac:dyDescent="0.3">
      <c r="A22" s="1" t="s">
        <v>270</v>
      </c>
      <c r="B22" s="1" t="s">
        <v>73</v>
      </c>
    </row>
    <row r="23" spans="1:2" x14ac:dyDescent="0.3">
      <c r="A23" s="1" t="s">
        <v>271</v>
      </c>
      <c r="B23" s="1" t="s">
        <v>61</v>
      </c>
    </row>
    <row r="24" spans="1:2" x14ac:dyDescent="0.3">
      <c r="A24" s="1" t="s">
        <v>271</v>
      </c>
      <c r="B24" s="1" t="s">
        <v>56</v>
      </c>
    </row>
    <row r="25" spans="1:2" x14ac:dyDescent="0.3">
      <c r="A25" s="1" t="s">
        <v>271</v>
      </c>
      <c r="B25" s="1" t="s">
        <v>72</v>
      </c>
    </row>
    <row r="26" spans="1:2" x14ac:dyDescent="0.3">
      <c r="A26" s="1" t="s">
        <v>272</v>
      </c>
      <c r="B26" s="1" t="s">
        <v>77</v>
      </c>
    </row>
    <row r="27" spans="1:2" x14ac:dyDescent="0.3">
      <c r="A27" s="1" t="s">
        <v>272</v>
      </c>
      <c r="B27" s="1" t="s">
        <v>56</v>
      </c>
    </row>
    <row r="28" spans="1:2" x14ac:dyDescent="0.3">
      <c r="A28" s="1" t="s">
        <v>274</v>
      </c>
      <c r="B28" s="1" t="s">
        <v>61</v>
      </c>
    </row>
    <row r="29" spans="1:2" x14ac:dyDescent="0.3">
      <c r="A29" s="1" t="s">
        <v>274</v>
      </c>
      <c r="B29" s="1" t="s">
        <v>69</v>
      </c>
    </row>
    <row r="30" spans="1:2" x14ac:dyDescent="0.3">
      <c r="A30" s="1" t="s">
        <v>274</v>
      </c>
      <c r="B30" s="1" t="s">
        <v>54</v>
      </c>
    </row>
    <row r="31" spans="1:2" x14ac:dyDescent="0.3">
      <c r="A31" s="1" t="s">
        <v>274</v>
      </c>
      <c r="B31" s="1" t="s">
        <v>58</v>
      </c>
    </row>
    <row r="32" spans="1:2" x14ac:dyDescent="0.3">
      <c r="A32" s="1" t="s">
        <v>275</v>
      </c>
      <c r="B32" s="1" t="s">
        <v>53</v>
      </c>
    </row>
    <row r="33" spans="1:2" x14ac:dyDescent="0.3">
      <c r="A33" s="1" t="s">
        <v>275</v>
      </c>
      <c r="B33" s="1" t="s">
        <v>77</v>
      </c>
    </row>
    <row r="34" spans="1:2" x14ac:dyDescent="0.3">
      <c r="A34" s="1" t="s">
        <v>277</v>
      </c>
      <c r="B34" s="1" t="s">
        <v>72</v>
      </c>
    </row>
    <row r="35" spans="1:2" x14ac:dyDescent="0.3">
      <c r="A35" s="1" t="s">
        <v>277</v>
      </c>
      <c r="B35" s="1" t="s">
        <v>77</v>
      </c>
    </row>
    <row r="36" spans="1:2" x14ac:dyDescent="0.3">
      <c r="A36" s="1" t="s">
        <v>279</v>
      </c>
      <c r="B36" s="1" t="s">
        <v>77</v>
      </c>
    </row>
    <row r="37" spans="1:2" x14ac:dyDescent="0.3">
      <c r="A37" s="1" t="s">
        <v>281</v>
      </c>
      <c r="B37" s="1" t="s">
        <v>54</v>
      </c>
    </row>
    <row r="38" spans="1:2" x14ac:dyDescent="0.3">
      <c r="A38" s="1" t="s">
        <v>282</v>
      </c>
      <c r="B38" s="1" t="s">
        <v>77</v>
      </c>
    </row>
    <row r="39" spans="1:2" x14ac:dyDescent="0.3">
      <c r="A39" s="1" t="s">
        <v>282</v>
      </c>
      <c r="B39" s="1" t="s">
        <v>72</v>
      </c>
    </row>
    <row r="40" spans="1:2" x14ac:dyDescent="0.3">
      <c r="A40" s="1" t="s">
        <v>284</v>
      </c>
      <c r="B40" s="1" t="s">
        <v>56</v>
      </c>
    </row>
    <row r="41" spans="1:2" x14ac:dyDescent="0.3">
      <c r="A41" s="1" t="s">
        <v>286</v>
      </c>
      <c r="B41" s="1" t="s">
        <v>56</v>
      </c>
    </row>
    <row r="42" spans="1:2" x14ac:dyDescent="0.3">
      <c r="A42" s="1" t="s">
        <v>287</v>
      </c>
      <c r="B42" s="1" t="s">
        <v>56</v>
      </c>
    </row>
    <row r="43" spans="1:2" x14ac:dyDescent="0.3">
      <c r="A43" s="1" t="s">
        <v>289</v>
      </c>
      <c r="B43" s="1" t="s">
        <v>56</v>
      </c>
    </row>
    <row r="44" spans="1:2" x14ac:dyDescent="0.3">
      <c r="A44" s="1" t="s">
        <v>290</v>
      </c>
      <c r="B44" s="1" t="s">
        <v>53</v>
      </c>
    </row>
    <row r="45" spans="1:2" x14ac:dyDescent="0.3">
      <c r="A45" s="1" t="s">
        <v>292</v>
      </c>
      <c r="B45" s="1" t="s">
        <v>73</v>
      </c>
    </row>
    <row r="46" spans="1:2" x14ac:dyDescent="0.3">
      <c r="A46" s="1" t="s">
        <v>294</v>
      </c>
      <c r="B46" s="1" t="s">
        <v>73</v>
      </c>
    </row>
    <row r="47" spans="1:2" x14ac:dyDescent="0.3">
      <c r="A47" s="1" t="s">
        <v>296</v>
      </c>
      <c r="B47" s="1" t="s">
        <v>53</v>
      </c>
    </row>
    <row r="48" spans="1:2" x14ac:dyDescent="0.3">
      <c r="A48" s="1" t="s">
        <v>296</v>
      </c>
      <c r="B48" s="1" t="s">
        <v>65</v>
      </c>
    </row>
    <row r="49" spans="1:2" x14ac:dyDescent="0.3">
      <c r="A49" s="1" t="s">
        <v>297</v>
      </c>
      <c r="B49" s="1" t="s">
        <v>77</v>
      </c>
    </row>
    <row r="50" spans="1:2" x14ac:dyDescent="0.3">
      <c r="A50" s="1" t="s">
        <v>298</v>
      </c>
      <c r="B50" s="1" t="s">
        <v>77</v>
      </c>
    </row>
    <row r="51" spans="1:2" x14ac:dyDescent="0.3">
      <c r="A51" s="1" t="s">
        <v>300</v>
      </c>
      <c r="B51" s="1" t="s">
        <v>53</v>
      </c>
    </row>
    <row r="52" spans="1:2" x14ac:dyDescent="0.3">
      <c r="A52" s="1" t="s">
        <v>300</v>
      </c>
      <c r="B52" s="1" t="s">
        <v>73</v>
      </c>
    </row>
    <row r="53" spans="1:2" x14ac:dyDescent="0.3">
      <c r="A53" s="1" t="s">
        <v>300</v>
      </c>
      <c r="B53" s="1" t="s">
        <v>56</v>
      </c>
    </row>
    <row r="54" spans="1:2" x14ac:dyDescent="0.3">
      <c r="A54" s="1" t="s">
        <v>300</v>
      </c>
      <c r="B54" s="1" t="s">
        <v>77</v>
      </c>
    </row>
    <row r="55" spans="1:2" x14ac:dyDescent="0.3">
      <c r="A55" s="1" t="s">
        <v>302</v>
      </c>
      <c r="B55" s="1" t="s">
        <v>54</v>
      </c>
    </row>
    <row r="56" spans="1:2" x14ac:dyDescent="0.3">
      <c r="A56" s="1" t="s">
        <v>304</v>
      </c>
      <c r="B56" s="1" t="s">
        <v>77</v>
      </c>
    </row>
    <row r="57" spans="1:2" x14ac:dyDescent="0.3">
      <c r="A57" s="1" t="s">
        <v>304</v>
      </c>
      <c r="B57" s="1" t="s">
        <v>61</v>
      </c>
    </row>
    <row r="58" spans="1:2" x14ac:dyDescent="0.3">
      <c r="A58" s="1" t="s">
        <v>306</v>
      </c>
      <c r="B58" s="1" t="s">
        <v>54</v>
      </c>
    </row>
    <row r="59" spans="1:2" x14ac:dyDescent="0.3">
      <c r="A59" s="1" t="s">
        <v>306</v>
      </c>
      <c r="B59" s="1" t="s">
        <v>53</v>
      </c>
    </row>
    <row r="60" spans="1:2" x14ac:dyDescent="0.3">
      <c r="A60" s="1" t="s">
        <v>306</v>
      </c>
      <c r="B60" s="1" t="s">
        <v>56</v>
      </c>
    </row>
    <row r="61" spans="1:2" x14ac:dyDescent="0.3">
      <c r="A61" s="1" t="s">
        <v>306</v>
      </c>
      <c r="B61" s="1" t="s">
        <v>77</v>
      </c>
    </row>
    <row r="62" spans="1:2" x14ac:dyDescent="0.3">
      <c r="A62" s="1" t="s">
        <v>308</v>
      </c>
      <c r="B62" s="1" t="s">
        <v>72</v>
      </c>
    </row>
    <row r="63" spans="1:2" x14ac:dyDescent="0.3">
      <c r="A63" s="1" t="s">
        <v>310</v>
      </c>
      <c r="B63" s="1" t="s">
        <v>54</v>
      </c>
    </row>
    <row r="64" spans="1:2" x14ac:dyDescent="0.3">
      <c r="A64" s="1" t="s">
        <v>310</v>
      </c>
      <c r="B64" s="1" t="s">
        <v>53</v>
      </c>
    </row>
    <row r="65" spans="1:2" x14ac:dyDescent="0.3">
      <c r="A65" s="1" t="s">
        <v>310</v>
      </c>
      <c r="B65" s="1" t="s">
        <v>73</v>
      </c>
    </row>
    <row r="66" spans="1:2" x14ac:dyDescent="0.3">
      <c r="A66" s="1" t="s">
        <v>310</v>
      </c>
      <c r="B66" s="1" t="s">
        <v>56</v>
      </c>
    </row>
    <row r="67" spans="1:2" x14ac:dyDescent="0.3">
      <c r="A67" s="1" t="s">
        <v>312</v>
      </c>
      <c r="B67" s="1" t="s">
        <v>70</v>
      </c>
    </row>
    <row r="68" spans="1:2" x14ac:dyDescent="0.3">
      <c r="A68" s="1" t="s">
        <v>312</v>
      </c>
      <c r="B68" s="1" t="s">
        <v>84</v>
      </c>
    </row>
    <row r="69" spans="1:2" x14ac:dyDescent="0.3">
      <c r="A69" s="1" t="s">
        <v>313</v>
      </c>
      <c r="B69" s="1" t="s">
        <v>67</v>
      </c>
    </row>
    <row r="70" spans="1:2" x14ac:dyDescent="0.3">
      <c r="A70" s="1" t="s">
        <v>313</v>
      </c>
      <c r="B70" s="1" t="s">
        <v>63</v>
      </c>
    </row>
    <row r="71" spans="1:2" x14ac:dyDescent="0.3">
      <c r="A71" s="1" t="s">
        <v>313</v>
      </c>
      <c r="B71" s="1" t="s">
        <v>81</v>
      </c>
    </row>
    <row r="72" spans="1:2" x14ac:dyDescent="0.3">
      <c r="A72" s="1" t="s">
        <v>313</v>
      </c>
      <c r="B72" s="1" t="s">
        <v>58</v>
      </c>
    </row>
    <row r="73" spans="1:2" x14ac:dyDescent="0.3">
      <c r="A73" s="1" t="s">
        <v>314</v>
      </c>
      <c r="B73" s="1" t="s">
        <v>56</v>
      </c>
    </row>
    <row r="74" spans="1:2" x14ac:dyDescent="0.3">
      <c r="A74" s="1" t="s">
        <v>314</v>
      </c>
      <c r="B74" s="1" t="s">
        <v>53</v>
      </c>
    </row>
    <row r="75" spans="1:2" x14ac:dyDescent="0.3">
      <c r="A75" s="1" t="s">
        <v>315</v>
      </c>
      <c r="B75" s="1" t="s">
        <v>77</v>
      </c>
    </row>
    <row r="76" spans="1:2" x14ac:dyDescent="0.3">
      <c r="A76" s="1" t="s">
        <v>317</v>
      </c>
      <c r="B76" s="1" t="s">
        <v>58</v>
      </c>
    </row>
    <row r="77" spans="1:2" x14ac:dyDescent="0.3">
      <c r="A77" s="1" t="s">
        <v>317</v>
      </c>
      <c r="B77" s="1" t="s">
        <v>53</v>
      </c>
    </row>
    <row r="78" spans="1:2" x14ac:dyDescent="0.3">
      <c r="A78" s="1" t="s">
        <v>319</v>
      </c>
      <c r="B78" s="1" t="s">
        <v>69</v>
      </c>
    </row>
    <row r="79" spans="1:2" x14ac:dyDescent="0.3">
      <c r="A79" s="1" t="s">
        <v>319</v>
      </c>
      <c r="B79" s="1" t="s">
        <v>58</v>
      </c>
    </row>
    <row r="80" spans="1:2" x14ac:dyDescent="0.3">
      <c r="A80" s="1" t="s">
        <v>321</v>
      </c>
      <c r="B80" s="1" t="s">
        <v>58</v>
      </c>
    </row>
    <row r="81" spans="1:2" x14ac:dyDescent="0.3">
      <c r="A81" s="1" t="s">
        <v>323</v>
      </c>
      <c r="B81" s="1" t="s">
        <v>58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orgNodes</vt:lpstr>
      <vt:lpstr>orgEdges</vt:lpstr>
      <vt:lpstr>platformNodes</vt:lpstr>
      <vt:lpstr>dataNodes</vt:lpstr>
      <vt:lpstr>dataNodeTypes</vt:lpstr>
      <vt:lpstr>dataEdges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Lauren Patterson</cp:lastModifiedBy>
  <dcterms:created xsi:type="dcterms:W3CDTF">2018-08-09T20:40:56Z</dcterms:created>
  <dcterms:modified xsi:type="dcterms:W3CDTF">2020-01-21T20:45:00Z</dcterms:modified>
</cp:coreProperties>
</file>