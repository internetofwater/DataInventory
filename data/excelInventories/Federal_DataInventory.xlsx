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ap19\Documents\Internet of Water\Hubs\HubInventory\Final_Network\federal\"/>
    </mc:Choice>
  </mc:AlternateContent>
  <bookViews>
    <workbookView xWindow="0" yWindow="0" windowWidth="17604" windowHeight="12312" tabRatio="500"/>
  </bookViews>
  <sheets>
    <sheet name="orgNodes" sheetId="5" r:id="rId1"/>
    <sheet name="orgEdges" sheetId="6" r:id="rId2"/>
    <sheet name="platformNodes" sheetId="7" r:id="rId3"/>
    <sheet name="dataNodes" sheetId="12" r:id="rId4"/>
    <sheet name="dataNodeTypes" sheetId="8" r:id="rId5"/>
    <sheet name="dataEdges" sheetId="9" r:id="rId6"/>
  </sheets>
  <definedNames>
    <definedName name="_xlnm._FilterDatabase" localSheetId="3" hidden="1">dataNodes!$A$1:$C$19</definedName>
    <definedName name="_xlnm._FilterDatabase" localSheetId="2" hidden="1">platformNodes!$A$1:$U$12</definedName>
  </definedNames>
  <calcPr calcId="162913"/>
  <extLst>
    <ext xmlns:mx="http://schemas.microsoft.com/office/mac/excel/2008/main" uri="{7523E5D3-25F3-A5E0-1632-64F254C22452}">
      <mx:ArchID Flags="2"/>
    </ext>
  </extLst>
</workbook>
</file>

<file path=xl/calcChain.xml><?xml version="1.0" encoding="utf-8"?>
<calcChain xmlns="http://schemas.openxmlformats.org/spreadsheetml/2006/main">
  <c r="H3" i="7" l="1"/>
  <c r="H4" i="7"/>
  <c r="H5" i="7"/>
  <c r="H6" i="7"/>
  <c r="H7" i="7"/>
  <c r="H8" i="7"/>
  <c r="H9" i="7"/>
  <c r="H10" i="7"/>
  <c r="H11" i="7"/>
  <c r="H12" i="7"/>
  <c r="H13" i="7"/>
  <c r="H14" i="7"/>
  <c r="H15" i="7"/>
  <c r="H16" i="7"/>
  <c r="H17" i="7"/>
  <c r="H18" i="7"/>
  <c r="H19" i="7"/>
  <c r="H20" i="7"/>
  <c r="H21" i="7"/>
  <c r="H22" i="7"/>
  <c r="H23" i="7"/>
  <c r="H24" i="7"/>
  <c r="H25" i="7"/>
  <c r="H26" i="7"/>
  <c r="H27" i="7"/>
  <c r="H28" i="7"/>
  <c r="H30" i="7"/>
  <c r="H31" i="7"/>
  <c r="H32" i="7"/>
  <c r="H33" i="7"/>
  <c r="H34" i="7"/>
  <c r="H35" i="7"/>
  <c r="H36" i="7"/>
  <c r="H37" i="7"/>
  <c r="H38" i="7"/>
  <c r="H39" i="7"/>
  <c r="H40" i="7"/>
  <c r="H41" i="7"/>
  <c r="H42" i="7"/>
  <c r="H43" i="7"/>
  <c r="H44" i="7"/>
  <c r="H46" i="7"/>
  <c r="H47" i="7"/>
  <c r="H48" i="7"/>
  <c r="H49" i="7"/>
  <c r="H50" i="7"/>
  <c r="H51" i="7"/>
  <c r="H52" i="7"/>
  <c r="H53" i="7"/>
  <c r="H54" i="7"/>
  <c r="H55" i="7"/>
  <c r="H56" i="7"/>
  <c r="H57" i="7"/>
  <c r="H2" i="7"/>
  <c r="F2" i="7" l="1"/>
  <c r="I19" i="8" l="1"/>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2" i="8"/>
  <c r="M2" i="8"/>
  <c r="N2" i="8"/>
  <c r="N3" i="8" l="1"/>
  <c r="N4" i="8"/>
  <c r="N5" i="8"/>
  <c r="N6" i="8"/>
  <c r="N7" i="8"/>
  <c r="N8" i="8"/>
  <c r="N9" i="8"/>
  <c r="N10" i="8"/>
  <c r="N11" i="8"/>
  <c r="N12" i="8"/>
  <c r="N13" i="8"/>
  <c r="N14" i="8"/>
  <c r="N15" i="8"/>
  <c r="N16" i="8"/>
  <c r="N17" i="8"/>
  <c r="N18" i="8"/>
  <c r="N19" i="8"/>
  <c r="M3" i="8"/>
  <c r="M4" i="8"/>
  <c r="M5" i="8"/>
  <c r="M6" i="8"/>
  <c r="M7" i="8"/>
  <c r="M8" i="8"/>
  <c r="M9" i="8"/>
  <c r="M10" i="8"/>
  <c r="M11" i="8"/>
  <c r="M12" i="8"/>
  <c r="M13" i="8"/>
  <c r="M14" i="8"/>
  <c r="M15" i="8"/>
  <c r="M16" i="8"/>
  <c r="M17" i="8"/>
  <c r="M18" i="8"/>
  <c r="M19" i="8"/>
  <c r="I3" i="8" l="1"/>
  <c r="I4" i="8"/>
  <c r="I5" i="8"/>
  <c r="I6" i="8"/>
  <c r="I7" i="8"/>
  <c r="I8" i="8"/>
  <c r="I9" i="8"/>
  <c r="I10" i="8"/>
  <c r="I11" i="8"/>
  <c r="I12" i="8"/>
  <c r="I13" i="8"/>
  <c r="I14" i="8"/>
  <c r="I15" i="8"/>
  <c r="I16" i="8"/>
  <c r="I17" i="8"/>
  <c r="I18" i="8"/>
</calcChain>
</file>

<file path=xl/sharedStrings.xml><?xml version="1.0" encoding="utf-8"?>
<sst xmlns="http://schemas.openxmlformats.org/spreadsheetml/2006/main" count="5772" uniqueCount="854">
  <si>
    <t>notes</t>
  </si>
  <si>
    <t>Water Resources</t>
  </si>
  <si>
    <t>Website</t>
  </si>
  <si>
    <t>Groundwater</t>
  </si>
  <si>
    <t>Water Quality</t>
  </si>
  <si>
    <t>Yes</t>
  </si>
  <si>
    <t>Unknown</t>
  </si>
  <si>
    <t>pdf</t>
  </si>
  <si>
    <t>Low</t>
  </si>
  <si>
    <t>Individual Export</t>
  </si>
  <si>
    <t>Link to Source</t>
  </si>
  <si>
    <t>html</t>
  </si>
  <si>
    <t>No</t>
  </si>
  <si>
    <t>Irregular</t>
  </si>
  <si>
    <t>Yearly or Higher</t>
  </si>
  <si>
    <t>Copy and Paste</t>
  </si>
  <si>
    <t>Department of Agriculture</t>
  </si>
  <si>
    <t>Water Quantity</t>
  </si>
  <si>
    <t>Surface Water</t>
  </si>
  <si>
    <t>Reservoir</t>
  </si>
  <si>
    <t>mission</t>
  </si>
  <si>
    <t>website</t>
  </si>
  <si>
    <t>operational</t>
  </si>
  <si>
    <t>decision</t>
  </si>
  <si>
    <t>regulatory</t>
  </si>
  <si>
    <t>research</t>
  </si>
  <si>
    <t>level</t>
  </si>
  <si>
    <t>n01</t>
  </si>
  <si>
    <t>n02</t>
  </si>
  <si>
    <t>n03</t>
  </si>
  <si>
    <t>n04</t>
  </si>
  <si>
    <t>n05</t>
  </si>
  <si>
    <t>n06</t>
  </si>
  <si>
    <t>n07</t>
  </si>
  <si>
    <t>n08</t>
  </si>
  <si>
    <t>n09</t>
  </si>
  <si>
    <t>n10</t>
  </si>
  <si>
    <t>n11</t>
  </si>
  <si>
    <t>n12</t>
  </si>
  <si>
    <t>n13</t>
  </si>
  <si>
    <t>from</t>
  </si>
  <si>
    <t>to</t>
  </si>
  <si>
    <t>Utilities</t>
  </si>
  <si>
    <t>p01</t>
  </si>
  <si>
    <t>p02</t>
  </si>
  <si>
    <t>p03</t>
  </si>
  <si>
    <t>p04</t>
  </si>
  <si>
    <t>p05</t>
  </si>
  <si>
    <t>p06</t>
  </si>
  <si>
    <t>p07</t>
  </si>
  <si>
    <t>p08</t>
  </si>
  <si>
    <t>p09</t>
  </si>
  <si>
    <t>p10</t>
  </si>
  <si>
    <t>p11</t>
  </si>
  <si>
    <t>d01</t>
  </si>
  <si>
    <t>d02</t>
  </si>
  <si>
    <t>Evapotranspiration</t>
  </si>
  <si>
    <t>d03</t>
  </si>
  <si>
    <t>d05</t>
  </si>
  <si>
    <t>d06</t>
  </si>
  <si>
    <t>d07</t>
  </si>
  <si>
    <t>Hydropower</t>
  </si>
  <si>
    <t>d08</t>
  </si>
  <si>
    <t>Infrastructure</t>
  </si>
  <si>
    <t>d10</t>
  </si>
  <si>
    <t>Meteorology</t>
  </si>
  <si>
    <t>d11</t>
  </si>
  <si>
    <t>Precipitation</t>
  </si>
  <si>
    <t>d12</t>
  </si>
  <si>
    <t>Regulatory</t>
  </si>
  <si>
    <t>d13</t>
  </si>
  <si>
    <t>d16</t>
  </si>
  <si>
    <t>Soil</t>
  </si>
  <si>
    <t>d17</t>
  </si>
  <si>
    <t>d18</t>
  </si>
  <si>
    <t>Built</t>
  </si>
  <si>
    <t>Natural</t>
  </si>
  <si>
    <t>Quality</t>
  </si>
  <si>
    <t>d04</t>
  </si>
  <si>
    <t>Quantity</t>
  </si>
  <si>
    <t>Extreme Events</t>
  </si>
  <si>
    <t>Glacial and Snow</t>
  </si>
  <si>
    <t>d09</t>
  </si>
  <si>
    <t>d14</t>
  </si>
  <si>
    <t>Use</t>
  </si>
  <si>
    <t>d15</t>
  </si>
  <si>
    <t>Irrigation</t>
  </si>
  <si>
    <t>Management Plans</t>
  </si>
  <si>
    <t>Streamflow</t>
  </si>
  <si>
    <t>lengthAvailable</t>
  </si>
  <si>
    <t>Period of Record</t>
  </si>
  <si>
    <t>Not Applicable</t>
  </si>
  <si>
    <t>Limited Record</t>
  </si>
  <si>
    <t>Administrative</t>
  </si>
  <si>
    <t>metadata</t>
  </si>
  <si>
    <t>dataDefinitions</t>
  </si>
  <si>
    <t>Administrative; Descriptive</t>
  </si>
  <si>
    <t>entity</t>
  </si>
  <si>
    <t>tier1and2entity</t>
  </si>
  <si>
    <t>entityID</t>
  </si>
  <si>
    <t>tier1and2entityID</t>
  </si>
  <si>
    <t>platformID</t>
  </si>
  <si>
    <t>platform</t>
  </si>
  <si>
    <t>webLabel</t>
  </si>
  <si>
    <t>easeDiscover</t>
  </si>
  <si>
    <t>methodDiscover</t>
  </si>
  <si>
    <t>easeAccess</t>
  </si>
  <si>
    <t>methodAccess</t>
  </si>
  <si>
    <t>fileFormat</t>
  </si>
  <si>
    <t>metadataFormat</t>
  </si>
  <si>
    <t>metaAttributes</t>
  </si>
  <si>
    <t>metadataStandards</t>
  </si>
  <si>
    <t>timeliness</t>
  </si>
  <si>
    <t>data</t>
  </si>
  <si>
    <t>dataCategory</t>
  </si>
  <si>
    <t>dataGroup</t>
  </si>
  <si>
    <t>dataID</t>
  </si>
  <si>
    <t>dataID - linked to dataNodes tab</t>
  </si>
  <si>
    <t>dataGroup - linked to dataNodes tab</t>
  </si>
  <si>
    <t>n14</t>
  </si>
  <si>
    <t>n15</t>
  </si>
  <si>
    <t>n16</t>
  </si>
  <si>
    <t>n17</t>
  </si>
  <si>
    <t>n18</t>
  </si>
  <si>
    <t>n19</t>
  </si>
  <si>
    <t>n20</t>
  </si>
  <si>
    <t>n21</t>
  </si>
  <si>
    <t>n22</t>
  </si>
  <si>
    <t>n23</t>
  </si>
  <si>
    <t>n24</t>
  </si>
  <si>
    <t>n25</t>
  </si>
  <si>
    <t>n26</t>
  </si>
  <si>
    <t>n27</t>
  </si>
  <si>
    <t>n28</t>
  </si>
  <si>
    <t>n29</t>
  </si>
  <si>
    <t>n30</t>
  </si>
  <si>
    <t>n31</t>
  </si>
  <si>
    <t>n32</t>
  </si>
  <si>
    <t>n33</t>
  </si>
  <si>
    <t>n34</t>
  </si>
  <si>
    <t>n35</t>
  </si>
  <si>
    <t>n36</t>
  </si>
  <si>
    <t>n37</t>
  </si>
  <si>
    <t>n38</t>
  </si>
  <si>
    <t>n39</t>
  </si>
  <si>
    <t>n40</t>
  </si>
  <si>
    <t>n41</t>
  </si>
  <si>
    <t>n42</t>
  </si>
  <si>
    <t>Executive Branch</t>
  </si>
  <si>
    <t>Agricultural Research Service</t>
  </si>
  <si>
    <t>National Agricultural Statistics Service</t>
  </si>
  <si>
    <t>Natural Resources Conservation Service</t>
  </si>
  <si>
    <t>Economic Research Service</t>
  </si>
  <si>
    <t>Department of Commerce</t>
  </si>
  <si>
    <t>National Oceanic and Atmospheric Administration</t>
  </si>
  <si>
    <t>National Weather Service</t>
  </si>
  <si>
    <t>Department of Defense</t>
  </si>
  <si>
    <t>Army Corps of Engineers</t>
  </si>
  <si>
    <t>Department of Energy</t>
  </si>
  <si>
    <t>Office of Energy Efficiency and Renewable Energy</t>
  </si>
  <si>
    <t>Water Power Technologies Office</t>
  </si>
  <si>
    <t>Oak Ridge National Laboratory</t>
  </si>
  <si>
    <t>Pacific Northwest National Laboratory</t>
  </si>
  <si>
    <t>Idaho National Laboratory</t>
  </si>
  <si>
    <t>Sandia National Laboratory</t>
  </si>
  <si>
    <t>National Renewable Energy Laboratory</t>
  </si>
  <si>
    <t>Argonne National Laboratory</t>
  </si>
  <si>
    <t>Energy Information Administration</t>
  </si>
  <si>
    <t>Department of Homeland Security</t>
  </si>
  <si>
    <t>Federal Emergency Management Agency</t>
  </si>
  <si>
    <t>National Protection and Programs Directorate</t>
  </si>
  <si>
    <t>Office of Infrastructure Protection</t>
  </si>
  <si>
    <t>Department of Interior</t>
  </si>
  <si>
    <t>Bureau of Reclamation</t>
  </si>
  <si>
    <t>Fish and Wildlife Service</t>
  </si>
  <si>
    <t>Geological Survey</t>
  </si>
  <si>
    <t>Department of Housing and Urban Development</t>
  </si>
  <si>
    <t>Department of Health and Human Services</t>
  </si>
  <si>
    <t>Centers for Disease Control and Prevention</t>
  </si>
  <si>
    <t>Independent Establishments and Government Corporations</t>
  </si>
  <si>
    <t>Environmental Protection Agency</t>
  </si>
  <si>
    <t>Federal Geospatial Data Committee</t>
  </si>
  <si>
    <t>General Services Administration</t>
  </si>
  <si>
    <t>National Aeronautics and Space Administration</t>
  </si>
  <si>
    <t>Science Mission Directorate</t>
  </si>
  <si>
    <t>Earth Science Division</t>
  </si>
  <si>
    <t>Tennessee Valley Authority</t>
  </si>
  <si>
    <t>Implement and enforce the laws written by Congress.</t>
  </si>
  <si>
    <t>https://www.whitehouse.gov/about-the-white-house/the-executive-branch/</t>
  </si>
  <si>
    <t>Provide leadership on food, agriculture, natural resoruces, rural development, nutrition, and related issues based on public policy, the best available science, and effective management.</t>
  </si>
  <si>
    <t>https://www.usda.gov/</t>
  </si>
  <si>
    <t>Conduct research to develop and transfer solutions to agricultural problems of high national priority.</t>
  </si>
  <si>
    <t>https://www.ars.usda.gov/</t>
  </si>
  <si>
    <t>Provide timely, accurate, and useful statistics in service to U.S. agriculture.</t>
  </si>
  <si>
    <t>https://www.nass.usda.gov/</t>
  </si>
  <si>
    <t>Provide resources to farmers and landowners to aid them with conservation.</t>
  </si>
  <si>
    <t>https://www.nrcs.usda.gov/</t>
  </si>
  <si>
    <t>Anticipate trends and emerging issues in agriculture, food, the environment, and rural America and to conduct high-quality, objective economic research to inform and enhance public and private decision making.</t>
  </si>
  <si>
    <t>https://www.ers.usda.gov/</t>
  </si>
  <si>
    <t>Promote job creation, economic growth, sustainable development, and improved living standards for all Americans by working in partnership with businesses, universities, communities, and workers.</t>
  </si>
  <si>
    <t>https://www.commerce.gov/</t>
  </si>
  <si>
    <t>To understand and predict changes in climate, weather, oceans, and coasts, to share that knowledge and information with others, and to conserve and manage coastal and marine ecosystems and resources.</t>
  </si>
  <si>
    <t>http://www.noaa.gov/</t>
  </si>
  <si>
    <t>Provide weather, water, and climate data, forecasts and warnings for the protection of life and property and enhancement of the national economy.</t>
  </si>
  <si>
    <t>https://www.weather.gov/</t>
  </si>
  <si>
    <t>Provide the military forces needed to deter war and to protect the security of our country.</t>
  </si>
  <si>
    <t>https://www.defense.gov/</t>
  </si>
  <si>
    <t>Provide timely, relevant, and accurate geospatial intelligence in support of national security.</t>
  </si>
  <si>
    <t>http://www.nga.mil/</t>
  </si>
  <si>
    <t>Deliver vital public and military engineering services; partnering in peace and war to strengthen our Nations security, energize the economy and reduce risks from disasters</t>
  </si>
  <si>
    <t>https://www.usace.army.mil/</t>
  </si>
  <si>
    <t>Ensure Americas security and prosperity by addressing its energy, environmental and nuclear challenges through transformative science and technology solutions.</t>
  </si>
  <si>
    <t>https://www.energy.gov/</t>
  </si>
  <si>
    <t>Create and sustain American leadership in the transition to a global clean energy economy.</t>
  </si>
  <si>
    <t>https://www.energy.gov/eere/water/</t>
  </si>
  <si>
    <t>Deliver scientific discoveries and technical breakthroughs that will accelerate the development and deployment of solutions in clean energy and global security.</t>
  </si>
  <si>
    <t>https://ornl.gov/</t>
  </si>
  <si>
    <t>Transform the world through courageous discovery and innovation.</t>
  </si>
  <si>
    <t>https://www.pnnl.gov/</t>
  </si>
  <si>
    <t>Discover, demonstrate, and secure innovative nuclear energy solutions, other clean energy options, and critical infrastructure.</t>
  </si>
  <si>
    <t>https://www.inl.gov/</t>
  </si>
  <si>
    <t>Develop advanced technologies to ensure global peace.</t>
  </si>
  <si>
    <t>https://www.sandia.gov/</t>
  </si>
  <si>
    <t>Advance the science and engineering of energy efficiency, sustainable transportation, and renewable power technologies and provide the knowledge to integrate and optimize energy systems.</t>
  </si>
  <si>
    <t>https://www.nrel.gov/</t>
  </si>
  <si>
    <t>Serve America as a science and energy laboratory distinguished by the breadth of R&amp;D capabilities in concert with a powerful suite of experimental and computational facilities.</t>
  </si>
  <si>
    <t>http://www.anl.gov/</t>
  </si>
  <si>
    <t>Collect, analyze, and disseminate independent and impartial energy information to promote sound policymaking, efficient markets, and public understanding of energy and its interaction with the economy and the environment.</t>
  </si>
  <si>
    <t>https://www.eia.gov/</t>
  </si>
  <si>
    <t>With honor and integrity, we will safeguard the American people, our homeland, and our values.</t>
  </si>
  <si>
    <t>https://www.dhs.gov/</t>
  </si>
  <si>
    <t>Helping people before, during, and after disasters.</t>
  </si>
  <si>
    <t>https://www.fema.gov/</t>
  </si>
  <si>
    <t>Lead the national effort to protect and enhance the resilience of the nations physical and cyber infrastructure.</t>
  </si>
  <si>
    <t>https://www.dhs.gov/national-protection-and-programs-directorate</t>
  </si>
  <si>
    <t>Lead the national effort to secure critical infrastructure from all hazards by managing risk and enhancing resilience through collaboration with the critical infrastructure community.</t>
  </si>
  <si>
    <t>https://www.dhs.gov/office-infrastructure-protection</t>
  </si>
  <si>
    <t>Protects and manage the Nations natural resources and cultural heritage; provide scientific and other information about those resources; and honor its trust responsibilities or special commitments to American Indians, Alaska Natives, and affiliated island communities.</t>
  </si>
  <si>
    <t>https://www.doi.gov/</t>
  </si>
  <si>
    <t>Manage, develop, and protect water and related resources in an environmentally and economically sound manner in the interest of the American public.</t>
  </si>
  <si>
    <t>https://www.usbr.gov/</t>
  </si>
  <si>
    <t>Working with others to conserve, protect, and enhance fish, wildlife, plants, and their habitats for the continuing benefit of the American people.</t>
  </si>
  <si>
    <t>https://www.fws.gov/</t>
  </si>
  <si>
    <t>To collect and disseminate reliable, impartial, and timely information that is needed to understand the Nations water resources.</t>
  </si>
  <si>
    <t>https://www.usgs.gov/</t>
  </si>
  <si>
    <t>https://www.usgs.gov/science/mission-areas/</t>
  </si>
  <si>
    <t>Create strong, sustainable, inclusive communities and quality affordable homes for all.</t>
  </si>
  <si>
    <t>https://www.hud.gov/</t>
  </si>
  <si>
    <t>Enhance and protect the health and well-being of all Americans.</t>
  </si>
  <si>
    <t>https://www.hhs.gov/</t>
  </si>
  <si>
    <t>Works 24/7 to protect America from health, safety and security threats, both foreign and in the U.S.</t>
  </si>
  <si>
    <t>https://www.cdc.gov/</t>
  </si>
  <si>
    <t>Address concerns that go beyond the scope of ordinary legislation.</t>
  </si>
  <si>
    <t>https://www.usa.gov/independent-agencies</t>
  </si>
  <si>
    <t>Protect human health and the environment.</t>
  </si>
  <si>
    <t>https://www.epa.gov/</t>
  </si>
  <si>
    <t>On going strategic planning to ensure continued investment of resources in high value programs, activities and technologies for the_advancement of the NSDI.</t>
  </si>
  <si>
    <t>https://fgdc.gov/</t>
  </si>
  <si>
    <t>Deliver value and savings in real estate, acquisition, technology, and other mission-support services across Government.</t>
  </si>
  <si>
    <t>https://www.gsa.gov/</t>
  </si>
  <si>
    <t>Drive advances in science, technology, aeronautics, and space exploration to enhance knowledge, education, innovation, economic vitality and stewardship of Earth.</t>
  </si>
  <si>
    <t>https://www.nasa.gov/</t>
  </si>
  <si>
    <t>Engages the Nations science community, sponsors scientific research, and develops and deploys satellites and probes in collaboration with NASAs partners around the world to answer fundamental questions requiring the view from and into space</t>
  </si>
  <si>
    <t>https://science.nasa.gov/</t>
  </si>
  <si>
    <t>Develop a scientific understanding of Earths system and its response to natural or human-induced changes, and to improve prediction of climate, weather, and natural hazards.</t>
  </si>
  <si>
    <t>https://science.nasa.gov/earth-science</t>
  </si>
  <si>
    <t>Serve the people of the Tennessee Valley to help the region thrive and grow.</t>
  </si>
  <si>
    <t>https://www.tva.gov/</t>
  </si>
  <si>
    <t>p51</t>
  </si>
  <si>
    <t>p34</t>
  </si>
  <si>
    <t>p24</t>
  </si>
  <si>
    <t>p49</t>
  </si>
  <si>
    <t>p52</t>
  </si>
  <si>
    <t>p30</t>
  </si>
  <si>
    <t>p35</t>
  </si>
  <si>
    <t>p33</t>
  </si>
  <si>
    <t>p25</t>
  </si>
  <si>
    <t>p26</t>
  </si>
  <si>
    <t>p29</t>
  </si>
  <si>
    <t>p41</t>
  </si>
  <si>
    <t>p37</t>
  </si>
  <si>
    <t>p42</t>
  </si>
  <si>
    <t>p36</t>
  </si>
  <si>
    <t>p15</t>
  </si>
  <si>
    <t>p31</t>
  </si>
  <si>
    <t>p44</t>
  </si>
  <si>
    <t>p38</t>
  </si>
  <si>
    <t>p27</t>
  </si>
  <si>
    <t>p39</t>
  </si>
  <si>
    <t>p53</t>
  </si>
  <si>
    <t>p48</t>
  </si>
  <si>
    <t>p16</t>
  </si>
  <si>
    <t>p17</t>
  </si>
  <si>
    <t>p14</t>
  </si>
  <si>
    <t>p40</t>
  </si>
  <si>
    <t>p50</t>
  </si>
  <si>
    <t>p54</t>
  </si>
  <si>
    <t>p47</t>
  </si>
  <si>
    <t>p13</t>
  </si>
  <si>
    <t>p43</t>
  </si>
  <si>
    <t>p18</t>
  </si>
  <si>
    <t>p46</t>
  </si>
  <si>
    <t>p45</t>
  </si>
  <si>
    <t>p19</t>
  </si>
  <si>
    <t>p28</t>
  </si>
  <si>
    <t>p20</t>
  </si>
  <si>
    <t>p21</t>
  </si>
  <si>
    <t>p22</t>
  </si>
  <si>
    <t>p12</t>
  </si>
  <si>
    <t>p23</t>
  </si>
  <si>
    <t>p55</t>
  </si>
  <si>
    <t>p32</t>
  </si>
  <si>
    <t>p56</t>
  </si>
  <si>
    <t>HSIN-CI Dams Portal</t>
  </si>
  <si>
    <t>Flood Map Service Center</t>
  </si>
  <si>
    <t>IP Gateway</t>
  </si>
  <si>
    <t>No Public Portal</t>
  </si>
  <si>
    <t>Corps CWMS</t>
  </si>
  <si>
    <t>Atmospheric Radiation Measurement</t>
  </si>
  <si>
    <t>Renewable and Alternative Fuels</t>
  </si>
  <si>
    <t>NREL Data Catalog</t>
  </si>
  <si>
    <t>HydroGIS Viewer</t>
  </si>
  <si>
    <t>National Groundwater Monitoring Network</t>
  </si>
  <si>
    <t>Hydromet</t>
  </si>
  <si>
    <t>Agrimet</t>
  </si>
  <si>
    <t>Reclamation Water Information System</t>
  </si>
  <si>
    <t>National Wetlands Inventory</t>
  </si>
  <si>
    <t>GroundwaterWatch</t>
  </si>
  <si>
    <t>National Water Census Data Portal</t>
  </si>
  <si>
    <t>National Water Information System</t>
  </si>
  <si>
    <t>StreamStats</t>
  </si>
  <si>
    <t>U.S. Water Monitor</t>
  </si>
  <si>
    <t>WaterAlert</t>
  </si>
  <si>
    <t>WaterQualityWatch</t>
  </si>
  <si>
    <t>WaterWatch</t>
  </si>
  <si>
    <t>NationalMap</t>
  </si>
  <si>
    <t>ATTAINS</t>
  </si>
  <si>
    <t>ECHO</t>
  </si>
  <si>
    <t>EnviroAtlas</t>
  </si>
  <si>
    <t>National Contaminant Occurrence Database</t>
  </si>
  <si>
    <t>Water Quality Portal</t>
  </si>
  <si>
    <t>GeoPlatform.Gov</t>
  </si>
  <si>
    <t>Data.Gov</t>
  </si>
  <si>
    <t>HealthData.Gov</t>
  </si>
  <si>
    <t>Data.CDC.Gov</t>
  </si>
  <si>
    <t>EGIS OpenData</t>
  </si>
  <si>
    <t>Alaska Satellite Facility DAAC</t>
  </si>
  <si>
    <t>Earthdata Search</t>
  </si>
  <si>
    <t>Goddard Earth Sciences Data and Information Services Center</t>
  </si>
  <si>
    <t>Global Hydrology Resource Center DAAC</t>
  </si>
  <si>
    <t>Land Processes DAAC</t>
  </si>
  <si>
    <t>National Snow and Ice Data Center DAAC</t>
  </si>
  <si>
    <t>Oak Ridge National Laboratory DAAC</t>
  </si>
  <si>
    <t>Giovanni</t>
  </si>
  <si>
    <t>Global Imagery Browse Services</t>
  </si>
  <si>
    <t>Socioeconomic Data and Applications Data Center</t>
  </si>
  <si>
    <t>Joint Agricultural Weather Facility</t>
  </si>
  <si>
    <t>TVA River Forecast Center</t>
  </si>
  <si>
    <t>Agricultural Research Database System</t>
  </si>
  <si>
    <t>QuickStats</t>
  </si>
  <si>
    <t>National Water and Climate Center</t>
  </si>
  <si>
    <t>Climate Data Online</t>
  </si>
  <si>
    <t>OneStop</t>
  </si>
  <si>
    <t>Advanced Hydrologic Prediction Service</t>
  </si>
  <si>
    <t>Climate Prediction Center</t>
  </si>
  <si>
    <t>National Operational Hydrologic Remote Sensing Center</t>
  </si>
  <si>
    <t>Precipitation Frequency Data Server</t>
  </si>
  <si>
    <t>National Water Model</t>
  </si>
  <si>
    <t>SDWIS Federal Reports Search</t>
  </si>
  <si>
    <t>Federal Emergency Management Administration</t>
  </si>
  <si>
    <t>National Geospatial Intelligence Agency</t>
  </si>
  <si>
    <t>United States Army Corps of Engineers</t>
  </si>
  <si>
    <t>Advisory Committee on Water Information</t>
  </si>
  <si>
    <t>United States Fish and Wildlife Service</t>
  </si>
  <si>
    <t>United States Geological Survey</t>
  </si>
  <si>
    <t>EPA, USGS, NWQMC</t>
  </si>
  <si>
    <t>NOAA, USDA</t>
  </si>
  <si>
    <t>DOE</t>
  </si>
  <si>
    <t>EPA</t>
  </si>
  <si>
    <t>FGDC</t>
  </si>
  <si>
    <t>GSA</t>
  </si>
  <si>
    <t>HHS</t>
  </si>
  <si>
    <t>HUD</t>
  </si>
  <si>
    <t>TVA</t>
  </si>
  <si>
    <t>https://www.dhs.gov/hsin-dams-portal</t>
  </si>
  <si>
    <t>https://msc.fema.gov/portal/home</t>
  </si>
  <si>
    <t>https://www.dhs.gov/ipgateway</t>
  </si>
  <si>
    <t>https://www.nga.mil/Pages/Default.aspx</t>
  </si>
  <si>
    <t>http://water.usace.army.mil</t>
  </si>
  <si>
    <t>https://www.arm.gov/data</t>
  </si>
  <si>
    <t>https://www.eia.gov/renewable/data.php#hydro</t>
  </si>
  <si>
    <t>https://data.nrel.gov/</t>
  </si>
  <si>
    <t>https://nhaap.ornl.gov/content/hydrogis-0</t>
  </si>
  <si>
    <t>https://cida.usgs.gov/ngwmn/index.jsp</t>
  </si>
  <si>
    <t>https://www.usbr.gov/pn/hydromet/</t>
  </si>
  <si>
    <t>https://www.usbr.gov/pn/agrimet/</t>
  </si>
  <si>
    <t>https://water.usbr.gov/</t>
  </si>
  <si>
    <t>https://www.fws.gov/wetlands/Data/Mapper.html</t>
  </si>
  <si>
    <t>https://groundwaterwatch.usgs.gov/</t>
  </si>
  <si>
    <t>https://cida.usgs.gov/nwc/</t>
  </si>
  <si>
    <t>https://waterdata.usgs.gov/nwis</t>
  </si>
  <si>
    <t>https://streamstats.usgs.gov/ss/</t>
  </si>
  <si>
    <t>https://watermonitor.gov/</t>
  </si>
  <si>
    <t>https://maps.waterdata.usgs.gov/mapper/wateralert/</t>
  </si>
  <si>
    <t>https://waterwatch.usgs.gov/wqwatch/</t>
  </si>
  <si>
    <t>https://waterwatch.usgs.gov/</t>
  </si>
  <si>
    <t>https://nationalmap.gov/</t>
  </si>
  <si>
    <t>https://www.epa.gov/waterdata/attains</t>
  </si>
  <si>
    <t>https://echo.epa.gov/</t>
  </si>
  <si>
    <t>https://www.epa.gov/enviroatlas</t>
  </si>
  <si>
    <t>https://www.epa.gov/dwstandardsregulations/national-contaminant-occurrence-database-ncod</t>
  </si>
  <si>
    <t>https://www.waterqualitydata.us/</t>
  </si>
  <si>
    <t>https://www.geoplatform.gov/</t>
  </si>
  <si>
    <t>https://www.data.gov/</t>
  </si>
  <si>
    <t>https://www.healthdata.gov/</t>
  </si>
  <si>
    <t>https://data.cdc.gov/</t>
  </si>
  <si>
    <t>https://egis-hud.opendata.arcgis.com/</t>
  </si>
  <si>
    <t>https://www.asf.alaska.edu/get-data/get-started/</t>
  </si>
  <si>
    <t>https://search.earthdata.nasa.gov/</t>
  </si>
  <si>
    <t>https://daac.gsfc.nasa.gov/</t>
  </si>
  <si>
    <t>https://ghrc.nsstc.nasa.gov/home/</t>
  </si>
  <si>
    <t>https://lpdaac.usgs.gov/</t>
  </si>
  <si>
    <t>https://nsidc.org/daac</t>
  </si>
  <si>
    <t>https://daac.ornl.gov/</t>
  </si>
  <si>
    <t>https://giovanni.gsfc.nasa.gov/giovanni/</t>
  </si>
  <si>
    <t>https://worldview.earthdata.nasa.gov/</t>
  </si>
  <si>
    <t>http://sedac.ciesin.columbia.edu/</t>
  </si>
  <si>
    <t>https://www.usda.gov/oce/weather/</t>
  </si>
  <si>
    <t>https://www.nrrig.mwa.ars.usda.gov/stewards/stewards.html</t>
  </si>
  <si>
    <t>https://quickstats.nass.usda.gov/</t>
  </si>
  <si>
    <t>https://www.wcc.nrcs.usda.gov/webmap/</t>
  </si>
  <si>
    <t>https://www.ncdc.noaa.gov/cdo-web/</t>
  </si>
  <si>
    <t>https://data.noaa.gov/onestop</t>
  </si>
  <si>
    <t>https://water.weather.gov/ahps/</t>
  </si>
  <si>
    <t>http://www.cpc.ncep.noaa.gov/products/monitoring_and_data/us.shtml</t>
  </si>
  <si>
    <t>https://www.nohrsc.noaa.gov/</t>
  </si>
  <si>
    <t>https://hdsc.nws.noaa.gov/hdsc/pfds/</t>
  </si>
  <si>
    <t>http://water.noaa.gov/map</t>
  </si>
  <si>
    <t>https://ofmpub.epa.gov/apex/sfdw/f?p=108:200::::::</t>
  </si>
  <si>
    <t>Permission Required</t>
  </si>
  <si>
    <t>Software Required</t>
  </si>
  <si>
    <t>Individual Export; Web Services</t>
  </si>
  <si>
    <t>pdf; software specific; shapefile</t>
  </si>
  <si>
    <t>Training Required</t>
  </si>
  <si>
    <t>Medium</t>
  </si>
  <si>
    <t>Map</t>
  </si>
  <si>
    <t>csv; png; image</t>
  </si>
  <si>
    <t>High</t>
  </si>
  <si>
    <t>Catalog</t>
  </si>
  <si>
    <t>Registration Required</t>
  </si>
  <si>
    <t>netCDF</t>
  </si>
  <si>
    <t>Batch Export</t>
  </si>
  <si>
    <t>excel</t>
  </si>
  <si>
    <t>Map; Website</t>
  </si>
  <si>
    <t>access; excel; shapefile</t>
  </si>
  <si>
    <t>csv; tsv; zip</t>
  </si>
  <si>
    <t>txt; excel; json</t>
  </si>
  <si>
    <t>Map; Catalog</t>
  </si>
  <si>
    <t>Web Services; Individual Export; Full Export</t>
  </si>
  <si>
    <t>json; csv; WML2; zip</t>
  </si>
  <si>
    <t>Web Services; Individual Export</t>
  </si>
  <si>
    <t>shapefile</t>
  </si>
  <si>
    <t>Individual Export; Link to Source</t>
  </si>
  <si>
    <t>shapefile; txt</t>
  </si>
  <si>
    <t>csv; pdf; shapefile</t>
  </si>
  <si>
    <t>csv; json</t>
  </si>
  <si>
    <t>Individual Export; Web Services; Batch Export</t>
  </si>
  <si>
    <t>shapefile; csv; json</t>
  </si>
  <si>
    <t>png; csv; html</t>
  </si>
  <si>
    <t>Web Services; Copy and Paste</t>
  </si>
  <si>
    <t>shapefile; json; csv; xml; txt; html</t>
  </si>
  <si>
    <t>FTP; Individual Export; Batch Export; Web Services</t>
  </si>
  <si>
    <t>raster; shapefile</t>
  </si>
  <si>
    <t>Individual Export; Batch Export</t>
  </si>
  <si>
    <t>shapefile; csv</t>
  </si>
  <si>
    <t>Individual Export; Batch Export; Web Services</t>
  </si>
  <si>
    <t>shapefile; excel; csv</t>
  </si>
  <si>
    <t>Web Services; FTP; Batch Export</t>
  </si>
  <si>
    <t>shapefile; csv; zip</t>
  </si>
  <si>
    <t>zip; txt</t>
  </si>
  <si>
    <t>Web Services; Batch Export</t>
  </si>
  <si>
    <t>csv; shapefile; tsv; excel; kml</t>
  </si>
  <si>
    <t>Web Services; Link to Source</t>
  </si>
  <si>
    <t>csv; json; xml; rdf</t>
  </si>
  <si>
    <t>Individual Export; Web Services; Link to Source</t>
  </si>
  <si>
    <t>csv; rdf; xml</t>
  </si>
  <si>
    <t>shapefile; excel</t>
  </si>
  <si>
    <t>Map; Catalog; Website</t>
  </si>
  <si>
    <t>image; pdf; shapefile; raster; hdf5; csv</t>
  </si>
  <si>
    <t>netcdf; hdf5</t>
  </si>
  <si>
    <t>Web Services; Individual Export; Batch Export</t>
  </si>
  <si>
    <t>Web Services; Batch Export; Individual Export</t>
  </si>
  <si>
    <t>Link to Source; Individual Export</t>
  </si>
  <si>
    <t>netCDF; raster; shapefile</t>
  </si>
  <si>
    <t>Copy and Paste; Individual Export</t>
  </si>
  <si>
    <t>html; csv; excel</t>
  </si>
  <si>
    <t>csv; html</t>
  </si>
  <si>
    <t>csv; txt; zip; pdf</t>
  </si>
  <si>
    <t>Web Services; FTP; Link to Source; Individual Export</t>
  </si>
  <si>
    <t>shapefile; csv; xml; txt; kmz</t>
  </si>
  <si>
    <t>netCDF; shapefile; raster; kmz</t>
  </si>
  <si>
    <t>Individual Export; Copy and Paste</t>
  </si>
  <si>
    <t>raster; shapefile; html; png</t>
  </si>
  <si>
    <t>Individual Export; FTP</t>
  </si>
  <si>
    <t>netCDF; raster; shapefile; zip</t>
  </si>
  <si>
    <t>FTP; Individual Export</t>
  </si>
  <si>
    <t>Website; Catalog</t>
  </si>
  <si>
    <t>csv</t>
  </si>
  <si>
    <t>Current Only</t>
  </si>
  <si>
    <t>xml</t>
  </si>
  <si>
    <t>Administrative; Descriptive; Structural</t>
  </si>
  <si>
    <t>Hybrid</t>
  </si>
  <si>
    <t>Daily or Higher</t>
  </si>
  <si>
    <t>in data</t>
  </si>
  <si>
    <t>Varies</t>
  </si>
  <si>
    <t>Descriptive; Structural</t>
  </si>
  <si>
    <t>Descriptive</t>
  </si>
  <si>
    <t>txt</t>
  </si>
  <si>
    <t>Some</t>
  </si>
  <si>
    <t>json</t>
  </si>
  <si>
    <t>HealthData.gov</t>
  </si>
  <si>
    <t>https://nhaap.ornl.gov/nsd</t>
  </si>
  <si>
    <t>https://www.tva.gov/Environment/Lake-Levels/</t>
  </si>
  <si>
    <t>https://lakeinfo.tva.gov/web/precip.htm</t>
  </si>
  <si>
    <t>https://www.tva.gov/Environment/Lake-Levels/Valley-Stream-Flows</t>
  </si>
  <si>
    <t>https://www.usbr.gov/pn/agrimet/wxdata.html</t>
  </si>
  <si>
    <t>https://viewer.nationalmap.gov/advanced-viewer/</t>
  </si>
  <si>
    <t>https://ofmpub.epa.gov/apex/sfdw/f?p=108:200:::NO:::</t>
  </si>
  <si>
    <t>Precipitation as Rain</t>
  </si>
  <si>
    <t>River Stage</t>
  </si>
  <si>
    <t>Wetland Extent</t>
  </si>
  <si>
    <t>Soil Moisture</t>
  </si>
  <si>
    <t>303d Assessment</t>
  </si>
  <si>
    <t>Source of Impairment</t>
  </si>
  <si>
    <t>TMDLs</t>
  </si>
  <si>
    <t>Designated Use</t>
  </si>
  <si>
    <t>Glacier and Snow Depth</t>
  </si>
  <si>
    <t>Soil Temperature</t>
  </si>
  <si>
    <t>Evaporation</t>
  </si>
  <si>
    <t>Glacier and Snow Water Equivalent</t>
  </si>
  <si>
    <t>Precipitation as Glacier and Snow</t>
  </si>
  <si>
    <t>Air Temperature</t>
  </si>
  <si>
    <t>Relative Humidity</t>
  </si>
  <si>
    <t>NID Information</t>
  </si>
  <si>
    <t>Streambed Elevation</t>
  </si>
  <si>
    <t>Reservoir Inflow</t>
  </si>
  <si>
    <t>Reservoir Stage</t>
  </si>
  <si>
    <t>Stream Discharge</t>
  </si>
  <si>
    <t>Stream Stage</t>
  </si>
  <si>
    <t>Volume Allocation</t>
  </si>
  <si>
    <t>USDA SNOTEL</t>
  </si>
  <si>
    <t>NOAA NCDC Data</t>
  </si>
  <si>
    <t>NOAA NEXRAD</t>
  </si>
  <si>
    <t>USDA STEWARDS</t>
  </si>
  <si>
    <t>USFWS NWI</t>
  </si>
  <si>
    <t>USGS NWIS</t>
  </si>
  <si>
    <t>Also Meteorology, Precipitation, Soil Moisture</t>
  </si>
  <si>
    <t>Flood Extent</t>
  </si>
  <si>
    <t>Water quality</t>
  </si>
  <si>
    <t>Facility Compliance</t>
  </si>
  <si>
    <t>Facility Enforcement Actions</t>
  </si>
  <si>
    <t>Facility Inspections</t>
  </si>
  <si>
    <t>Facility Penalties Assessed</t>
  </si>
  <si>
    <t>Facility Permits</t>
  </si>
  <si>
    <t>Facility Violations</t>
  </si>
  <si>
    <t>Number of High Hazard Potential Dams</t>
  </si>
  <si>
    <t>Length of Impairment</t>
  </si>
  <si>
    <t>Percolation from Agricultural Lands</t>
  </si>
  <si>
    <t>Subsurface Flow</t>
  </si>
  <si>
    <t>Surface Runoff</t>
  </si>
  <si>
    <t>Stream Density</t>
  </si>
  <si>
    <t>Stream Length</t>
  </si>
  <si>
    <t>Water Use by Industry</t>
  </si>
  <si>
    <t>Flood Boundary Map</t>
  </si>
  <si>
    <t>Flood Insurance Rate Map</t>
  </si>
  <si>
    <t>Flood Risk Map</t>
  </si>
  <si>
    <t>Hazus</t>
  </si>
  <si>
    <t>National Flood Hazard Layer</t>
  </si>
  <si>
    <t>EPA EnviroAtlas</t>
  </si>
  <si>
    <t>NASA Daymet</t>
  </si>
  <si>
    <t>NASA GLDAS</t>
  </si>
  <si>
    <t>EPA ATTAINS</t>
  </si>
  <si>
    <t>Glacier and Snow Cover</t>
  </si>
  <si>
    <t>Glacier and Snow Mass</t>
  </si>
  <si>
    <t>Groundwater Storage</t>
  </si>
  <si>
    <t>Terrestrial Water Storage</t>
  </si>
  <si>
    <t>Ground Temperature</t>
  </si>
  <si>
    <t>Wind Velocity</t>
  </si>
  <si>
    <t>Runoff</t>
  </si>
  <si>
    <t>Ice Temperature</t>
  </si>
  <si>
    <t>Ice Velocity</t>
  </si>
  <si>
    <t>Freeze/Thaw/Melt Status</t>
  </si>
  <si>
    <t>Glacier and Snow Melt</t>
  </si>
  <si>
    <t>Atmospheric Temperature</t>
  </si>
  <si>
    <t>Clouds</t>
  </si>
  <si>
    <t>Precipitable Water Vapor</t>
  </si>
  <si>
    <t>Specific Humidity</t>
  </si>
  <si>
    <t>Precipitation Frequency</t>
  </si>
  <si>
    <t>Precipitation Intensity</t>
  </si>
  <si>
    <t>Depth to Groundwater</t>
  </si>
  <si>
    <t>Lead</t>
  </si>
  <si>
    <t>Hydropower Plant Ownership</t>
  </si>
  <si>
    <t>Hydropower Plant Type</t>
  </si>
  <si>
    <t>Hydropower Plant Capacity</t>
  </si>
  <si>
    <t>Hydropower Plant Generation</t>
  </si>
  <si>
    <t>Potential Capacity from Non-Powered Dams</t>
  </si>
  <si>
    <t>Potential Capacity from Undeveloped Stream Reaches</t>
  </si>
  <si>
    <t>Alkalinity</t>
  </si>
  <si>
    <t>Blue Green Algae</t>
  </si>
  <si>
    <t>Chlorophyll</t>
  </si>
  <si>
    <t>Conductivity</t>
  </si>
  <si>
    <t>Dissolved Oxygen</t>
  </si>
  <si>
    <t>Percent Saturated Gas</t>
  </si>
  <si>
    <t>Turbidity</t>
  </si>
  <si>
    <t>Water Temperature</t>
  </si>
  <si>
    <t>Canal Discharge</t>
  </si>
  <si>
    <t>Canal Stage</t>
  </si>
  <si>
    <t>Reservoir Storage</t>
  </si>
  <si>
    <t>Drought Severity Index</t>
  </si>
  <si>
    <t>Regulated Contaminant Occurrence</t>
  </si>
  <si>
    <t>Unregulated Contaminant Occurrence</t>
  </si>
  <si>
    <t>Glacier Extent</t>
  </si>
  <si>
    <t>Glacier Speed</t>
  </si>
  <si>
    <t>Ice Sheet Elevation</t>
  </si>
  <si>
    <t>Ice Thickness</t>
  </si>
  <si>
    <t>Glacier and Snow Albedo</t>
  </si>
  <si>
    <t>Glacier and Snow Density</t>
  </si>
  <si>
    <t>Glacier and Snow Extent</t>
  </si>
  <si>
    <t>Glacier and Snow Grain Size</t>
  </si>
  <si>
    <t>Glacier and Snow Line Elevation</t>
  </si>
  <si>
    <t>Glacier and Snow Stratigraphy</t>
  </si>
  <si>
    <t>Glacier and Snow Wetness</t>
  </si>
  <si>
    <t>Surface Wetness</t>
  </si>
  <si>
    <t>Wind Speed</t>
  </si>
  <si>
    <t>Aluminum</t>
  </si>
  <si>
    <t>Antimony</t>
  </si>
  <si>
    <t>Arsenic</t>
  </si>
  <si>
    <t>Barium</t>
  </si>
  <si>
    <t>Beryllium</t>
  </si>
  <si>
    <t>Bicarbonate</t>
  </si>
  <si>
    <t>Boron</t>
  </si>
  <si>
    <t>Cadmium</t>
  </si>
  <si>
    <t>Calcium</t>
  </si>
  <si>
    <t>Carbonate</t>
  </si>
  <si>
    <t>Chloride</t>
  </si>
  <si>
    <t>Chromium</t>
  </si>
  <si>
    <t>Copper</t>
  </si>
  <si>
    <t>etc</t>
  </si>
  <si>
    <t>Fluoride</t>
  </si>
  <si>
    <t>Groundwater Temperature</t>
  </si>
  <si>
    <t>Hydroxide</t>
  </si>
  <si>
    <t>Iron</t>
  </si>
  <si>
    <t>Magnesium</t>
  </si>
  <si>
    <t>Manganese</t>
  </si>
  <si>
    <t>Molybdenum</t>
  </si>
  <si>
    <t>Nickel</t>
  </si>
  <si>
    <t>pH</t>
  </si>
  <si>
    <t>Phosphate</t>
  </si>
  <si>
    <t>Potassium</t>
  </si>
  <si>
    <t>Selenium</t>
  </si>
  <si>
    <t>Silica</t>
  </si>
  <si>
    <t>Silver</t>
  </si>
  <si>
    <t>Sodium</t>
  </si>
  <si>
    <t>Sulfate</t>
  </si>
  <si>
    <t>Thalliu</t>
  </si>
  <si>
    <t>Total Dissolved Solids</t>
  </si>
  <si>
    <t>Zinc</t>
  </si>
  <si>
    <t>Groundwater Flow</t>
  </si>
  <si>
    <t>Blowing Glacier and Snow Sublimation</t>
  </si>
  <si>
    <t>Glacier and Snow Temperature</t>
  </si>
  <si>
    <t>Surface Sublimation</t>
  </si>
  <si>
    <t>Discharge</t>
  </si>
  <si>
    <t>CDOM</t>
  </si>
  <si>
    <t>Chlorophyll a</t>
  </si>
  <si>
    <t>Nitrate plus nitrite</t>
  </si>
  <si>
    <t>Nitrite</t>
  </si>
  <si>
    <t>Phycocyanins</t>
  </si>
  <si>
    <t>Salinity</t>
  </si>
  <si>
    <t>Suspended Sediment</t>
  </si>
  <si>
    <t>Wind Direction</t>
  </si>
  <si>
    <t>Lake or Reservoir Stage</t>
  </si>
  <si>
    <t>Water Supply Source</t>
  </si>
  <si>
    <t>Wetland Type</t>
  </si>
  <si>
    <t>Glacier and Snowmelt</t>
  </si>
  <si>
    <t>Daymet</t>
  </si>
  <si>
    <t>Throughfall</t>
  </si>
  <si>
    <t>Water Irrigation Supply Condition</t>
  </si>
  <si>
    <t>Area Irrigated</t>
  </si>
  <si>
    <t>Area Irrigated by Source</t>
  </si>
  <si>
    <t>Irrigation Water Applied</t>
  </si>
  <si>
    <t>Number of operations with area irrigated</t>
  </si>
  <si>
    <t>Source of Irrigation Supply</t>
  </si>
  <si>
    <t>Reservoir Evaporation</t>
  </si>
  <si>
    <t>Reservoir Evaporation Rate</t>
  </si>
  <si>
    <t>Reservoir Area</t>
  </si>
  <si>
    <t>Reservoir Inflow Unregulated</t>
  </si>
  <si>
    <t>Reservoir Release</t>
  </si>
  <si>
    <t>Reservoir Release Bypass</t>
  </si>
  <si>
    <t>Reservoir Release Fish Trap</t>
  </si>
  <si>
    <t>Reservoir Release Hydropower</t>
  </si>
  <si>
    <t>Reservoir Release Outlet</t>
  </si>
  <si>
    <t>Reservoir Release Spillway</t>
  </si>
  <si>
    <t>Reservoir Release Total</t>
  </si>
  <si>
    <t>Tailrace Stage</t>
  </si>
  <si>
    <t>Canal Diversion</t>
  </si>
  <si>
    <t>Reservoir Diversion</t>
  </si>
  <si>
    <t>Water Pumped</t>
  </si>
  <si>
    <t>Reservoir and Dam Location</t>
  </si>
  <si>
    <t>Flood Frequency</t>
  </si>
  <si>
    <t>Watershed Delineation</t>
  </si>
  <si>
    <t>Flood Frequency Statistics</t>
  </si>
  <si>
    <t>Alachlor</t>
  </si>
  <si>
    <t>Ammonia</t>
  </si>
  <si>
    <t>Atrazine</t>
  </si>
  <si>
    <t>Calcium Carbonate</t>
  </si>
  <si>
    <t>Coliforms</t>
  </si>
  <si>
    <t>Enterococci</t>
  </si>
  <si>
    <t>Filtered Orthophosphate</t>
  </si>
  <si>
    <t>Metolachlor</t>
  </si>
  <si>
    <t>Nitrate</t>
  </si>
  <si>
    <t>Orthophosphate</t>
  </si>
  <si>
    <t>Secchi Depth</t>
  </si>
  <si>
    <t>Simazine</t>
  </si>
  <si>
    <t>Total Nitrogen</t>
  </si>
  <si>
    <t>Total Suspended Solids</t>
  </si>
  <si>
    <t>Sediment</t>
  </si>
  <si>
    <t>Reservoir Discharge</t>
  </si>
  <si>
    <t>Reservoir Operating Guide</t>
  </si>
  <si>
    <t>AMPA</t>
  </si>
  <si>
    <t>Benzene</t>
  </si>
  <si>
    <t>Chlordene</t>
  </si>
  <si>
    <t>Chloropropane</t>
  </si>
  <si>
    <t>Cyhalothrin</t>
  </si>
  <si>
    <t>Dichloroethene</t>
  </si>
  <si>
    <t>Dichloroethylene</t>
  </si>
  <si>
    <t>Dichloropropane</t>
  </si>
  <si>
    <t>Dichloropropanone</t>
  </si>
  <si>
    <t>Dichloropropene</t>
  </si>
  <si>
    <t>Dimethomorph</t>
  </si>
  <si>
    <t>Dimethylbiguanide</t>
  </si>
  <si>
    <t>Dimethylphenethylamine</t>
  </si>
  <si>
    <t>Dodecanediamine</t>
  </si>
  <si>
    <t>Endosulfan</t>
  </si>
  <si>
    <t>Epoxide</t>
  </si>
  <si>
    <t>Farnesol</t>
  </si>
  <si>
    <t>HCH-d6</t>
  </si>
  <si>
    <t>Heptachlor Epoxide</t>
  </si>
  <si>
    <t>Hexachlorocyclohexane</t>
  </si>
  <si>
    <t>Hexachloronapthalene</t>
  </si>
  <si>
    <t>Isoxazolepropanoic acid</t>
  </si>
  <si>
    <t>Menthol</t>
  </si>
  <si>
    <t>Oxytetracycline</t>
  </si>
  <si>
    <t>Permethrin</t>
  </si>
  <si>
    <t>Pinene</t>
  </si>
  <si>
    <t>Propanone</t>
  </si>
  <si>
    <t>Sitosterol</t>
  </si>
  <si>
    <t>Terpineol</t>
  </si>
  <si>
    <t>Tetrachloroethane</t>
  </si>
  <si>
    <t>Trichloroethane</t>
  </si>
  <si>
    <t>Trisilacyclohexane</t>
  </si>
  <si>
    <t>Flood Stage</t>
  </si>
  <si>
    <t>Dam Design</t>
  </si>
  <si>
    <t>Temperature, Relative Humidity, Wind Direction, Wind Speed, etc.</t>
  </si>
  <si>
    <t>evapotranspiration by crop type</t>
  </si>
  <si>
    <t>Streams, watersheds, elevation, land use</t>
  </si>
  <si>
    <t>Jusridictional boundaries, transportation, etc.</t>
  </si>
  <si>
    <t>Snow Water Equivalent</t>
  </si>
  <si>
    <t>Rivers and lakes</t>
  </si>
  <si>
    <t>Water Systems and Geography</t>
  </si>
  <si>
    <t>Enforcement and Violations</t>
  </si>
  <si>
    <t>Water Use</t>
  </si>
  <si>
    <t>Federal is the first type and a little out-dated. Need to remove duplicates for edges</t>
  </si>
  <si>
    <t>nMix</t>
  </si>
  <si>
    <t>ascii; xml; hdf5</t>
  </si>
  <si>
    <t>html; csv; xml; ascii; shapefile</t>
  </si>
  <si>
    <t>Web Services; FTP; Individual Export; Batch Export</t>
  </si>
  <si>
    <t>excel; ascii; zip</t>
  </si>
  <si>
    <t>heatmapLabel</t>
  </si>
  <si>
    <t>DHS-IP</t>
  </si>
  <si>
    <t>DHS-FEMA</t>
  </si>
  <si>
    <t>DOD-NGIA</t>
  </si>
  <si>
    <t>DOD-USACE</t>
  </si>
  <si>
    <t>DOE-EIA</t>
  </si>
  <si>
    <t>DOE-NREL</t>
  </si>
  <si>
    <t>DOE-ORNL</t>
  </si>
  <si>
    <t>DOI-ACWI</t>
  </si>
  <si>
    <t>DOI-BoR</t>
  </si>
  <si>
    <t>DOI-FWS</t>
  </si>
  <si>
    <t>DOI-GS</t>
  </si>
  <si>
    <t>HHS-CDC</t>
  </si>
  <si>
    <t>NASA-ESD</t>
  </si>
  <si>
    <t>USDA-ARS</t>
  </si>
  <si>
    <t>USDA-NASS</t>
  </si>
  <si>
    <t>DOC-NOAA</t>
  </si>
  <si>
    <t>DOC-NWS</t>
  </si>
  <si>
    <t>DHS-FEMA: Flood Map Service Center</t>
  </si>
  <si>
    <t>DHS-IP: IP Gateway</t>
  </si>
  <si>
    <t>DOD-NGIA: No Public Portal</t>
  </si>
  <si>
    <t>DOD-USACE: Corps CWMS</t>
  </si>
  <si>
    <t>DOE: Atmospheric Radiation Measurement</t>
  </si>
  <si>
    <t>DOE-EIA: Renewable and Alternative Fuels</t>
  </si>
  <si>
    <t>DOE-NREL: NREL Data Catalog</t>
  </si>
  <si>
    <t>DOE-ORNL: HydroGIS Viewer</t>
  </si>
  <si>
    <t>DOI-ACWI: National Groundwater Monitoring Network</t>
  </si>
  <si>
    <t>DOI-BoR: Hydromet</t>
  </si>
  <si>
    <t>DOI-BoR: Agrimet</t>
  </si>
  <si>
    <t>DOI-BoR: Reclamation Water Information System</t>
  </si>
  <si>
    <t>DOI-FWS: National Wetlands Inventory</t>
  </si>
  <si>
    <t>DOI-GS: GroundwaterWatch</t>
  </si>
  <si>
    <t>DOI-GS: National Water Census Data Portal</t>
  </si>
  <si>
    <t>DOI-GS: National Water Information System</t>
  </si>
  <si>
    <t>DOI-GS: StreamStats</t>
  </si>
  <si>
    <t>DOI-GS: U.S. Water Monitor</t>
  </si>
  <si>
    <t>DOI-GS: WaterAlert</t>
  </si>
  <si>
    <t>DOI-GS: WaterQualityWatch</t>
  </si>
  <si>
    <t>DOI-GS: WaterWatch</t>
  </si>
  <si>
    <t>DOI-GS: NationalMap</t>
  </si>
  <si>
    <t>EPA: ATTAINS</t>
  </si>
  <si>
    <t>EPA: ECHO</t>
  </si>
  <si>
    <t>EPA: EnviroAtlas</t>
  </si>
  <si>
    <t>EPA: National Contaminant Occurrence Database</t>
  </si>
  <si>
    <t>FGDC: GeoPlatform.Gov</t>
  </si>
  <si>
    <t>GSA: Data.Gov</t>
  </si>
  <si>
    <t>HHS: HealthData.Gov</t>
  </si>
  <si>
    <t>HHS-CDC: Data.CDC.Gov</t>
  </si>
  <si>
    <t>HUD: EGIS OpenData</t>
  </si>
  <si>
    <t>NASA-ESD: Alaska Satellite Facility DAAC</t>
  </si>
  <si>
    <t>NASA-ESD: Earthdata Search</t>
  </si>
  <si>
    <t>NASA-ESD: Goddard Earth Sciences Data and Information Services Center</t>
  </si>
  <si>
    <t>NASA-ESD: Global Hydrology Resource Center DAAC</t>
  </si>
  <si>
    <t>NASA-ESD: Land Processes DAAC</t>
  </si>
  <si>
    <t>NASA-ESD: National Snow and Ice Data Center DAAC</t>
  </si>
  <si>
    <t>NASA-ESD: Oak Ridge National Laboratory DAAC</t>
  </si>
  <si>
    <t>NASA-ESD: Giovanni</t>
  </si>
  <si>
    <t>NASA-ESD: Global Imagery Browse Services</t>
  </si>
  <si>
    <t>NASA-ESD: Socioeconomic Data and Applications Data Center</t>
  </si>
  <si>
    <t>USDA-ARS: Agricultural Research Database System</t>
  </si>
  <si>
    <t>USDA-NASS: QuickStats</t>
  </si>
  <si>
    <t>DOC-NOAA: Climate Data Online</t>
  </si>
  <si>
    <t>DOC-NOAA: OneStop</t>
  </si>
  <si>
    <t>DOC-NWS: Advanced Hydrologic Prediction Service</t>
  </si>
  <si>
    <t>DOC-NWS: Climate Prediction Center</t>
  </si>
  <si>
    <t>DOC-NWS: National Operational Hydrologic Remote Sensing Center</t>
  </si>
  <si>
    <t>DOC-NWS: Precipitation Frequency Data Server</t>
  </si>
  <si>
    <t>DOC-NOAA: National Water Model</t>
  </si>
  <si>
    <t>EPA: SDWIS Federal Reports Search</t>
  </si>
  <si>
    <t>TVA: River Forecast Center</t>
  </si>
  <si>
    <t>River Forecast Center</t>
  </si>
  <si>
    <t>Joint: Water Quality Portal</t>
  </si>
  <si>
    <t>Joint: Agricultural Weather Facility</t>
  </si>
  <si>
    <t>NA</t>
  </si>
  <si>
    <t>USDA-NRCS</t>
  </si>
  <si>
    <t>USDA-NRCS: National Water and Climate Center</t>
  </si>
  <si>
    <t>entityIDAbove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</si>
</sst>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2"/>
      <color theme="1"/>
      <name val="Calibri"/>
      <family val="2"/>
      <scheme val="minor"/>
    </font>
    <font>
      <b/>
      <sz val="12"/>
      <color theme="1"/>
      <name val="Calibri"/>
      <family val="2"/>
      <scheme val="minor"/>
    </font>
    <font>
      <sz val="10"/>
      <color rgb="FF000000"/>
      <name val="Arial"/>
      <family val="2"/>
    </font>
    <font>
      <u/>
      <sz val="12"/>
      <color theme="10"/>
      <name val="Calibri"/>
      <family val="2"/>
      <scheme val="minor"/>
    </font>
    <font>
      <b/>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2">
    <border>
      <left/>
      <right/>
      <top/>
      <bottom/>
      <diagonal/>
    </border>
    <border>
      <left/>
      <right/>
      <top/>
      <bottom style="thin">
        <color auto="1"/>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0" fillId="2" borderId="0" xfId="0" applyFill="1"/>
    <xf numFmtId="0" fontId="1" fillId="2" borderId="1" xfId="0" applyFont="1" applyFill="1" applyBorder="1" applyAlignment="1">
      <alignment horizontal="center"/>
    </xf>
    <xf numFmtId="0" fontId="1" fillId="2" borderId="0" xfId="0" applyFont="1" applyFill="1"/>
    <xf numFmtId="0" fontId="0" fillId="2" borderId="0" xfId="0" applyFill="1" applyAlignment="1">
      <alignment horizontal="center"/>
    </xf>
    <xf numFmtId="0" fontId="0" fillId="3" borderId="0" xfId="0" applyFill="1" applyAlignment="1">
      <alignment horizontal="center"/>
    </xf>
    <xf numFmtId="0" fontId="1" fillId="2" borderId="1" xfId="0" applyFont="1" applyFill="1" applyBorder="1"/>
    <xf numFmtId="0" fontId="3" fillId="2" borderId="0" xfId="1" applyFill="1"/>
    <xf numFmtId="0" fontId="0" fillId="3" borderId="0" xfId="0" applyFill="1"/>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4" fillId="2" borderId="0" xfId="0" applyFont="1" applyFill="1"/>
    <xf numFmtId="0" fontId="2" fillId="2" borderId="0" xfId="0" applyFont="1" applyFill="1"/>
    <xf numFmtId="0" fontId="1" fillId="2" borderId="0" xfId="0" applyFont="1" applyFill="1" applyAlignment="1">
      <alignment horizontal="center"/>
    </xf>
  </cellXfs>
  <cellStyles count="2">
    <cellStyle name="Hyperlink" xfId="1" builtinId="8"/>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tceq.texas.gov/permitting/water_rights/wr_technical-resources/wam.html" TargetMode="External"/><Relationship Id="rId3" Type="http://schemas.openxmlformats.org/officeDocument/2006/relationships/hyperlink" Target="https://tpwd.texas.gov/landwater/water/conservation/water_resources/water_quantity/sigsegs/" TargetMode="External"/><Relationship Id="rId7" Type="http://schemas.openxmlformats.org/officeDocument/2006/relationships/hyperlink" Target="https://www.tceq.texas.gov/permitting/water_rights/wr-permitting/wrwud" TargetMode="External"/><Relationship Id="rId2" Type="http://schemas.openxmlformats.org/officeDocument/2006/relationships/hyperlink" Target="https://tpwd.texas.gov/landwater/water/conservation/water_resources/water_quantity/pgma/" TargetMode="External"/><Relationship Id="rId1" Type="http://schemas.openxmlformats.org/officeDocument/2006/relationships/hyperlink" Target="http://www.texasagriculture.gov/Home/ProductionAgriculture/TheWaterSource.aspx" TargetMode="External"/><Relationship Id="rId6" Type="http://schemas.openxmlformats.org/officeDocument/2006/relationships/hyperlink" Target="https://www.tceq.texas.gov/drinkingwater" TargetMode="External"/><Relationship Id="rId5" Type="http://schemas.openxmlformats.org/officeDocument/2006/relationships/hyperlink" Target="https://tpwd.texas.gov/landwater/water/conservation/fwresources/reports.phtml" TargetMode="External"/><Relationship Id="rId10" Type="http://schemas.openxmlformats.org/officeDocument/2006/relationships/hyperlink" Target="https://www.tceq.texas.gov/waterquality/tmdl/nav/tmdlsegments" TargetMode="External"/><Relationship Id="rId4" Type="http://schemas.openxmlformats.org/officeDocument/2006/relationships/hyperlink" Target="https://tpwd.texas.gov/landwater/water/environconcerns/water_quality/wq_research/WQ_Reports.phtml" TargetMode="External"/><Relationship Id="rId9" Type="http://schemas.openxmlformats.org/officeDocument/2006/relationships/hyperlink" Target="https://www.tceq.texas.gov/waterquality/assessment/305_303.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tabSelected="1" zoomScale="80" zoomScaleNormal="80" workbookViewId="0">
      <selection activeCell="E2" sqref="E2"/>
    </sheetView>
  </sheetViews>
  <sheetFormatPr defaultRowHeight="15.6" x14ac:dyDescent="0.3"/>
  <cols>
    <col min="1" max="1" width="8.796875" style="1"/>
    <col min="2" max="2" width="19.19921875" style="1" customWidth="1"/>
    <col min="3" max="3" width="21.296875" style="1" customWidth="1"/>
    <col min="4" max="5" width="8.796875" style="1"/>
    <col min="6" max="6" width="24.69921875" style="1" customWidth="1"/>
    <col min="7" max="7" width="52.69921875" style="1" customWidth="1"/>
    <col min="8" max="16384" width="8.796875" style="1"/>
  </cols>
  <sheetData>
    <row r="1" spans="1:12" x14ac:dyDescent="0.3">
      <c r="A1" s="2" t="s">
        <v>99</v>
      </c>
      <c r="B1" s="2" t="s">
        <v>97</v>
      </c>
      <c r="C1" s="2" t="s">
        <v>98</v>
      </c>
      <c r="D1" s="2" t="s">
        <v>100</v>
      </c>
      <c r="E1" s="2" t="s">
        <v>853</v>
      </c>
      <c r="F1" s="2" t="s">
        <v>20</v>
      </c>
      <c r="G1" s="2" t="s">
        <v>21</v>
      </c>
      <c r="H1" s="2" t="s">
        <v>22</v>
      </c>
      <c r="I1" s="2" t="s">
        <v>23</v>
      </c>
      <c r="J1" s="2" t="s">
        <v>24</v>
      </c>
      <c r="K1" s="2" t="s">
        <v>25</v>
      </c>
      <c r="L1" s="2" t="s">
        <v>26</v>
      </c>
    </row>
    <row r="2" spans="1:12" x14ac:dyDescent="0.3">
      <c r="A2" s="1" t="s">
        <v>27</v>
      </c>
      <c r="B2" s="1" t="s">
        <v>148</v>
      </c>
      <c r="C2" s="1" t="s">
        <v>148</v>
      </c>
      <c r="D2" s="1">
        <v>1</v>
      </c>
      <c r="E2" s="1" t="s">
        <v>850</v>
      </c>
      <c r="F2" s="1" t="s">
        <v>187</v>
      </c>
      <c r="G2" s="1" t="s">
        <v>188</v>
      </c>
      <c r="H2" s="1" t="s">
        <v>5</v>
      </c>
      <c r="I2" s="1" t="s">
        <v>5</v>
      </c>
      <c r="J2" s="1" t="s">
        <v>5</v>
      </c>
      <c r="K2" s="1" t="s">
        <v>5</v>
      </c>
      <c r="L2" s="1">
        <v>1</v>
      </c>
    </row>
    <row r="3" spans="1:12" x14ac:dyDescent="0.3">
      <c r="A3" s="1" t="s">
        <v>28</v>
      </c>
      <c r="B3" s="1" t="s">
        <v>16</v>
      </c>
      <c r="C3" s="1" t="s">
        <v>16</v>
      </c>
      <c r="D3" s="1">
        <v>2</v>
      </c>
      <c r="E3" s="1" t="s">
        <v>27</v>
      </c>
      <c r="F3" s="1" t="s">
        <v>189</v>
      </c>
      <c r="G3" s="1" t="s">
        <v>190</v>
      </c>
      <c r="H3" s="1" t="s">
        <v>5</v>
      </c>
      <c r="I3" s="1" t="s">
        <v>5</v>
      </c>
      <c r="J3" s="1" t="s">
        <v>12</v>
      </c>
      <c r="K3" s="1" t="s">
        <v>5</v>
      </c>
      <c r="L3" s="1">
        <v>2</v>
      </c>
    </row>
    <row r="4" spans="1:12" x14ac:dyDescent="0.3">
      <c r="A4" s="1" t="s">
        <v>29</v>
      </c>
      <c r="B4" s="1" t="s">
        <v>149</v>
      </c>
      <c r="C4" s="1" t="s">
        <v>16</v>
      </c>
      <c r="D4" s="1">
        <v>2</v>
      </c>
      <c r="E4" s="1" t="s">
        <v>28</v>
      </c>
      <c r="F4" s="1" t="s">
        <v>191</v>
      </c>
      <c r="G4" s="1" t="s">
        <v>192</v>
      </c>
      <c r="H4" s="1" t="s">
        <v>12</v>
      </c>
      <c r="I4" s="1" t="s">
        <v>5</v>
      </c>
      <c r="J4" s="1" t="s">
        <v>12</v>
      </c>
      <c r="K4" s="1" t="s">
        <v>5</v>
      </c>
      <c r="L4" s="1">
        <v>3</v>
      </c>
    </row>
    <row r="5" spans="1:12" x14ac:dyDescent="0.3">
      <c r="A5" s="1" t="s">
        <v>30</v>
      </c>
      <c r="B5" s="1" t="s">
        <v>150</v>
      </c>
      <c r="C5" s="1" t="s">
        <v>16</v>
      </c>
      <c r="D5" s="1">
        <v>2</v>
      </c>
      <c r="E5" s="1" t="s">
        <v>28</v>
      </c>
      <c r="F5" s="1" t="s">
        <v>193</v>
      </c>
      <c r="G5" s="1" t="s">
        <v>194</v>
      </c>
      <c r="H5" s="1" t="s">
        <v>12</v>
      </c>
      <c r="I5" s="1" t="s">
        <v>5</v>
      </c>
      <c r="J5" s="1" t="s">
        <v>12</v>
      </c>
      <c r="K5" s="1" t="s">
        <v>12</v>
      </c>
      <c r="L5" s="1">
        <v>3</v>
      </c>
    </row>
    <row r="6" spans="1:12" x14ac:dyDescent="0.3">
      <c r="A6" s="1" t="s">
        <v>31</v>
      </c>
      <c r="B6" s="1" t="s">
        <v>151</v>
      </c>
      <c r="C6" s="1" t="s">
        <v>16</v>
      </c>
      <c r="D6" s="1">
        <v>2</v>
      </c>
      <c r="E6" s="1" t="s">
        <v>28</v>
      </c>
      <c r="F6" s="1" t="s">
        <v>195</v>
      </c>
      <c r="G6" s="1" t="s">
        <v>196</v>
      </c>
      <c r="H6" s="1" t="s">
        <v>5</v>
      </c>
      <c r="I6" s="1" t="s">
        <v>5</v>
      </c>
      <c r="J6" s="1" t="s">
        <v>12</v>
      </c>
      <c r="K6" s="1" t="s">
        <v>12</v>
      </c>
      <c r="L6" s="1">
        <v>3</v>
      </c>
    </row>
    <row r="7" spans="1:12" x14ac:dyDescent="0.3">
      <c r="A7" s="1" t="s">
        <v>32</v>
      </c>
      <c r="B7" s="1" t="s">
        <v>152</v>
      </c>
      <c r="C7" s="1" t="s">
        <v>16</v>
      </c>
      <c r="D7" s="1">
        <v>2</v>
      </c>
      <c r="E7" s="1" t="s">
        <v>28</v>
      </c>
      <c r="F7" s="1" t="s">
        <v>197</v>
      </c>
      <c r="G7" s="1" t="s">
        <v>198</v>
      </c>
      <c r="H7" s="1" t="s">
        <v>12</v>
      </c>
      <c r="I7" s="1" t="s">
        <v>5</v>
      </c>
      <c r="J7" s="1" t="s">
        <v>12</v>
      </c>
      <c r="K7" s="1" t="s">
        <v>5</v>
      </c>
      <c r="L7" s="1">
        <v>3</v>
      </c>
    </row>
    <row r="8" spans="1:12" x14ac:dyDescent="0.3">
      <c r="A8" s="1" t="s">
        <v>33</v>
      </c>
      <c r="B8" s="1" t="s">
        <v>153</v>
      </c>
      <c r="C8" s="1" t="s">
        <v>153</v>
      </c>
      <c r="D8" s="1">
        <v>3</v>
      </c>
      <c r="E8" s="1" t="s">
        <v>27</v>
      </c>
      <c r="F8" s="1" t="s">
        <v>199</v>
      </c>
      <c r="G8" s="1" t="s">
        <v>200</v>
      </c>
      <c r="H8" s="1" t="s">
        <v>5</v>
      </c>
      <c r="I8" s="1" t="s">
        <v>5</v>
      </c>
      <c r="J8" s="1" t="s">
        <v>12</v>
      </c>
      <c r="K8" s="1" t="s">
        <v>5</v>
      </c>
      <c r="L8" s="1">
        <v>2</v>
      </c>
    </row>
    <row r="9" spans="1:12" x14ac:dyDescent="0.3">
      <c r="A9" s="1" t="s">
        <v>34</v>
      </c>
      <c r="B9" s="1" t="s">
        <v>154</v>
      </c>
      <c r="C9" s="1" t="s">
        <v>153</v>
      </c>
      <c r="D9" s="1">
        <v>3</v>
      </c>
      <c r="E9" s="1" t="s">
        <v>33</v>
      </c>
      <c r="F9" s="12" t="s">
        <v>201</v>
      </c>
      <c r="G9" s="1" t="s">
        <v>202</v>
      </c>
      <c r="H9" s="1" t="s">
        <v>5</v>
      </c>
      <c r="I9" s="1" t="s">
        <v>5</v>
      </c>
      <c r="J9" s="1" t="s">
        <v>12</v>
      </c>
      <c r="K9" s="1" t="s">
        <v>5</v>
      </c>
      <c r="L9" s="1">
        <v>3</v>
      </c>
    </row>
    <row r="10" spans="1:12" x14ac:dyDescent="0.3">
      <c r="A10" s="1" t="s">
        <v>35</v>
      </c>
      <c r="B10" s="1" t="s">
        <v>155</v>
      </c>
      <c r="C10" s="1" t="s">
        <v>153</v>
      </c>
      <c r="D10" s="1">
        <v>3</v>
      </c>
      <c r="E10" s="1" t="s">
        <v>34</v>
      </c>
      <c r="F10" s="1" t="s">
        <v>203</v>
      </c>
      <c r="G10" s="1" t="s">
        <v>204</v>
      </c>
      <c r="H10" s="1" t="s">
        <v>5</v>
      </c>
      <c r="I10" s="1" t="s">
        <v>5</v>
      </c>
      <c r="J10" s="1" t="s">
        <v>12</v>
      </c>
      <c r="K10" s="1" t="s">
        <v>5</v>
      </c>
      <c r="L10" s="1">
        <v>4</v>
      </c>
    </row>
    <row r="11" spans="1:12" x14ac:dyDescent="0.3">
      <c r="A11" s="1" t="s">
        <v>36</v>
      </c>
      <c r="B11" s="1" t="s">
        <v>156</v>
      </c>
      <c r="C11" s="1" t="s">
        <v>156</v>
      </c>
      <c r="D11" s="1">
        <v>4</v>
      </c>
      <c r="E11" s="1" t="s">
        <v>27</v>
      </c>
      <c r="F11" s="1" t="s">
        <v>205</v>
      </c>
      <c r="G11" s="1" t="s">
        <v>206</v>
      </c>
      <c r="H11" s="1" t="s">
        <v>5</v>
      </c>
      <c r="I11" s="1" t="s">
        <v>5</v>
      </c>
      <c r="J11" s="1" t="s">
        <v>5</v>
      </c>
      <c r="K11" s="1" t="s">
        <v>12</v>
      </c>
      <c r="L11" s="1">
        <v>2</v>
      </c>
    </row>
    <row r="12" spans="1:12" x14ac:dyDescent="0.3">
      <c r="A12" s="1" t="s">
        <v>37</v>
      </c>
      <c r="B12" s="1" t="s">
        <v>370</v>
      </c>
      <c r="C12" s="1" t="s">
        <v>156</v>
      </c>
      <c r="D12" s="1">
        <v>4</v>
      </c>
      <c r="E12" s="1" t="s">
        <v>36</v>
      </c>
      <c r="F12" s="1" t="s">
        <v>207</v>
      </c>
      <c r="G12" s="1" t="s">
        <v>208</v>
      </c>
      <c r="H12" s="1" t="s">
        <v>5</v>
      </c>
      <c r="I12" s="1" t="s">
        <v>5</v>
      </c>
      <c r="J12" s="1" t="s">
        <v>12</v>
      </c>
      <c r="K12" s="1" t="s">
        <v>12</v>
      </c>
      <c r="L12" s="1">
        <v>3</v>
      </c>
    </row>
    <row r="13" spans="1:12" x14ac:dyDescent="0.3">
      <c r="A13" s="1" t="s">
        <v>38</v>
      </c>
      <c r="B13" s="1" t="s">
        <v>157</v>
      </c>
      <c r="C13" s="1" t="s">
        <v>156</v>
      </c>
      <c r="D13" s="1">
        <v>4</v>
      </c>
      <c r="E13" s="1" t="s">
        <v>36</v>
      </c>
      <c r="F13" s="1" t="s">
        <v>209</v>
      </c>
      <c r="G13" s="1" t="s">
        <v>210</v>
      </c>
      <c r="H13" s="1" t="s">
        <v>5</v>
      </c>
      <c r="I13" s="1" t="s">
        <v>5</v>
      </c>
      <c r="J13" s="1" t="s">
        <v>5</v>
      </c>
      <c r="K13" s="1" t="s">
        <v>12</v>
      </c>
      <c r="L13" s="1">
        <v>3</v>
      </c>
    </row>
    <row r="14" spans="1:12" x14ac:dyDescent="0.3">
      <c r="A14" s="1" t="s">
        <v>39</v>
      </c>
      <c r="B14" s="1" t="s">
        <v>158</v>
      </c>
      <c r="C14" s="1" t="s">
        <v>158</v>
      </c>
      <c r="D14" s="1">
        <v>5</v>
      </c>
      <c r="E14" s="1" t="s">
        <v>27</v>
      </c>
      <c r="F14" s="1" t="s">
        <v>211</v>
      </c>
      <c r="G14" s="1" t="s">
        <v>212</v>
      </c>
      <c r="H14" s="1" t="s">
        <v>12</v>
      </c>
      <c r="I14" s="1" t="s">
        <v>5</v>
      </c>
      <c r="J14" s="1" t="s">
        <v>12</v>
      </c>
      <c r="K14" s="1" t="s">
        <v>5</v>
      </c>
      <c r="L14" s="1">
        <v>2</v>
      </c>
    </row>
    <row r="15" spans="1:12" x14ac:dyDescent="0.3">
      <c r="A15" s="1" t="s">
        <v>119</v>
      </c>
      <c r="B15" s="1" t="s">
        <v>159</v>
      </c>
      <c r="C15" s="1" t="s">
        <v>158</v>
      </c>
      <c r="D15" s="1">
        <v>5</v>
      </c>
      <c r="E15" s="1" t="s">
        <v>39</v>
      </c>
      <c r="F15" s="1" t="s">
        <v>213</v>
      </c>
      <c r="G15" s="1" t="s">
        <v>214</v>
      </c>
      <c r="H15" s="1" t="s">
        <v>12</v>
      </c>
      <c r="I15" s="1" t="s">
        <v>5</v>
      </c>
      <c r="J15" s="1" t="s">
        <v>12</v>
      </c>
      <c r="K15" s="1" t="s">
        <v>5</v>
      </c>
      <c r="L15" s="1">
        <v>3</v>
      </c>
    </row>
    <row r="16" spans="1:12" x14ac:dyDescent="0.3">
      <c r="A16" s="1" t="s">
        <v>120</v>
      </c>
      <c r="B16" s="1" t="s">
        <v>160</v>
      </c>
      <c r="C16" s="1" t="s">
        <v>158</v>
      </c>
      <c r="D16" s="1">
        <v>5</v>
      </c>
      <c r="E16" s="1" t="s">
        <v>119</v>
      </c>
      <c r="G16" s="1" t="s">
        <v>214</v>
      </c>
      <c r="H16" s="1" t="s">
        <v>12</v>
      </c>
      <c r="I16" s="1" t="s">
        <v>5</v>
      </c>
      <c r="J16" s="1" t="s">
        <v>12</v>
      </c>
      <c r="K16" s="1" t="s">
        <v>5</v>
      </c>
      <c r="L16" s="1">
        <v>4</v>
      </c>
    </row>
    <row r="17" spans="1:12" x14ac:dyDescent="0.3">
      <c r="A17" s="1" t="s">
        <v>121</v>
      </c>
      <c r="B17" s="1" t="s">
        <v>161</v>
      </c>
      <c r="C17" s="1" t="s">
        <v>158</v>
      </c>
      <c r="D17" s="1">
        <v>5</v>
      </c>
      <c r="E17" s="1" t="s">
        <v>120</v>
      </c>
      <c r="F17" s="1" t="s">
        <v>215</v>
      </c>
      <c r="G17" s="1" t="s">
        <v>216</v>
      </c>
      <c r="H17" s="1" t="s">
        <v>12</v>
      </c>
      <c r="I17" s="1" t="s">
        <v>5</v>
      </c>
      <c r="J17" s="1" t="s">
        <v>12</v>
      </c>
      <c r="K17" s="1" t="s">
        <v>5</v>
      </c>
      <c r="L17" s="1">
        <v>5</v>
      </c>
    </row>
    <row r="18" spans="1:12" x14ac:dyDescent="0.3">
      <c r="A18" s="1" t="s">
        <v>122</v>
      </c>
      <c r="B18" s="1" t="s">
        <v>162</v>
      </c>
      <c r="C18" s="1" t="s">
        <v>158</v>
      </c>
      <c r="D18" s="1">
        <v>5</v>
      </c>
      <c r="E18" s="1" t="s">
        <v>120</v>
      </c>
      <c r="F18" s="1" t="s">
        <v>217</v>
      </c>
      <c r="G18" s="1" t="s">
        <v>218</v>
      </c>
      <c r="H18" s="1" t="s">
        <v>12</v>
      </c>
      <c r="I18" s="1" t="s">
        <v>12</v>
      </c>
      <c r="J18" s="1" t="s">
        <v>12</v>
      </c>
      <c r="K18" s="1" t="s">
        <v>5</v>
      </c>
      <c r="L18" s="1">
        <v>5</v>
      </c>
    </row>
    <row r="19" spans="1:12" x14ac:dyDescent="0.3">
      <c r="A19" s="1" t="s">
        <v>123</v>
      </c>
      <c r="B19" s="1" t="s">
        <v>163</v>
      </c>
      <c r="C19" s="1" t="s">
        <v>158</v>
      </c>
      <c r="D19" s="1">
        <v>5</v>
      </c>
      <c r="E19" s="1" t="s">
        <v>120</v>
      </c>
      <c r="F19" s="1" t="s">
        <v>219</v>
      </c>
      <c r="G19" s="1" t="s">
        <v>220</v>
      </c>
      <c r="H19" s="1" t="s">
        <v>12</v>
      </c>
      <c r="I19" s="1" t="s">
        <v>12</v>
      </c>
      <c r="J19" s="1" t="s">
        <v>12</v>
      </c>
      <c r="K19" s="1" t="s">
        <v>5</v>
      </c>
      <c r="L19" s="1">
        <v>5</v>
      </c>
    </row>
    <row r="20" spans="1:12" x14ac:dyDescent="0.3">
      <c r="A20" s="1" t="s">
        <v>124</v>
      </c>
      <c r="B20" s="1" t="s">
        <v>164</v>
      </c>
      <c r="C20" s="1" t="s">
        <v>158</v>
      </c>
      <c r="D20" s="1">
        <v>5</v>
      </c>
      <c r="E20" s="1" t="s">
        <v>120</v>
      </c>
      <c r="F20" s="1" t="s">
        <v>221</v>
      </c>
      <c r="G20" s="1" t="s">
        <v>222</v>
      </c>
      <c r="H20" s="1" t="s">
        <v>12</v>
      </c>
      <c r="I20" s="1" t="s">
        <v>12</v>
      </c>
      <c r="J20" s="1" t="s">
        <v>12</v>
      </c>
      <c r="K20" s="1" t="s">
        <v>5</v>
      </c>
      <c r="L20" s="1">
        <v>5</v>
      </c>
    </row>
    <row r="21" spans="1:12" x14ac:dyDescent="0.3">
      <c r="A21" s="1" t="s">
        <v>125</v>
      </c>
      <c r="B21" s="1" t="s">
        <v>165</v>
      </c>
      <c r="C21" s="1" t="s">
        <v>158</v>
      </c>
      <c r="D21" s="1">
        <v>5</v>
      </c>
      <c r="E21" s="1" t="s">
        <v>120</v>
      </c>
      <c r="F21" s="1" t="s">
        <v>223</v>
      </c>
      <c r="G21" s="1" t="s">
        <v>224</v>
      </c>
      <c r="H21" s="1" t="s">
        <v>12</v>
      </c>
      <c r="I21" s="1" t="s">
        <v>5</v>
      </c>
      <c r="J21" s="1" t="s">
        <v>12</v>
      </c>
      <c r="K21" s="1" t="s">
        <v>5</v>
      </c>
      <c r="L21" s="1">
        <v>5</v>
      </c>
    </row>
    <row r="22" spans="1:12" x14ac:dyDescent="0.3">
      <c r="A22" s="1" t="s">
        <v>126</v>
      </c>
      <c r="B22" s="1" t="s">
        <v>166</v>
      </c>
      <c r="C22" s="1" t="s">
        <v>158</v>
      </c>
      <c r="D22" s="1">
        <v>5</v>
      </c>
      <c r="E22" s="1" t="s">
        <v>120</v>
      </c>
      <c r="F22" s="1" t="s">
        <v>225</v>
      </c>
      <c r="G22" s="1" t="s">
        <v>226</v>
      </c>
      <c r="H22" s="1" t="s">
        <v>12</v>
      </c>
      <c r="I22" s="1" t="s">
        <v>12</v>
      </c>
      <c r="J22" s="1" t="s">
        <v>12</v>
      </c>
      <c r="K22" s="1" t="s">
        <v>5</v>
      </c>
      <c r="L22" s="1">
        <v>5</v>
      </c>
    </row>
    <row r="23" spans="1:12" x14ac:dyDescent="0.3">
      <c r="A23" s="1" t="s">
        <v>127</v>
      </c>
      <c r="B23" s="1" t="s">
        <v>167</v>
      </c>
      <c r="C23" s="1" t="s">
        <v>158</v>
      </c>
      <c r="D23" s="1">
        <v>5</v>
      </c>
      <c r="E23" s="1" t="s">
        <v>39</v>
      </c>
      <c r="F23" s="1" t="s">
        <v>227</v>
      </c>
      <c r="G23" s="1" t="s">
        <v>228</v>
      </c>
      <c r="H23" s="1" t="s">
        <v>12</v>
      </c>
      <c r="I23" s="1" t="s">
        <v>5</v>
      </c>
      <c r="J23" s="1" t="s">
        <v>12</v>
      </c>
      <c r="K23" s="1" t="s">
        <v>12</v>
      </c>
      <c r="L23" s="1">
        <v>3</v>
      </c>
    </row>
    <row r="24" spans="1:12" x14ac:dyDescent="0.3">
      <c r="A24" s="1" t="s">
        <v>128</v>
      </c>
      <c r="B24" s="1" t="s">
        <v>168</v>
      </c>
      <c r="C24" s="1" t="s">
        <v>168</v>
      </c>
      <c r="D24" s="1">
        <v>6</v>
      </c>
      <c r="E24" s="1" t="s">
        <v>27</v>
      </c>
      <c r="F24" s="1" t="s">
        <v>229</v>
      </c>
      <c r="G24" s="1" t="s">
        <v>230</v>
      </c>
      <c r="H24" s="1" t="s">
        <v>5</v>
      </c>
      <c r="I24" s="1" t="s">
        <v>5</v>
      </c>
      <c r="J24" s="1" t="s">
        <v>5</v>
      </c>
      <c r="K24" s="1" t="s">
        <v>12</v>
      </c>
      <c r="L24" s="1">
        <v>2</v>
      </c>
    </row>
    <row r="25" spans="1:12" x14ac:dyDescent="0.3">
      <c r="A25" s="1" t="s">
        <v>129</v>
      </c>
      <c r="B25" s="1" t="s">
        <v>169</v>
      </c>
      <c r="C25" s="1" t="s">
        <v>168</v>
      </c>
      <c r="D25" s="1">
        <v>6</v>
      </c>
      <c r="E25" s="1" t="s">
        <v>128</v>
      </c>
      <c r="F25" s="1" t="s">
        <v>231</v>
      </c>
      <c r="G25" s="1" t="s">
        <v>232</v>
      </c>
      <c r="H25" s="1" t="s">
        <v>5</v>
      </c>
      <c r="I25" s="1" t="s">
        <v>5</v>
      </c>
      <c r="J25" s="1" t="s">
        <v>5</v>
      </c>
      <c r="K25" s="1" t="s">
        <v>12</v>
      </c>
      <c r="L25" s="1">
        <v>3</v>
      </c>
    </row>
    <row r="26" spans="1:12" x14ac:dyDescent="0.3">
      <c r="A26" s="1" t="s">
        <v>130</v>
      </c>
      <c r="B26" s="1" t="s">
        <v>170</v>
      </c>
      <c r="C26" s="1" t="s">
        <v>168</v>
      </c>
      <c r="D26" s="1">
        <v>6</v>
      </c>
      <c r="E26" s="1" t="s">
        <v>128</v>
      </c>
      <c r="F26" s="1" t="s">
        <v>233</v>
      </c>
      <c r="G26" s="1" t="s">
        <v>234</v>
      </c>
      <c r="H26" s="1" t="s">
        <v>12</v>
      </c>
      <c r="I26" s="1" t="s">
        <v>5</v>
      </c>
      <c r="J26" s="1" t="s">
        <v>12</v>
      </c>
      <c r="K26" s="1" t="s">
        <v>12</v>
      </c>
      <c r="L26" s="1">
        <v>3</v>
      </c>
    </row>
    <row r="27" spans="1:12" x14ac:dyDescent="0.3">
      <c r="A27" s="1" t="s">
        <v>131</v>
      </c>
      <c r="B27" s="1" t="s">
        <v>171</v>
      </c>
      <c r="C27" s="1" t="s">
        <v>168</v>
      </c>
      <c r="D27" s="1">
        <v>6</v>
      </c>
      <c r="E27" s="1" t="s">
        <v>130</v>
      </c>
      <c r="F27" s="1" t="s">
        <v>235</v>
      </c>
      <c r="G27" s="1" t="s">
        <v>236</v>
      </c>
      <c r="H27" s="1" t="s">
        <v>12</v>
      </c>
      <c r="I27" s="1" t="s">
        <v>5</v>
      </c>
      <c r="J27" s="1" t="s">
        <v>12</v>
      </c>
      <c r="K27" s="1" t="s">
        <v>12</v>
      </c>
      <c r="L27" s="1">
        <v>4</v>
      </c>
    </row>
    <row r="28" spans="1:12" x14ac:dyDescent="0.3">
      <c r="A28" s="1" t="s">
        <v>132</v>
      </c>
      <c r="B28" s="1" t="s">
        <v>172</v>
      </c>
      <c r="C28" s="1" t="s">
        <v>172</v>
      </c>
      <c r="D28" s="1">
        <v>7</v>
      </c>
      <c r="E28" s="1" t="s">
        <v>27</v>
      </c>
      <c r="F28" s="1" t="s">
        <v>237</v>
      </c>
      <c r="G28" s="1" t="s">
        <v>238</v>
      </c>
      <c r="H28" s="1" t="s">
        <v>5</v>
      </c>
      <c r="I28" s="1" t="s">
        <v>5</v>
      </c>
      <c r="J28" s="1" t="s">
        <v>5</v>
      </c>
      <c r="K28" s="1" t="s">
        <v>5</v>
      </c>
      <c r="L28" s="1">
        <v>2</v>
      </c>
    </row>
    <row r="29" spans="1:12" x14ac:dyDescent="0.3">
      <c r="A29" s="1" t="s">
        <v>133</v>
      </c>
      <c r="B29" s="1" t="s">
        <v>173</v>
      </c>
      <c r="C29" s="1" t="s">
        <v>172</v>
      </c>
      <c r="D29" s="1">
        <v>7</v>
      </c>
      <c r="E29" s="1" t="s">
        <v>132</v>
      </c>
      <c r="F29" s="1" t="s">
        <v>239</v>
      </c>
      <c r="G29" s="1" t="s">
        <v>240</v>
      </c>
      <c r="H29" s="1" t="s">
        <v>5</v>
      </c>
      <c r="I29" s="1" t="s">
        <v>5</v>
      </c>
      <c r="J29" s="1" t="s">
        <v>5</v>
      </c>
      <c r="K29" s="1" t="s">
        <v>5</v>
      </c>
      <c r="L29" s="1">
        <v>3</v>
      </c>
    </row>
    <row r="30" spans="1:12" x14ac:dyDescent="0.3">
      <c r="A30" s="1" t="s">
        <v>134</v>
      </c>
      <c r="B30" s="1" t="s">
        <v>174</v>
      </c>
      <c r="C30" s="1" t="s">
        <v>172</v>
      </c>
      <c r="D30" s="1">
        <v>7</v>
      </c>
      <c r="E30" s="1" t="s">
        <v>132</v>
      </c>
      <c r="F30" s="1" t="s">
        <v>241</v>
      </c>
      <c r="G30" s="1" t="s">
        <v>242</v>
      </c>
      <c r="H30" s="1" t="s">
        <v>5</v>
      </c>
      <c r="I30" s="1" t="s">
        <v>5</v>
      </c>
      <c r="J30" s="1" t="s">
        <v>5</v>
      </c>
      <c r="K30" s="1" t="s">
        <v>5</v>
      </c>
      <c r="L30" s="1">
        <v>3</v>
      </c>
    </row>
    <row r="31" spans="1:12" x14ac:dyDescent="0.3">
      <c r="A31" s="1" t="s">
        <v>135</v>
      </c>
      <c r="B31" s="1" t="s">
        <v>175</v>
      </c>
      <c r="C31" s="1" t="s">
        <v>172</v>
      </c>
      <c r="D31" s="1">
        <v>7</v>
      </c>
      <c r="E31" s="1" t="s">
        <v>132</v>
      </c>
      <c r="F31" s="1" t="s">
        <v>243</v>
      </c>
      <c r="G31" s="1" t="s">
        <v>244</v>
      </c>
      <c r="H31" s="1" t="s">
        <v>12</v>
      </c>
      <c r="I31" s="1" t="s">
        <v>5</v>
      </c>
      <c r="J31" s="1" t="s">
        <v>12</v>
      </c>
      <c r="K31" s="1" t="s">
        <v>5</v>
      </c>
      <c r="L31" s="1">
        <v>3</v>
      </c>
    </row>
    <row r="32" spans="1:12" x14ac:dyDescent="0.3">
      <c r="A32" s="1" t="s">
        <v>136</v>
      </c>
      <c r="B32" s="1" t="s">
        <v>1</v>
      </c>
      <c r="C32" s="1" t="s">
        <v>172</v>
      </c>
      <c r="D32" s="1">
        <v>7</v>
      </c>
      <c r="E32" s="1" t="s">
        <v>135</v>
      </c>
      <c r="F32" s="1" t="s">
        <v>243</v>
      </c>
      <c r="G32" s="1" t="s">
        <v>245</v>
      </c>
      <c r="H32" s="1" t="s">
        <v>12</v>
      </c>
      <c r="I32" s="1" t="s">
        <v>5</v>
      </c>
      <c r="J32" s="1" t="s">
        <v>12</v>
      </c>
      <c r="K32" s="1" t="s">
        <v>5</v>
      </c>
      <c r="L32" s="1">
        <v>4</v>
      </c>
    </row>
    <row r="33" spans="1:12" x14ac:dyDescent="0.3">
      <c r="A33" s="1" t="s">
        <v>137</v>
      </c>
      <c r="B33" s="1" t="s">
        <v>176</v>
      </c>
      <c r="C33" s="1" t="s">
        <v>176</v>
      </c>
      <c r="D33" s="1">
        <v>8</v>
      </c>
      <c r="E33" s="1" t="s">
        <v>27</v>
      </c>
      <c r="F33" s="1" t="s">
        <v>246</v>
      </c>
      <c r="G33" s="1" t="s">
        <v>247</v>
      </c>
      <c r="H33" s="1" t="s">
        <v>12</v>
      </c>
      <c r="I33" s="1" t="s">
        <v>5</v>
      </c>
      <c r="J33" s="1" t="s">
        <v>12</v>
      </c>
      <c r="K33" s="1" t="s">
        <v>12</v>
      </c>
      <c r="L33" s="1">
        <v>2</v>
      </c>
    </row>
    <row r="34" spans="1:12" x14ac:dyDescent="0.3">
      <c r="A34" s="1" t="s">
        <v>138</v>
      </c>
      <c r="B34" s="1" t="s">
        <v>177</v>
      </c>
      <c r="C34" s="1" t="s">
        <v>177</v>
      </c>
      <c r="D34" s="1">
        <v>9</v>
      </c>
      <c r="E34" s="1" t="s">
        <v>27</v>
      </c>
      <c r="F34" s="1" t="s">
        <v>248</v>
      </c>
      <c r="G34" s="1" t="s">
        <v>249</v>
      </c>
      <c r="H34" s="1" t="s">
        <v>12</v>
      </c>
      <c r="I34" s="1" t="s">
        <v>12</v>
      </c>
      <c r="J34" s="1" t="s">
        <v>5</v>
      </c>
      <c r="K34" s="1" t="s">
        <v>12</v>
      </c>
      <c r="L34" s="1">
        <v>2</v>
      </c>
    </row>
    <row r="35" spans="1:12" x14ac:dyDescent="0.3">
      <c r="A35" s="1" t="s">
        <v>139</v>
      </c>
      <c r="B35" s="1" t="s">
        <v>178</v>
      </c>
      <c r="C35" s="1" t="s">
        <v>177</v>
      </c>
      <c r="D35" s="1">
        <v>9</v>
      </c>
      <c r="E35" s="1" t="s">
        <v>138</v>
      </c>
      <c r="F35" s="1" t="s">
        <v>250</v>
      </c>
      <c r="G35" s="1" t="s">
        <v>251</v>
      </c>
      <c r="H35" s="1" t="s">
        <v>12</v>
      </c>
      <c r="I35" s="1" t="s">
        <v>12</v>
      </c>
      <c r="J35" s="1" t="s">
        <v>5</v>
      </c>
      <c r="K35" s="1" t="s">
        <v>12</v>
      </c>
      <c r="L35" s="1">
        <v>3</v>
      </c>
    </row>
    <row r="36" spans="1:12" x14ac:dyDescent="0.3">
      <c r="A36" s="1" t="s">
        <v>140</v>
      </c>
      <c r="B36" s="1" t="s">
        <v>179</v>
      </c>
      <c r="C36" s="1" t="s">
        <v>179</v>
      </c>
      <c r="D36" s="1">
        <v>10</v>
      </c>
      <c r="E36" s="1" t="s">
        <v>27</v>
      </c>
      <c r="F36" s="1" t="s">
        <v>252</v>
      </c>
      <c r="G36" s="1" t="s">
        <v>253</v>
      </c>
      <c r="H36" s="1" t="s">
        <v>5</v>
      </c>
      <c r="I36" s="1" t="s">
        <v>5</v>
      </c>
      <c r="J36" s="1" t="s">
        <v>5</v>
      </c>
      <c r="K36" s="1" t="s">
        <v>5</v>
      </c>
      <c r="L36" s="1">
        <v>2</v>
      </c>
    </row>
    <row r="37" spans="1:12" x14ac:dyDescent="0.3">
      <c r="A37" s="1" t="s">
        <v>141</v>
      </c>
      <c r="B37" s="1" t="s">
        <v>180</v>
      </c>
      <c r="C37" s="1" t="s">
        <v>179</v>
      </c>
      <c r="D37" s="1">
        <v>10</v>
      </c>
      <c r="E37" s="1" t="s">
        <v>140</v>
      </c>
      <c r="F37" s="1" t="s">
        <v>254</v>
      </c>
      <c r="G37" s="1" t="s">
        <v>255</v>
      </c>
      <c r="H37" s="1" t="s">
        <v>5</v>
      </c>
      <c r="I37" s="1" t="s">
        <v>5</v>
      </c>
      <c r="J37" s="1" t="s">
        <v>5</v>
      </c>
      <c r="K37" s="1" t="s">
        <v>5</v>
      </c>
      <c r="L37" s="1">
        <v>3</v>
      </c>
    </row>
    <row r="38" spans="1:12" x14ac:dyDescent="0.3">
      <c r="A38" s="1" t="s">
        <v>142</v>
      </c>
      <c r="B38" s="1" t="s">
        <v>181</v>
      </c>
      <c r="C38" s="1" t="s">
        <v>179</v>
      </c>
      <c r="D38" s="1">
        <v>10</v>
      </c>
      <c r="E38" s="1" t="s">
        <v>140</v>
      </c>
      <c r="F38" s="1" t="s">
        <v>256</v>
      </c>
      <c r="G38" s="1" t="s">
        <v>257</v>
      </c>
      <c r="H38" s="1" t="s">
        <v>12</v>
      </c>
      <c r="I38" s="1" t="s">
        <v>5</v>
      </c>
      <c r="J38" s="1" t="s">
        <v>12</v>
      </c>
      <c r="K38" s="1" t="s">
        <v>12</v>
      </c>
      <c r="L38" s="1">
        <v>3</v>
      </c>
    </row>
    <row r="39" spans="1:12" x14ac:dyDescent="0.3">
      <c r="A39" s="1" t="s">
        <v>143</v>
      </c>
      <c r="B39" s="1" t="s">
        <v>182</v>
      </c>
      <c r="C39" s="1" t="s">
        <v>179</v>
      </c>
      <c r="D39" s="1">
        <v>10</v>
      </c>
      <c r="E39" s="1" t="s">
        <v>140</v>
      </c>
      <c r="F39" s="1" t="s">
        <v>258</v>
      </c>
      <c r="G39" s="1" t="s">
        <v>259</v>
      </c>
      <c r="H39" s="1" t="s">
        <v>12</v>
      </c>
      <c r="I39" s="1" t="s">
        <v>12</v>
      </c>
      <c r="J39" s="1" t="s">
        <v>12</v>
      </c>
      <c r="K39" s="1" t="s">
        <v>12</v>
      </c>
      <c r="L39" s="1">
        <v>3</v>
      </c>
    </row>
    <row r="40" spans="1:12" x14ac:dyDescent="0.3">
      <c r="A40" s="1" t="s">
        <v>144</v>
      </c>
      <c r="B40" s="1" t="s">
        <v>183</v>
      </c>
      <c r="C40" s="1" t="s">
        <v>179</v>
      </c>
      <c r="D40" s="1">
        <v>10</v>
      </c>
      <c r="E40" s="1" t="s">
        <v>140</v>
      </c>
      <c r="F40" s="1" t="s">
        <v>260</v>
      </c>
      <c r="G40" s="1" t="s">
        <v>261</v>
      </c>
      <c r="H40" s="1" t="s">
        <v>5</v>
      </c>
      <c r="I40" s="1" t="s">
        <v>5</v>
      </c>
      <c r="J40" s="1" t="s">
        <v>12</v>
      </c>
      <c r="K40" s="1" t="s">
        <v>5</v>
      </c>
      <c r="L40" s="1">
        <v>3</v>
      </c>
    </row>
    <row r="41" spans="1:12" x14ac:dyDescent="0.3">
      <c r="A41" s="1" t="s">
        <v>145</v>
      </c>
      <c r="B41" s="1" t="s">
        <v>184</v>
      </c>
      <c r="C41" s="1" t="s">
        <v>179</v>
      </c>
      <c r="D41" s="1">
        <v>10</v>
      </c>
      <c r="E41" s="1" t="s">
        <v>144</v>
      </c>
      <c r="F41" s="1" t="s">
        <v>262</v>
      </c>
      <c r="G41" s="1" t="s">
        <v>263</v>
      </c>
      <c r="H41" s="1" t="s">
        <v>5</v>
      </c>
      <c r="I41" s="1" t="s">
        <v>5</v>
      </c>
      <c r="J41" s="1" t="s">
        <v>12</v>
      </c>
      <c r="K41" s="1" t="s">
        <v>5</v>
      </c>
      <c r="L41" s="1">
        <v>4</v>
      </c>
    </row>
    <row r="42" spans="1:12" x14ac:dyDescent="0.3">
      <c r="A42" s="1" t="s">
        <v>146</v>
      </c>
      <c r="B42" s="1" t="s">
        <v>185</v>
      </c>
      <c r="C42" s="1" t="s">
        <v>179</v>
      </c>
      <c r="D42" s="1">
        <v>10</v>
      </c>
      <c r="E42" s="1" t="s">
        <v>145</v>
      </c>
      <c r="F42" s="1" t="s">
        <v>264</v>
      </c>
      <c r="G42" s="1" t="s">
        <v>265</v>
      </c>
      <c r="H42" s="1" t="s">
        <v>12</v>
      </c>
      <c r="I42" s="1" t="s">
        <v>5</v>
      </c>
      <c r="J42" s="1" t="s">
        <v>12</v>
      </c>
      <c r="K42" s="1" t="s">
        <v>5</v>
      </c>
      <c r="L42" s="1">
        <v>5</v>
      </c>
    </row>
    <row r="43" spans="1:12" x14ac:dyDescent="0.3">
      <c r="A43" s="1" t="s">
        <v>147</v>
      </c>
      <c r="B43" s="1" t="s">
        <v>186</v>
      </c>
      <c r="C43" s="1" t="s">
        <v>179</v>
      </c>
      <c r="D43" s="1">
        <v>10</v>
      </c>
      <c r="E43" s="1" t="s">
        <v>140</v>
      </c>
      <c r="F43" s="1" t="s">
        <v>266</v>
      </c>
      <c r="G43" s="1" t="s">
        <v>267</v>
      </c>
      <c r="H43" s="1" t="s">
        <v>5</v>
      </c>
      <c r="I43" s="1" t="s">
        <v>5</v>
      </c>
      <c r="J43" s="1" t="s">
        <v>12</v>
      </c>
      <c r="K43" s="1" t="s">
        <v>12</v>
      </c>
      <c r="L43" s="1">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
  <sheetViews>
    <sheetView workbookViewId="0">
      <selection activeCell="C3" sqref="C3"/>
    </sheetView>
  </sheetViews>
  <sheetFormatPr defaultRowHeight="15.6" x14ac:dyDescent="0.3"/>
  <cols>
    <col min="1" max="16384" width="8.796875" style="1"/>
  </cols>
  <sheetData>
    <row r="1" spans="1:2" x14ac:dyDescent="0.3">
      <c r="A1" s="6" t="s">
        <v>40</v>
      </c>
      <c r="B1" s="6" t="s">
        <v>41</v>
      </c>
    </row>
    <row r="2" spans="1:2" x14ac:dyDescent="0.3">
      <c r="A2" s="1" t="s">
        <v>27</v>
      </c>
      <c r="B2" s="1" t="s">
        <v>28</v>
      </c>
    </row>
    <row r="3" spans="1:2" x14ac:dyDescent="0.3">
      <c r="A3" s="1" t="s">
        <v>28</v>
      </c>
      <c r="B3" s="1" t="s">
        <v>29</v>
      </c>
    </row>
    <row r="4" spans="1:2" x14ac:dyDescent="0.3">
      <c r="A4" s="1" t="s">
        <v>28</v>
      </c>
      <c r="B4" s="1" t="s">
        <v>30</v>
      </c>
    </row>
    <row r="5" spans="1:2" x14ac:dyDescent="0.3">
      <c r="A5" s="1" t="s">
        <v>28</v>
      </c>
      <c r="B5" s="1" t="s">
        <v>31</v>
      </c>
    </row>
    <row r="6" spans="1:2" x14ac:dyDescent="0.3">
      <c r="A6" s="1" t="s">
        <v>28</v>
      </c>
      <c r="B6" s="1" t="s">
        <v>32</v>
      </c>
    </row>
    <row r="7" spans="1:2" x14ac:dyDescent="0.3">
      <c r="A7" s="1" t="s">
        <v>27</v>
      </c>
      <c r="B7" s="1" t="s">
        <v>33</v>
      </c>
    </row>
    <row r="8" spans="1:2" x14ac:dyDescent="0.3">
      <c r="A8" s="1" t="s">
        <v>33</v>
      </c>
      <c r="B8" s="1" t="s">
        <v>34</v>
      </c>
    </row>
    <row r="9" spans="1:2" x14ac:dyDescent="0.3">
      <c r="A9" s="1" t="s">
        <v>34</v>
      </c>
      <c r="B9" s="1" t="s">
        <v>35</v>
      </c>
    </row>
    <row r="10" spans="1:2" x14ac:dyDescent="0.3">
      <c r="A10" s="1" t="s">
        <v>27</v>
      </c>
      <c r="B10" s="1" t="s">
        <v>36</v>
      </c>
    </row>
    <row r="11" spans="1:2" x14ac:dyDescent="0.3">
      <c r="A11" s="1" t="s">
        <v>36</v>
      </c>
      <c r="B11" s="1" t="s">
        <v>37</v>
      </c>
    </row>
    <row r="12" spans="1:2" x14ac:dyDescent="0.3">
      <c r="A12" s="1" t="s">
        <v>36</v>
      </c>
      <c r="B12" s="1" t="s">
        <v>38</v>
      </c>
    </row>
    <row r="13" spans="1:2" x14ac:dyDescent="0.3">
      <c r="A13" s="1" t="s">
        <v>27</v>
      </c>
      <c r="B13" s="1" t="s">
        <v>39</v>
      </c>
    </row>
    <row r="14" spans="1:2" x14ac:dyDescent="0.3">
      <c r="A14" s="1" t="s">
        <v>39</v>
      </c>
      <c r="B14" s="1" t="s">
        <v>119</v>
      </c>
    </row>
    <row r="15" spans="1:2" x14ac:dyDescent="0.3">
      <c r="A15" s="1" t="s">
        <v>119</v>
      </c>
      <c r="B15" s="1" t="s">
        <v>120</v>
      </c>
    </row>
    <row r="16" spans="1:2" x14ac:dyDescent="0.3">
      <c r="A16" s="1" t="s">
        <v>120</v>
      </c>
      <c r="B16" s="1" t="s">
        <v>121</v>
      </c>
    </row>
    <row r="17" spans="1:2" x14ac:dyDescent="0.3">
      <c r="A17" s="1" t="s">
        <v>120</v>
      </c>
      <c r="B17" s="1" t="s">
        <v>122</v>
      </c>
    </row>
    <row r="18" spans="1:2" x14ac:dyDescent="0.3">
      <c r="A18" s="1" t="s">
        <v>120</v>
      </c>
      <c r="B18" s="1" t="s">
        <v>123</v>
      </c>
    </row>
    <row r="19" spans="1:2" x14ac:dyDescent="0.3">
      <c r="A19" s="1" t="s">
        <v>120</v>
      </c>
      <c r="B19" s="1" t="s">
        <v>124</v>
      </c>
    </row>
    <row r="20" spans="1:2" x14ac:dyDescent="0.3">
      <c r="A20" s="1" t="s">
        <v>120</v>
      </c>
      <c r="B20" s="1" t="s">
        <v>125</v>
      </c>
    </row>
    <row r="21" spans="1:2" x14ac:dyDescent="0.3">
      <c r="A21" s="1" t="s">
        <v>120</v>
      </c>
      <c r="B21" s="1" t="s">
        <v>126</v>
      </c>
    </row>
    <row r="22" spans="1:2" x14ac:dyDescent="0.3">
      <c r="A22" s="1" t="s">
        <v>39</v>
      </c>
      <c r="B22" s="1" t="s">
        <v>127</v>
      </c>
    </row>
    <row r="23" spans="1:2" x14ac:dyDescent="0.3">
      <c r="A23" s="1" t="s">
        <v>27</v>
      </c>
      <c r="B23" s="1" t="s">
        <v>128</v>
      </c>
    </row>
    <row r="24" spans="1:2" x14ac:dyDescent="0.3">
      <c r="A24" s="1" t="s">
        <v>128</v>
      </c>
      <c r="B24" s="1" t="s">
        <v>129</v>
      </c>
    </row>
    <row r="25" spans="1:2" x14ac:dyDescent="0.3">
      <c r="A25" s="1" t="s">
        <v>128</v>
      </c>
      <c r="B25" s="1" t="s">
        <v>130</v>
      </c>
    </row>
    <row r="26" spans="1:2" x14ac:dyDescent="0.3">
      <c r="A26" s="1" t="s">
        <v>130</v>
      </c>
      <c r="B26" s="1" t="s">
        <v>131</v>
      </c>
    </row>
    <row r="27" spans="1:2" x14ac:dyDescent="0.3">
      <c r="A27" s="1" t="s">
        <v>27</v>
      </c>
      <c r="B27" s="1" t="s">
        <v>132</v>
      </c>
    </row>
    <row r="28" spans="1:2" x14ac:dyDescent="0.3">
      <c r="A28" s="1" t="s">
        <v>132</v>
      </c>
      <c r="B28" s="1" t="s">
        <v>133</v>
      </c>
    </row>
    <row r="29" spans="1:2" x14ac:dyDescent="0.3">
      <c r="A29" s="1" t="s">
        <v>132</v>
      </c>
      <c r="B29" s="1" t="s">
        <v>134</v>
      </c>
    </row>
    <row r="30" spans="1:2" x14ac:dyDescent="0.3">
      <c r="A30" s="1" t="s">
        <v>132</v>
      </c>
      <c r="B30" s="1" t="s">
        <v>135</v>
      </c>
    </row>
    <row r="31" spans="1:2" x14ac:dyDescent="0.3">
      <c r="A31" s="1" t="s">
        <v>135</v>
      </c>
      <c r="B31" s="1" t="s">
        <v>136</v>
      </c>
    </row>
    <row r="32" spans="1:2" x14ac:dyDescent="0.3">
      <c r="A32" s="1" t="s">
        <v>27</v>
      </c>
      <c r="B32" s="1" t="s">
        <v>137</v>
      </c>
    </row>
    <row r="33" spans="1:2" x14ac:dyDescent="0.3">
      <c r="A33" s="1" t="s">
        <v>27</v>
      </c>
      <c r="B33" s="1" t="s">
        <v>138</v>
      </c>
    </row>
    <row r="34" spans="1:2" x14ac:dyDescent="0.3">
      <c r="A34" s="1" t="s">
        <v>138</v>
      </c>
      <c r="B34" s="1" t="s">
        <v>139</v>
      </c>
    </row>
    <row r="35" spans="1:2" x14ac:dyDescent="0.3">
      <c r="A35" s="1" t="s">
        <v>27</v>
      </c>
      <c r="B35" s="1" t="s">
        <v>140</v>
      </c>
    </row>
    <row r="36" spans="1:2" x14ac:dyDescent="0.3">
      <c r="A36" s="1" t="s">
        <v>140</v>
      </c>
      <c r="B36" s="1" t="s">
        <v>141</v>
      </c>
    </row>
    <row r="37" spans="1:2" x14ac:dyDescent="0.3">
      <c r="A37" s="1" t="s">
        <v>140</v>
      </c>
      <c r="B37" s="1" t="s">
        <v>142</v>
      </c>
    </row>
    <row r="38" spans="1:2" x14ac:dyDescent="0.3">
      <c r="A38" s="1" t="s">
        <v>140</v>
      </c>
      <c r="B38" s="1" t="s">
        <v>143</v>
      </c>
    </row>
    <row r="39" spans="1:2" x14ac:dyDescent="0.3">
      <c r="A39" s="1" t="s">
        <v>140</v>
      </c>
      <c r="B39" s="1" t="s">
        <v>144</v>
      </c>
    </row>
    <row r="40" spans="1:2" x14ac:dyDescent="0.3">
      <c r="A40" s="1" t="s">
        <v>144</v>
      </c>
      <c r="B40" s="1" t="s">
        <v>145</v>
      </c>
    </row>
    <row r="41" spans="1:2" x14ac:dyDescent="0.3">
      <c r="A41" s="1" t="s">
        <v>145</v>
      </c>
      <c r="B41" s="1" t="s">
        <v>146</v>
      </c>
    </row>
    <row r="42" spans="1:2" x14ac:dyDescent="0.3">
      <c r="A42" s="1" t="s">
        <v>140</v>
      </c>
      <c r="B42" s="1" t="s">
        <v>147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7"/>
  <sheetViews>
    <sheetView zoomScale="80" zoomScaleNormal="80" workbookViewId="0">
      <pane xSplit="5" ySplit="1" topLeftCell="F14" activePane="bottomRight" state="frozen"/>
      <selection pane="topRight" activeCell="E1" sqref="E1"/>
      <selection pane="bottomLeft" activeCell="A2" sqref="A2"/>
      <selection pane="bottomRight" activeCell="D44" sqref="D44"/>
    </sheetView>
  </sheetViews>
  <sheetFormatPr defaultRowHeight="15.6" x14ac:dyDescent="0.3"/>
  <cols>
    <col min="1" max="1" width="9.8984375" style="1" bestFit="1" customWidth="1"/>
    <col min="2" max="2" width="29.19921875" style="1" customWidth="1"/>
    <col min="3" max="3" width="17.3984375" style="1" customWidth="1"/>
    <col min="4" max="4" width="17.3984375" style="4" customWidth="1"/>
    <col min="5" max="5" width="21.09765625" style="1" customWidth="1"/>
    <col min="6" max="6" width="30.69921875" style="1" customWidth="1"/>
    <col min="7" max="7" width="37.8984375" style="1" customWidth="1"/>
    <col min="8" max="8" width="16.09765625" style="1" bestFit="1" customWidth="1"/>
    <col min="9" max="9" width="46.3984375" style="1" customWidth="1"/>
    <col min="10" max="16384" width="8.796875" style="1"/>
  </cols>
  <sheetData>
    <row r="1" spans="1:21" x14ac:dyDescent="0.3">
      <c r="A1" s="3" t="s">
        <v>101</v>
      </c>
      <c r="B1" s="3" t="s">
        <v>102</v>
      </c>
      <c r="C1" s="3" t="s">
        <v>97</v>
      </c>
      <c r="D1" s="13" t="s">
        <v>99</v>
      </c>
      <c r="E1" s="3" t="s">
        <v>103</v>
      </c>
      <c r="F1" s="3" t="s">
        <v>777</v>
      </c>
      <c r="G1" s="3" t="s">
        <v>98</v>
      </c>
      <c r="H1" s="3" t="s">
        <v>100</v>
      </c>
      <c r="I1" s="3" t="s">
        <v>21</v>
      </c>
      <c r="J1" s="3" t="s">
        <v>104</v>
      </c>
      <c r="K1" s="3" t="s">
        <v>105</v>
      </c>
      <c r="L1" s="3" t="s">
        <v>106</v>
      </c>
      <c r="M1" s="3" t="s">
        <v>107</v>
      </c>
      <c r="N1" s="3" t="s">
        <v>108</v>
      </c>
      <c r="O1" s="3" t="s">
        <v>94</v>
      </c>
      <c r="P1" s="3" t="s">
        <v>109</v>
      </c>
      <c r="Q1" s="3" t="s">
        <v>95</v>
      </c>
      <c r="R1" s="3" t="s">
        <v>110</v>
      </c>
      <c r="S1" s="3" t="s">
        <v>111</v>
      </c>
      <c r="T1" s="3" t="s">
        <v>112</v>
      </c>
      <c r="U1" s="3" t="s">
        <v>89</v>
      </c>
    </row>
    <row r="2" spans="1:21" x14ac:dyDescent="0.3">
      <c r="A2" s="1" t="s">
        <v>43</v>
      </c>
      <c r="B2" s="1" t="s">
        <v>313</v>
      </c>
      <c r="C2" s="1" t="s">
        <v>171</v>
      </c>
      <c r="D2" s="4" t="s">
        <v>131</v>
      </c>
      <c r="E2" s="1" t="s">
        <v>778</v>
      </c>
      <c r="F2" s="1" t="str">
        <f>CONCATENATE(E2,": ",B2)</f>
        <v>DHS-IP: HSIN-CI Dams Portal</v>
      </c>
      <c r="G2" s="1" t="s">
        <v>168</v>
      </c>
      <c r="H2" s="4">
        <f>VLOOKUP(D2,orgNodes!$A$2:$D$43,4,FALSE)</f>
        <v>6</v>
      </c>
      <c r="I2" s="7" t="s">
        <v>384</v>
      </c>
      <c r="J2" s="1" t="s">
        <v>12</v>
      </c>
      <c r="K2" s="1" t="s">
        <v>6</v>
      </c>
      <c r="L2" s="1" t="s">
        <v>439</v>
      </c>
      <c r="M2" s="1" t="s">
        <v>6</v>
      </c>
      <c r="N2" s="1" t="s">
        <v>6</v>
      </c>
      <c r="O2" s="1" t="s">
        <v>6</v>
      </c>
      <c r="P2" s="1" t="s">
        <v>6</v>
      </c>
      <c r="Q2" s="1" t="s">
        <v>6</v>
      </c>
      <c r="R2" s="1" t="s">
        <v>6</v>
      </c>
      <c r="S2" s="1" t="s">
        <v>6</v>
      </c>
      <c r="T2" s="1" t="s">
        <v>6</v>
      </c>
      <c r="U2" s="1" t="s">
        <v>508</v>
      </c>
    </row>
    <row r="3" spans="1:21" x14ac:dyDescent="0.3">
      <c r="A3" s="1" t="s">
        <v>44</v>
      </c>
      <c r="B3" s="1" t="s">
        <v>314</v>
      </c>
      <c r="C3" s="1" t="s">
        <v>169</v>
      </c>
      <c r="D3" s="4" t="s">
        <v>129</v>
      </c>
      <c r="E3" s="1" t="s">
        <v>779</v>
      </c>
      <c r="F3" s="1" t="s">
        <v>795</v>
      </c>
      <c r="G3" s="1" t="s">
        <v>168</v>
      </c>
      <c r="H3" s="4">
        <f>VLOOKUP(D3,orgNodes!$A$2:$D$43,4,FALSE)</f>
        <v>6</v>
      </c>
      <c r="I3" s="7" t="s">
        <v>385</v>
      </c>
      <c r="J3" s="1" t="s">
        <v>8</v>
      </c>
      <c r="K3" s="1" t="s">
        <v>2</v>
      </c>
      <c r="L3" s="1" t="s">
        <v>440</v>
      </c>
      <c r="M3" s="1" t="s">
        <v>441</v>
      </c>
      <c r="N3" s="1" t="s">
        <v>442</v>
      </c>
      <c r="O3" s="1" t="s">
        <v>12</v>
      </c>
      <c r="P3" s="1" t="s">
        <v>509</v>
      </c>
      <c r="Q3" s="1" t="s">
        <v>5</v>
      </c>
      <c r="R3" s="1" t="s">
        <v>510</v>
      </c>
      <c r="S3" s="1" t="s">
        <v>12</v>
      </c>
      <c r="T3" s="1" t="s">
        <v>13</v>
      </c>
      <c r="U3" s="1" t="s">
        <v>6</v>
      </c>
    </row>
    <row r="4" spans="1:21" x14ac:dyDescent="0.3">
      <c r="A4" s="1" t="s">
        <v>45</v>
      </c>
      <c r="B4" s="1" t="s">
        <v>315</v>
      </c>
      <c r="C4" s="1" t="s">
        <v>171</v>
      </c>
      <c r="D4" s="4" t="s">
        <v>131</v>
      </c>
      <c r="E4" s="1" t="s">
        <v>778</v>
      </c>
      <c r="F4" s="1" t="s">
        <v>796</v>
      </c>
      <c r="G4" s="1" t="s">
        <v>168</v>
      </c>
      <c r="H4" s="4">
        <f>VLOOKUP(D4,orgNodes!$A$2:$D$43,4,FALSE)</f>
        <v>6</v>
      </c>
      <c r="I4" s="7" t="s">
        <v>386</v>
      </c>
      <c r="J4" s="1" t="s">
        <v>12</v>
      </c>
      <c r="K4" s="1" t="s">
        <v>6</v>
      </c>
      <c r="L4" s="1" t="s">
        <v>443</v>
      </c>
      <c r="M4" s="1" t="s">
        <v>6</v>
      </c>
      <c r="N4" s="1" t="s">
        <v>6</v>
      </c>
      <c r="O4" s="1" t="s">
        <v>12</v>
      </c>
      <c r="P4" s="1" t="s">
        <v>6</v>
      </c>
      <c r="Q4" s="1" t="s">
        <v>6</v>
      </c>
      <c r="R4" s="1" t="s">
        <v>6</v>
      </c>
      <c r="S4" s="1" t="s">
        <v>6</v>
      </c>
      <c r="T4" s="1" t="s">
        <v>6</v>
      </c>
      <c r="U4" s="1" t="s">
        <v>6</v>
      </c>
    </row>
    <row r="5" spans="1:21" x14ac:dyDescent="0.3">
      <c r="A5" s="1" t="s">
        <v>46</v>
      </c>
      <c r="B5" s="1" t="s">
        <v>316</v>
      </c>
      <c r="C5" s="1" t="s">
        <v>370</v>
      </c>
      <c r="D5" s="4" t="s">
        <v>37</v>
      </c>
      <c r="E5" s="1" t="s">
        <v>780</v>
      </c>
      <c r="F5" s="1" t="s">
        <v>797</v>
      </c>
      <c r="G5" s="1" t="s">
        <v>156</v>
      </c>
      <c r="H5" s="4">
        <f>VLOOKUP(D5,orgNodes!$A$2:$D$43,4,FALSE)</f>
        <v>4</v>
      </c>
      <c r="I5" s="7" t="s">
        <v>387</v>
      </c>
      <c r="J5" s="1" t="s">
        <v>12</v>
      </c>
      <c r="K5" s="1" t="s">
        <v>6</v>
      </c>
      <c r="L5" s="1" t="s">
        <v>12</v>
      </c>
      <c r="M5" s="1" t="s">
        <v>6</v>
      </c>
      <c r="N5" s="1" t="s">
        <v>6</v>
      </c>
      <c r="O5" s="1" t="s">
        <v>12</v>
      </c>
      <c r="P5" s="1" t="s">
        <v>6</v>
      </c>
      <c r="Q5" s="1" t="s">
        <v>6</v>
      </c>
      <c r="R5" s="1" t="s">
        <v>6</v>
      </c>
      <c r="S5" s="1" t="s">
        <v>6</v>
      </c>
      <c r="T5" s="1" t="s">
        <v>6</v>
      </c>
      <c r="U5" s="1" t="s">
        <v>6</v>
      </c>
    </row>
    <row r="6" spans="1:21" x14ac:dyDescent="0.3">
      <c r="A6" s="1" t="s">
        <v>47</v>
      </c>
      <c r="B6" s="1" t="s">
        <v>317</v>
      </c>
      <c r="C6" s="1" t="s">
        <v>157</v>
      </c>
      <c r="D6" s="4" t="s">
        <v>38</v>
      </c>
      <c r="E6" s="1" t="s">
        <v>781</v>
      </c>
      <c r="F6" s="1" t="s">
        <v>798</v>
      </c>
      <c r="G6" s="1" t="s">
        <v>156</v>
      </c>
      <c r="H6" s="4">
        <f>VLOOKUP(D6,orgNodes!$A$2:$D$43,4,FALSE)</f>
        <v>4</v>
      </c>
      <c r="I6" s="7" t="s">
        <v>388</v>
      </c>
      <c r="J6" s="1" t="s">
        <v>444</v>
      </c>
      <c r="K6" s="1" t="s">
        <v>445</v>
      </c>
      <c r="L6" s="1" t="s">
        <v>5</v>
      </c>
      <c r="M6" s="1" t="s">
        <v>441</v>
      </c>
      <c r="N6" s="1" t="s">
        <v>446</v>
      </c>
      <c r="O6" s="1" t="s">
        <v>5</v>
      </c>
      <c r="P6" s="1" t="s">
        <v>11</v>
      </c>
      <c r="Q6" s="1" t="s">
        <v>12</v>
      </c>
      <c r="R6" s="1" t="s">
        <v>511</v>
      </c>
      <c r="S6" s="1" t="s">
        <v>12</v>
      </c>
      <c r="T6" s="1" t="s">
        <v>512</v>
      </c>
      <c r="U6" s="1" t="s">
        <v>92</v>
      </c>
    </row>
    <row r="7" spans="1:21" x14ac:dyDescent="0.3">
      <c r="A7" s="1" t="s">
        <v>48</v>
      </c>
      <c r="B7" s="1" t="s">
        <v>318</v>
      </c>
      <c r="C7" s="1" t="s">
        <v>158</v>
      </c>
      <c r="D7" s="4" t="s">
        <v>39</v>
      </c>
      <c r="E7" s="1" t="s">
        <v>377</v>
      </c>
      <c r="F7" s="1" t="s">
        <v>799</v>
      </c>
      <c r="G7" s="1" t="s">
        <v>158</v>
      </c>
      <c r="H7" s="4">
        <f>VLOOKUP(D7,orgNodes!$A$2:$D$43,4,FALSE)</f>
        <v>5</v>
      </c>
      <c r="I7" s="7" t="s">
        <v>389</v>
      </c>
      <c r="J7" s="1" t="s">
        <v>447</v>
      </c>
      <c r="K7" s="1" t="s">
        <v>448</v>
      </c>
      <c r="L7" s="1" t="s">
        <v>449</v>
      </c>
      <c r="M7" s="1" t="s">
        <v>441</v>
      </c>
      <c r="N7" s="1" t="s">
        <v>450</v>
      </c>
      <c r="O7" s="1" t="s">
        <v>12</v>
      </c>
      <c r="P7" s="1" t="s">
        <v>6</v>
      </c>
      <c r="Q7" s="1" t="s">
        <v>6</v>
      </c>
      <c r="R7" s="1" t="s">
        <v>6</v>
      </c>
      <c r="S7" s="1" t="s">
        <v>6</v>
      </c>
      <c r="T7" s="1" t="s">
        <v>13</v>
      </c>
      <c r="U7" s="1" t="s">
        <v>90</v>
      </c>
    </row>
    <row r="8" spans="1:21" x14ac:dyDescent="0.3">
      <c r="A8" s="1" t="s">
        <v>49</v>
      </c>
      <c r="B8" s="1" t="s">
        <v>319</v>
      </c>
      <c r="C8" s="1" t="s">
        <v>167</v>
      </c>
      <c r="D8" s="4" t="s">
        <v>127</v>
      </c>
      <c r="E8" s="1" t="s">
        <v>782</v>
      </c>
      <c r="F8" s="1" t="s">
        <v>800</v>
      </c>
      <c r="G8" s="1" t="s">
        <v>158</v>
      </c>
      <c r="H8" s="4">
        <f>VLOOKUP(D8,orgNodes!$A$2:$D$43,4,FALSE)</f>
        <v>5</v>
      </c>
      <c r="I8" s="1" t="s">
        <v>390</v>
      </c>
      <c r="J8" s="1" t="s">
        <v>8</v>
      </c>
      <c r="K8" s="1" t="s">
        <v>2</v>
      </c>
      <c r="L8" s="1" t="s">
        <v>5</v>
      </c>
      <c r="M8" s="1" t="s">
        <v>451</v>
      </c>
      <c r="N8" s="1" t="s">
        <v>452</v>
      </c>
      <c r="O8" s="1" t="s">
        <v>12</v>
      </c>
      <c r="P8" s="1" t="s">
        <v>12</v>
      </c>
      <c r="Q8" s="1" t="s">
        <v>12</v>
      </c>
      <c r="R8" s="1" t="s">
        <v>12</v>
      </c>
      <c r="S8" s="1" t="s">
        <v>12</v>
      </c>
      <c r="T8" s="1" t="s">
        <v>14</v>
      </c>
      <c r="U8" s="1" t="s">
        <v>92</v>
      </c>
    </row>
    <row r="9" spans="1:21" x14ac:dyDescent="0.3">
      <c r="A9" s="1" t="s">
        <v>50</v>
      </c>
      <c r="B9" s="1" t="s">
        <v>320</v>
      </c>
      <c r="C9" s="1" t="s">
        <v>165</v>
      </c>
      <c r="D9" s="4" t="s">
        <v>125</v>
      </c>
      <c r="E9" s="1" t="s">
        <v>783</v>
      </c>
      <c r="F9" s="1" t="s">
        <v>801</v>
      </c>
      <c r="G9" s="1" t="s">
        <v>158</v>
      </c>
      <c r="H9" s="4">
        <f>VLOOKUP(D9,orgNodes!$A$2:$D$43,4,FALSE)</f>
        <v>5</v>
      </c>
      <c r="I9" s="7" t="s">
        <v>391</v>
      </c>
      <c r="J9" s="1" t="s">
        <v>447</v>
      </c>
      <c r="K9" s="1" t="s">
        <v>448</v>
      </c>
      <c r="L9" s="1" t="s">
        <v>5</v>
      </c>
      <c r="M9" s="1" t="s">
        <v>441</v>
      </c>
      <c r="N9" s="1" t="s">
        <v>776</v>
      </c>
      <c r="O9" s="1" t="s">
        <v>5</v>
      </c>
      <c r="P9" s="1" t="s">
        <v>513</v>
      </c>
      <c r="Q9" s="1" t="s">
        <v>12</v>
      </c>
      <c r="R9" s="1" t="s">
        <v>93</v>
      </c>
      <c r="S9" s="1" t="s">
        <v>12</v>
      </c>
      <c r="T9" s="1" t="s">
        <v>13</v>
      </c>
      <c r="U9" s="1" t="s">
        <v>514</v>
      </c>
    </row>
    <row r="10" spans="1:21" x14ac:dyDescent="0.3">
      <c r="A10" s="1" t="s">
        <v>51</v>
      </c>
      <c r="B10" s="1" t="s">
        <v>321</v>
      </c>
      <c r="C10" s="1" t="s">
        <v>161</v>
      </c>
      <c r="D10" s="4" t="s">
        <v>121</v>
      </c>
      <c r="E10" s="1" t="s">
        <v>784</v>
      </c>
      <c r="F10" s="1" t="s">
        <v>802</v>
      </c>
      <c r="G10" s="1" t="s">
        <v>158</v>
      </c>
      <c r="H10" s="4">
        <f>VLOOKUP(D10,orgNodes!$A$2:$D$43,4,FALSE)</f>
        <v>5</v>
      </c>
      <c r="I10" s="7" t="s">
        <v>392</v>
      </c>
      <c r="J10" s="1" t="s">
        <v>444</v>
      </c>
      <c r="K10" s="1" t="s">
        <v>453</v>
      </c>
      <c r="L10" s="1" t="s">
        <v>5</v>
      </c>
      <c r="M10" s="1" t="s">
        <v>6</v>
      </c>
      <c r="N10" s="1" t="s">
        <v>454</v>
      </c>
      <c r="O10" s="1" t="s">
        <v>5</v>
      </c>
      <c r="P10" s="1" t="s">
        <v>11</v>
      </c>
      <c r="Q10" s="1" t="s">
        <v>12</v>
      </c>
      <c r="R10" s="1" t="s">
        <v>515</v>
      </c>
      <c r="S10" s="1" t="s">
        <v>12</v>
      </c>
      <c r="T10" s="1" t="s">
        <v>13</v>
      </c>
      <c r="U10" s="1" t="s">
        <v>92</v>
      </c>
    </row>
    <row r="11" spans="1:21" x14ac:dyDescent="0.3">
      <c r="A11" s="1" t="s">
        <v>52</v>
      </c>
      <c r="B11" s="1" t="s">
        <v>322</v>
      </c>
      <c r="C11" s="1" t="s">
        <v>372</v>
      </c>
      <c r="D11" s="4" t="s">
        <v>132</v>
      </c>
      <c r="E11" s="1" t="s">
        <v>785</v>
      </c>
      <c r="F11" s="1" t="s">
        <v>803</v>
      </c>
      <c r="G11" s="1" t="s">
        <v>172</v>
      </c>
      <c r="H11" s="4">
        <f>VLOOKUP(D11,orgNodes!$A$2:$D$43,4,FALSE)</f>
        <v>7</v>
      </c>
      <c r="I11" s="7" t="s">
        <v>393</v>
      </c>
      <c r="J11" s="1" t="s">
        <v>447</v>
      </c>
      <c r="K11" s="1" t="s">
        <v>445</v>
      </c>
      <c r="L11" s="1" t="s">
        <v>5</v>
      </c>
      <c r="M11" s="1" t="s">
        <v>451</v>
      </c>
      <c r="N11" s="1" t="s">
        <v>455</v>
      </c>
      <c r="O11" s="1" t="s">
        <v>5</v>
      </c>
      <c r="P11" s="1" t="s">
        <v>7</v>
      </c>
      <c r="Q11" s="1" t="s">
        <v>5</v>
      </c>
      <c r="R11" s="1" t="s">
        <v>510</v>
      </c>
      <c r="S11" s="1" t="s">
        <v>12</v>
      </c>
      <c r="T11" s="1" t="s">
        <v>512</v>
      </c>
      <c r="U11" s="1" t="s">
        <v>90</v>
      </c>
    </row>
    <row r="12" spans="1:21" x14ac:dyDescent="0.3">
      <c r="A12" s="1" t="s">
        <v>53</v>
      </c>
      <c r="B12" s="1" t="s">
        <v>323</v>
      </c>
      <c r="C12" s="1" t="s">
        <v>173</v>
      </c>
      <c r="D12" s="4" t="s">
        <v>133</v>
      </c>
      <c r="E12" s="1" t="s">
        <v>786</v>
      </c>
      <c r="F12" s="1" t="s">
        <v>804</v>
      </c>
      <c r="G12" s="1" t="s">
        <v>172</v>
      </c>
      <c r="H12" s="4">
        <f>VLOOKUP(D12,orgNodes!$A$2:$D$43,4,FALSE)</f>
        <v>7</v>
      </c>
      <c r="I12" s="7" t="s">
        <v>394</v>
      </c>
      <c r="J12" s="1" t="s">
        <v>8</v>
      </c>
      <c r="K12" s="1" t="s">
        <v>2</v>
      </c>
      <c r="L12" s="1" t="s">
        <v>5</v>
      </c>
      <c r="M12" s="1" t="s">
        <v>15</v>
      </c>
      <c r="N12" s="1" t="s">
        <v>11</v>
      </c>
      <c r="O12" s="1" t="s">
        <v>5</v>
      </c>
      <c r="P12" s="1" t="s">
        <v>11</v>
      </c>
      <c r="Q12" s="1" t="s">
        <v>5</v>
      </c>
      <c r="R12" s="1" t="s">
        <v>516</v>
      </c>
      <c r="S12" s="1" t="s">
        <v>12</v>
      </c>
      <c r="T12" s="1" t="s">
        <v>512</v>
      </c>
      <c r="U12" s="1" t="s">
        <v>90</v>
      </c>
    </row>
    <row r="13" spans="1:21" x14ac:dyDescent="0.3">
      <c r="A13" s="1" t="s">
        <v>308</v>
      </c>
      <c r="B13" s="1" t="s">
        <v>324</v>
      </c>
      <c r="C13" s="1" t="s">
        <v>173</v>
      </c>
      <c r="D13" s="4" t="s">
        <v>133</v>
      </c>
      <c r="E13" s="1" t="s">
        <v>786</v>
      </c>
      <c r="F13" s="1" t="s">
        <v>805</v>
      </c>
      <c r="G13" s="1" t="s">
        <v>172</v>
      </c>
      <c r="H13" s="4">
        <f>VLOOKUP(D13,orgNodes!$A$2:$D$43,4,FALSE)</f>
        <v>7</v>
      </c>
      <c r="I13" s="1" t="s">
        <v>395</v>
      </c>
      <c r="J13" s="1" t="s">
        <v>8</v>
      </c>
      <c r="K13" s="1" t="s">
        <v>2</v>
      </c>
      <c r="L13" s="1" t="s">
        <v>5</v>
      </c>
      <c r="M13" s="1" t="s">
        <v>9</v>
      </c>
      <c r="N13" s="1" t="s">
        <v>456</v>
      </c>
      <c r="O13" s="1" t="s">
        <v>5</v>
      </c>
      <c r="P13" s="1" t="s">
        <v>11</v>
      </c>
      <c r="Q13" s="1" t="s">
        <v>5</v>
      </c>
      <c r="R13" s="1" t="s">
        <v>96</v>
      </c>
      <c r="S13" s="1" t="s">
        <v>12</v>
      </c>
      <c r="T13" s="1" t="s">
        <v>512</v>
      </c>
      <c r="U13" s="1" t="s">
        <v>90</v>
      </c>
    </row>
    <row r="14" spans="1:21" x14ac:dyDescent="0.3">
      <c r="A14" s="1" t="s">
        <v>298</v>
      </c>
      <c r="B14" s="1" t="s">
        <v>325</v>
      </c>
      <c r="C14" s="1" t="s">
        <v>173</v>
      </c>
      <c r="D14" s="4" t="s">
        <v>133</v>
      </c>
      <c r="E14" s="1" t="s">
        <v>786</v>
      </c>
      <c r="F14" s="1" t="s">
        <v>806</v>
      </c>
      <c r="G14" s="1" t="s">
        <v>172</v>
      </c>
      <c r="H14" s="4">
        <f>VLOOKUP(D14,orgNodes!$A$2:$D$43,4,FALSE)</f>
        <v>7</v>
      </c>
      <c r="I14" s="1" t="s">
        <v>396</v>
      </c>
      <c r="J14" s="1" t="s">
        <v>447</v>
      </c>
      <c r="K14" s="1" t="s">
        <v>457</v>
      </c>
      <c r="L14" s="1" t="s">
        <v>5</v>
      </c>
      <c r="M14" s="1" t="s">
        <v>458</v>
      </c>
      <c r="N14" s="1" t="s">
        <v>459</v>
      </c>
      <c r="O14" s="1" t="s">
        <v>5</v>
      </c>
      <c r="P14" s="1" t="s">
        <v>513</v>
      </c>
      <c r="Q14" s="1" t="s">
        <v>5</v>
      </c>
      <c r="R14" s="1" t="s">
        <v>96</v>
      </c>
      <c r="S14" s="1" t="s">
        <v>12</v>
      </c>
      <c r="T14" s="1" t="s">
        <v>512</v>
      </c>
      <c r="U14" s="1" t="s">
        <v>92</v>
      </c>
    </row>
    <row r="15" spans="1:21" x14ac:dyDescent="0.3">
      <c r="A15" s="1" t="s">
        <v>293</v>
      </c>
      <c r="B15" s="1" t="s">
        <v>326</v>
      </c>
      <c r="C15" s="1" t="s">
        <v>174</v>
      </c>
      <c r="D15" s="4" t="s">
        <v>134</v>
      </c>
      <c r="E15" s="1" t="s">
        <v>787</v>
      </c>
      <c r="F15" s="1" t="s">
        <v>807</v>
      </c>
      <c r="G15" s="1" t="s">
        <v>172</v>
      </c>
      <c r="H15" s="4">
        <f>VLOOKUP(D15,orgNodes!$A$2:$D$43,4,FALSE)</f>
        <v>7</v>
      </c>
      <c r="I15" s="1" t="s">
        <v>397</v>
      </c>
      <c r="J15" s="1" t="s">
        <v>447</v>
      </c>
      <c r="K15" s="1" t="s">
        <v>445</v>
      </c>
      <c r="L15" s="1" t="s">
        <v>5</v>
      </c>
      <c r="M15" s="1" t="s">
        <v>460</v>
      </c>
      <c r="N15" s="1" t="s">
        <v>461</v>
      </c>
      <c r="O15" s="1" t="s">
        <v>5</v>
      </c>
      <c r="P15" s="1" t="s">
        <v>509</v>
      </c>
      <c r="Q15" s="1" t="s">
        <v>5</v>
      </c>
      <c r="R15" s="1" t="s">
        <v>510</v>
      </c>
      <c r="S15" s="1" t="s">
        <v>5</v>
      </c>
      <c r="T15" s="1" t="s">
        <v>13</v>
      </c>
      <c r="U15" s="1" t="s">
        <v>508</v>
      </c>
    </row>
    <row r="16" spans="1:21" x14ac:dyDescent="0.3">
      <c r="A16" s="1" t="s">
        <v>283</v>
      </c>
      <c r="B16" s="1" t="s">
        <v>327</v>
      </c>
      <c r="C16" s="1" t="s">
        <v>175</v>
      </c>
      <c r="D16" s="4" t="s">
        <v>135</v>
      </c>
      <c r="E16" s="1" t="s">
        <v>788</v>
      </c>
      <c r="F16" s="1" t="s">
        <v>808</v>
      </c>
      <c r="G16" s="1" t="s">
        <v>172</v>
      </c>
      <c r="H16" s="4">
        <f>VLOOKUP(D16,orgNodes!$A$2:$D$43,4,FALSE)</f>
        <v>7</v>
      </c>
      <c r="I16" s="1" t="s">
        <v>398</v>
      </c>
      <c r="J16" s="1" t="s">
        <v>444</v>
      </c>
      <c r="K16" s="1" t="s">
        <v>445</v>
      </c>
      <c r="L16" s="1" t="s">
        <v>5</v>
      </c>
      <c r="M16" s="1" t="s">
        <v>462</v>
      </c>
      <c r="N16" s="1" t="s">
        <v>463</v>
      </c>
      <c r="O16" s="1" t="s">
        <v>5</v>
      </c>
      <c r="P16" s="1" t="s">
        <v>517</v>
      </c>
      <c r="Q16" s="1" t="s">
        <v>5</v>
      </c>
      <c r="R16" s="1" t="s">
        <v>96</v>
      </c>
      <c r="S16" s="1" t="s">
        <v>12</v>
      </c>
      <c r="T16" s="1" t="s">
        <v>512</v>
      </c>
      <c r="U16" s="1" t="s">
        <v>90</v>
      </c>
    </row>
    <row r="17" spans="1:21" x14ac:dyDescent="0.3">
      <c r="A17" s="1" t="s">
        <v>291</v>
      </c>
      <c r="B17" s="1" t="s">
        <v>328</v>
      </c>
      <c r="C17" s="1" t="s">
        <v>175</v>
      </c>
      <c r="D17" s="4" t="s">
        <v>135</v>
      </c>
      <c r="E17" s="1" t="s">
        <v>788</v>
      </c>
      <c r="F17" s="1" t="s">
        <v>809</v>
      </c>
      <c r="G17" s="1" t="s">
        <v>172</v>
      </c>
      <c r="H17" s="4">
        <f>VLOOKUP(D17,orgNodes!$A$2:$D$43,4,FALSE)</f>
        <v>7</v>
      </c>
      <c r="I17" s="1" t="s">
        <v>399</v>
      </c>
      <c r="J17" s="1" t="s">
        <v>444</v>
      </c>
      <c r="K17" s="1" t="s">
        <v>445</v>
      </c>
      <c r="L17" s="1" t="s">
        <v>5</v>
      </c>
      <c r="M17" s="1" t="s">
        <v>9</v>
      </c>
      <c r="N17" s="1" t="s">
        <v>464</v>
      </c>
      <c r="O17" s="1" t="s">
        <v>5</v>
      </c>
      <c r="P17" s="1" t="s">
        <v>517</v>
      </c>
      <c r="Q17" s="1" t="s">
        <v>12</v>
      </c>
      <c r="R17" s="1" t="s">
        <v>515</v>
      </c>
      <c r="S17" s="1" t="s">
        <v>12</v>
      </c>
      <c r="T17" s="1" t="s">
        <v>512</v>
      </c>
      <c r="U17" s="1" t="s">
        <v>90</v>
      </c>
    </row>
    <row r="18" spans="1:21" x14ac:dyDescent="0.3">
      <c r="A18" s="1" t="s">
        <v>292</v>
      </c>
      <c r="B18" s="1" t="s">
        <v>329</v>
      </c>
      <c r="C18" s="1" t="s">
        <v>175</v>
      </c>
      <c r="D18" s="4" t="s">
        <v>135</v>
      </c>
      <c r="E18" s="1" t="s">
        <v>788</v>
      </c>
      <c r="F18" s="1" t="s">
        <v>810</v>
      </c>
      <c r="G18" s="1" t="s">
        <v>172</v>
      </c>
      <c r="H18" s="4">
        <f>VLOOKUP(D18,orgNodes!$A$2:$D$43,4,FALSE)</f>
        <v>7</v>
      </c>
      <c r="I18" s="1" t="s">
        <v>400</v>
      </c>
      <c r="J18" s="1" t="s">
        <v>447</v>
      </c>
      <c r="K18" s="1" t="s">
        <v>457</v>
      </c>
      <c r="L18" s="1" t="s">
        <v>5</v>
      </c>
      <c r="M18" s="1" t="s">
        <v>460</v>
      </c>
      <c r="N18" s="1" t="s">
        <v>465</v>
      </c>
      <c r="O18" s="1" t="s">
        <v>5</v>
      </c>
      <c r="P18" s="1" t="s">
        <v>513</v>
      </c>
      <c r="Q18" s="1" t="s">
        <v>5</v>
      </c>
      <c r="R18" s="1" t="s">
        <v>96</v>
      </c>
      <c r="S18" s="1" t="s">
        <v>12</v>
      </c>
      <c r="T18" s="1" t="s">
        <v>512</v>
      </c>
      <c r="U18" s="1" t="s">
        <v>90</v>
      </c>
    </row>
    <row r="19" spans="1:21" x14ac:dyDescent="0.3">
      <c r="A19" s="1" t="s">
        <v>300</v>
      </c>
      <c r="B19" s="1" t="s">
        <v>330</v>
      </c>
      <c r="C19" s="1" t="s">
        <v>175</v>
      </c>
      <c r="D19" s="4" t="s">
        <v>135</v>
      </c>
      <c r="E19" s="1" t="s">
        <v>788</v>
      </c>
      <c r="F19" s="1" t="s">
        <v>811</v>
      </c>
      <c r="G19" s="1" t="s">
        <v>172</v>
      </c>
      <c r="H19" s="4">
        <f>VLOOKUP(D19,orgNodes!$A$2:$D$43,4,FALSE)</f>
        <v>7</v>
      </c>
      <c r="I19" s="1" t="s">
        <v>401</v>
      </c>
      <c r="J19" s="1" t="s">
        <v>444</v>
      </c>
      <c r="K19" s="1" t="s">
        <v>445</v>
      </c>
      <c r="L19" s="1" t="s">
        <v>5</v>
      </c>
      <c r="M19" s="1" t="s">
        <v>466</v>
      </c>
      <c r="N19" s="1" t="s">
        <v>467</v>
      </c>
      <c r="O19" s="1" t="s">
        <v>5</v>
      </c>
      <c r="P19" s="1" t="s">
        <v>7</v>
      </c>
      <c r="Q19" s="1" t="s">
        <v>5</v>
      </c>
      <c r="R19" s="1" t="s">
        <v>96</v>
      </c>
      <c r="S19" s="1" t="s">
        <v>12</v>
      </c>
      <c r="T19" s="1" t="s">
        <v>512</v>
      </c>
      <c r="U19" s="1" t="s">
        <v>508</v>
      </c>
    </row>
    <row r="20" spans="1:21" x14ac:dyDescent="0.3">
      <c r="A20" s="1" t="s">
        <v>303</v>
      </c>
      <c r="B20" s="1" t="s">
        <v>331</v>
      </c>
      <c r="C20" s="1" t="s">
        <v>175</v>
      </c>
      <c r="D20" s="4" t="s">
        <v>135</v>
      </c>
      <c r="E20" s="1" t="s">
        <v>788</v>
      </c>
      <c r="F20" s="1" t="s">
        <v>812</v>
      </c>
      <c r="G20" s="1" t="s">
        <v>172</v>
      </c>
      <c r="H20" s="4">
        <f>VLOOKUP(D20,orgNodes!$A$2:$D$43,4,FALSE)</f>
        <v>7</v>
      </c>
      <c r="I20" s="1" t="s">
        <v>402</v>
      </c>
      <c r="J20" s="1" t="s">
        <v>8</v>
      </c>
      <c r="K20" s="1" t="s">
        <v>2</v>
      </c>
      <c r="L20" s="1" t="s">
        <v>5</v>
      </c>
      <c r="M20" s="1" t="s">
        <v>9</v>
      </c>
      <c r="N20" s="1" t="s">
        <v>468</v>
      </c>
      <c r="O20" s="1" t="s">
        <v>12</v>
      </c>
      <c r="P20" s="1" t="s">
        <v>12</v>
      </c>
      <c r="Q20" s="1" t="s">
        <v>518</v>
      </c>
      <c r="R20" s="1" t="s">
        <v>12</v>
      </c>
      <c r="S20" s="1" t="s">
        <v>12</v>
      </c>
      <c r="T20" s="1" t="s">
        <v>512</v>
      </c>
      <c r="U20" s="1" t="s">
        <v>92</v>
      </c>
    </row>
    <row r="21" spans="1:21" x14ac:dyDescent="0.3">
      <c r="A21" s="1" t="s">
        <v>305</v>
      </c>
      <c r="B21" s="1" t="s">
        <v>332</v>
      </c>
      <c r="C21" s="1" t="s">
        <v>175</v>
      </c>
      <c r="D21" s="4" t="s">
        <v>135</v>
      </c>
      <c r="E21" s="1" t="s">
        <v>788</v>
      </c>
      <c r="F21" s="1" t="s">
        <v>813</v>
      </c>
      <c r="G21" s="1" t="s">
        <v>172</v>
      </c>
      <c r="H21" s="4">
        <f>VLOOKUP(D21,orgNodes!$A$2:$D$43,4,FALSE)</f>
        <v>7</v>
      </c>
      <c r="I21" s="1" t="s">
        <v>403</v>
      </c>
      <c r="J21" s="1" t="s">
        <v>447</v>
      </c>
      <c r="K21" s="1" t="s">
        <v>445</v>
      </c>
      <c r="L21" s="1" t="s">
        <v>5</v>
      </c>
      <c r="M21" s="1" t="s">
        <v>10</v>
      </c>
      <c r="N21" s="1" t="s">
        <v>91</v>
      </c>
      <c r="O21" s="1" t="s">
        <v>12</v>
      </c>
      <c r="P21" s="1" t="s">
        <v>12</v>
      </c>
      <c r="Q21" s="1" t="s">
        <v>12</v>
      </c>
      <c r="R21" s="1" t="s">
        <v>12</v>
      </c>
      <c r="S21" s="1" t="s">
        <v>12</v>
      </c>
      <c r="T21" s="1" t="s">
        <v>512</v>
      </c>
      <c r="U21" s="1" t="s">
        <v>90</v>
      </c>
    </row>
    <row r="22" spans="1:21" x14ac:dyDescent="0.3">
      <c r="A22" s="1" t="s">
        <v>306</v>
      </c>
      <c r="B22" s="1" t="s">
        <v>333</v>
      </c>
      <c r="C22" s="1" t="s">
        <v>175</v>
      </c>
      <c r="D22" s="4" t="s">
        <v>135</v>
      </c>
      <c r="E22" s="1" t="s">
        <v>788</v>
      </c>
      <c r="F22" s="1" t="s">
        <v>814</v>
      </c>
      <c r="G22" s="1" t="s">
        <v>172</v>
      </c>
      <c r="H22" s="4">
        <f>VLOOKUP(D22,orgNodes!$A$2:$D$43,4,FALSE)</f>
        <v>7</v>
      </c>
      <c r="I22" s="1" t="s">
        <v>404</v>
      </c>
      <c r="J22" s="1" t="s">
        <v>444</v>
      </c>
      <c r="K22" s="1" t="s">
        <v>445</v>
      </c>
      <c r="L22" s="1" t="s">
        <v>5</v>
      </c>
      <c r="M22" s="1" t="s">
        <v>10</v>
      </c>
      <c r="N22" s="1" t="s">
        <v>91</v>
      </c>
      <c r="O22" s="1" t="s">
        <v>12</v>
      </c>
      <c r="P22" s="1" t="s">
        <v>12</v>
      </c>
      <c r="Q22" s="1" t="s">
        <v>5</v>
      </c>
      <c r="R22" s="1" t="s">
        <v>12</v>
      </c>
      <c r="S22" s="1" t="s">
        <v>12</v>
      </c>
      <c r="T22" s="1" t="s">
        <v>512</v>
      </c>
      <c r="U22" s="1" t="s">
        <v>508</v>
      </c>
    </row>
    <row r="23" spans="1:21" x14ac:dyDescent="0.3">
      <c r="A23" s="1" t="s">
        <v>307</v>
      </c>
      <c r="B23" s="1" t="s">
        <v>334</v>
      </c>
      <c r="C23" s="1" t="s">
        <v>175</v>
      </c>
      <c r="D23" s="4" t="s">
        <v>135</v>
      </c>
      <c r="E23" s="1" t="s">
        <v>788</v>
      </c>
      <c r="F23" s="1" t="s">
        <v>815</v>
      </c>
      <c r="G23" s="1" t="s">
        <v>172</v>
      </c>
      <c r="H23" s="4">
        <f>VLOOKUP(D23,orgNodes!$A$2:$D$43,4,FALSE)</f>
        <v>7</v>
      </c>
      <c r="I23" s="1" t="s">
        <v>405</v>
      </c>
      <c r="J23" s="1" t="s">
        <v>444</v>
      </c>
      <c r="K23" s="1" t="s">
        <v>445</v>
      </c>
      <c r="L23" s="1" t="s">
        <v>5</v>
      </c>
      <c r="M23" s="1" t="s">
        <v>469</v>
      </c>
      <c r="N23" s="1" t="s">
        <v>470</v>
      </c>
      <c r="O23" s="1" t="s">
        <v>12</v>
      </c>
      <c r="P23" s="1" t="s">
        <v>12</v>
      </c>
      <c r="Q23" s="1" t="s">
        <v>518</v>
      </c>
      <c r="R23" s="1" t="s">
        <v>12</v>
      </c>
      <c r="S23" s="1" t="s">
        <v>12</v>
      </c>
      <c r="T23" s="1" t="s">
        <v>512</v>
      </c>
      <c r="U23" s="1" t="s">
        <v>508</v>
      </c>
    </row>
    <row r="24" spans="1:21" x14ac:dyDescent="0.3">
      <c r="A24" s="1" t="s">
        <v>309</v>
      </c>
      <c r="B24" s="1" t="s">
        <v>335</v>
      </c>
      <c r="C24" s="1" t="s">
        <v>175</v>
      </c>
      <c r="D24" s="4" t="s">
        <v>135</v>
      </c>
      <c r="E24" s="1" t="s">
        <v>788</v>
      </c>
      <c r="F24" s="1" t="s">
        <v>816</v>
      </c>
      <c r="G24" s="1" t="s">
        <v>172</v>
      </c>
      <c r="H24" s="4">
        <f>VLOOKUP(D24,orgNodes!$A$2:$D$43,4,FALSE)</f>
        <v>7</v>
      </c>
      <c r="I24" s="1" t="s">
        <v>406</v>
      </c>
      <c r="J24" s="1" t="s">
        <v>447</v>
      </c>
      <c r="K24" s="1" t="s">
        <v>457</v>
      </c>
      <c r="L24" s="1" t="s">
        <v>5</v>
      </c>
      <c r="M24" s="1" t="s">
        <v>471</v>
      </c>
      <c r="N24" s="1" t="s">
        <v>472</v>
      </c>
      <c r="O24" s="1" t="s">
        <v>5</v>
      </c>
      <c r="P24" s="1" t="s">
        <v>509</v>
      </c>
      <c r="Q24" s="1" t="s">
        <v>5</v>
      </c>
      <c r="R24" s="1" t="s">
        <v>510</v>
      </c>
      <c r="S24" s="1" t="s">
        <v>12</v>
      </c>
      <c r="T24" s="1" t="s">
        <v>13</v>
      </c>
      <c r="U24" s="1" t="s">
        <v>508</v>
      </c>
    </row>
    <row r="25" spans="1:21" x14ac:dyDescent="0.3">
      <c r="A25" s="1" t="s">
        <v>270</v>
      </c>
      <c r="B25" s="1" t="s">
        <v>336</v>
      </c>
      <c r="C25" s="1" t="s">
        <v>180</v>
      </c>
      <c r="D25" s="4" t="s">
        <v>141</v>
      </c>
      <c r="E25" s="1" t="s">
        <v>378</v>
      </c>
      <c r="F25" s="1" t="s">
        <v>817</v>
      </c>
      <c r="G25" s="1" t="s">
        <v>180</v>
      </c>
      <c r="H25" s="4">
        <f>VLOOKUP(D25,orgNodes!$A$2:$D$43,4,FALSE)</f>
        <v>10</v>
      </c>
      <c r="I25" s="1" t="s">
        <v>407</v>
      </c>
      <c r="J25" s="1" t="s">
        <v>8</v>
      </c>
      <c r="K25" s="1" t="s">
        <v>2</v>
      </c>
      <c r="L25" s="1" t="s">
        <v>5</v>
      </c>
      <c r="M25" s="1" t="s">
        <v>473</v>
      </c>
      <c r="N25" s="1" t="s">
        <v>474</v>
      </c>
      <c r="O25" s="1" t="s">
        <v>5</v>
      </c>
      <c r="P25" s="1" t="s">
        <v>11</v>
      </c>
      <c r="Q25" s="1" t="s">
        <v>12</v>
      </c>
      <c r="R25" s="1" t="s">
        <v>515</v>
      </c>
      <c r="S25" s="1" t="s">
        <v>5</v>
      </c>
      <c r="T25" s="1" t="s">
        <v>13</v>
      </c>
      <c r="U25" s="1" t="s">
        <v>90</v>
      </c>
    </row>
    <row r="26" spans="1:21" x14ac:dyDescent="0.3">
      <c r="A26" s="1" t="s">
        <v>276</v>
      </c>
      <c r="B26" s="1" t="s">
        <v>337</v>
      </c>
      <c r="C26" s="1" t="s">
        <v>180</v>
      </c>
      <c r="D26" s="4" t="s">
        <v>141</v>
      </c>
      <c r="E26" s="1" t="s">
        <v>378</v>
      </c>
      <c r="F26" s="1" t="s">
        <v>818</v>
      </c>
      <c r="G26" s="1" t="s">
        <v>180</v>
      </c>
      <c r="H26" s="4">
        <f>VLOOKUP(D26,orgNodes!$A$2:$D$43,4,FALSE)</f>
        <v>10</v>
      </c>
      <c r="I26" s="1" t="s">
        <v>408</v>
      </c>
      <c r="J26" s="1" t="s">
        <v>444</v>
      </c>
      <c r="K26" s="1" t="s">
        <v>457</v>
      </c>
      <c r="L26" s="1" t="s">
        <v>5</v>
      </c>
      <c r="M26" s="1" t="s">
        <v>475</v>
      </c>
      <c r="N26" s="1" t="s">
        <v>476</v>
      </c>
      <c r="O26" s="1" t="s">
        <v>5</v>
      </c>
      <c r="P26" s="1" t="s">
        <v>11</v>
      </c>
      <c r="Q26" s="1" t="s">
        <v>5</v>
      </c>
      <c r="R26" s="1" t="s">
        <v>510</v>
      </c>
      <c r="S26" s="1" t="s">
        <v>12</v>
      </c>
      <c r="T26" s="1" t="s">
        <v>13</v>
      </c>
      <c r="U26" s="1" t="s">
        <v>90</v>
      </c>
    </row>
    <row r="27" spans="1:21" x14ac:dyDescent="0.3">
      <c r="A27" s="1" t="s">
        <v>277</v>
      </c>
      <c r="B27" s="1" t="s">
        <v>338</v>
      </c>
      <c r="C27" s="1" t="s">
        <v>180</v>
      </c>
      <c r="D27" s="4" t="s">
        <v>141</v>
      </c>
      <c r="E27" s="1" t="s">
        <v>378</v>
      </c>
      <c r="F27" s="1" t="s">
        <v>819</v>
      </c>
      <c r="G27" s="1" t="s">
        <v>180</v>
      </c>
      <c r="H27" s="4">
        <f>VLOOKUP(D27,orgNodes!$A$2:$D$43,4,FALSE)</f>
        <v>10</v>
      </c>
      <c r="I27" s="1" t="s">
        <v>409</v>
      </c>
      <c r="J27" s="1" t="s">
        <v>444</v>
      </c>
      <c r="K27" s="1" t="s">
        <v>457</v>
      </c>
      <c r="L27" s="1" t="s">
        <v>5</v>
      </c>
      <c r="M27" s="1" t="s">
        <v>477</v>
      </c>
      <c r="N27" s="1" t="s">
        <v>478</v>
      </c>
      <c r="O27" s="1" t="s">
        <v>5</v>
      </c>
      <c r="P27" s="1" t="s">
        <v>509</v>
      </c>
      <c r="Q27" s="1" t="s">
        <v>5</v>
      </c>
      <c r="R27" s="1" t="s">
        <v>510</v>
      </c>
      <c r="S27" s="1" t="s">
        <v>5</v>
      </c>
      <c r="T27" s="1" t="s">
        <v>13</v>
      </c>
      <c r="U27" s="1" t="s">
        <v>508</v>
      </c>
    </row>
    <row r="28" spans="1:21" x14ac:dyDescent="0.3">
      <c r="A28" s="1" t="s">
        <v>287</v>
      </c>
      <c r="B28" s="1" t="s">
        <v>339</v>
      </c>
      <c r="C28" s="1" t="s">
        <v>180</v>
      </c>
      <c r="D28" s="4" t="s">
        <v>141</v>
      </c>
      <c r="E28" s="1" t="s">
        <v>378</v>
      </c>
      <c r="F28" s="1" t="s">
        <v>820</v>
      </c>
      <c r="G28" s="1" t="s">
        <v>180</v>
      </c>
      <c r="H28" s="4">
        <f>VLOOKUP(D28,orgNodes!$A$2:$D$43,4,FALSE)</f>
        <v>10</v>
      </c>
      <c r="I28" s="1" t="s">
        <v>410</v>
      </c>
      <c r="J28" s="1" t="s">
        <v>8</v>
      </c>
      <c r="K28" s="1" t="s">
        <v>2</v>
      </c>
      <c r="L28" s="1" t="s">
        <v>5</v>
      </c>
      <c r="M28" s="1" t="s">
        <v>9</v>
      </c>
      <c r="N28" s="1" t="s">
        <v>479</v>
      </c>
      <c r="O28" s="1" t="s">
        <v>5</v>
      </c>
      <c r="P28" s="1" t="s">
        <v>7</v>
      </c>
      <c r="Q28" s="1" t="s">
        <v>5</v>
      </c>
      <c r="R28" s="1" t="s">
        <v>93</v>
      </c>
      <c r="S28" s="1" t="s">
        <v>12</v>
      </c>
      <c r="T28" s="1" t="s">
        <v>13</v>
      </c>
      <c r="U28" s="1" t="s">
        <v>92</v>
      </c>
    </row>
    <row r="29" spans="1:21" x14ac:dyDescent="0.3">
      <c r="A29" s="1" t="s">
        <v>304</v>
      </c>
      <c r="B29" s="1" t="s">
        <v>340</v>
      </c>
      <c r="C29" s="1" t="s">
        <v>375</v>
      </c>
      <c r="D29" s="4" t="s">
        <v>772</v>
      </c>
      <c r="E29" s="1" t="s">
        <v>375</v>
      </c>
      <c r="F29" s="1" t="s">
        <v>848</v>
      </c>
      <c r="G29" s="1" t="s">
        <v>375</v>
      </c>
      <c r="H29" s="4" t="s">
        <v>850</v>
      </c>
      <c r="I29" s="1" t="s">
        <v>411</v>
      </c>
      <c r="J29" s="1" t="s">
        <v>447</v>
      </c>
      <c r="K29" s="1" t="s">
        <v>457</v>
      </c>
      <c r="L29" s="1" t="s">
        <v>5</v>
      </c>
      <c r="M29" s="1" t="s">
        <v>480</v>
      </c>
      <c r="N29" s="1" t="s">
        <v>481</v>
      </c>
      <c r="O29" s="1" t="s">
        <v>5</v>
      </c>
      <c r="P29" s="1" t="s">
        <v>11</v>
      </c>
      <c r="Q29" s="1" t="s">
        <v>5</v>
      </c>
      <c r="R29" s="1" t="s">
        <v>510</v>
      </c>
      <c r="S29" s="1" t="s">
        <v>12</v>
      </c>
      <c r="T29" s="1" t="s">
        <v>512</v>
      </c>
      <c r="U29" s="1" t="s">
        <v>90</v>
      </c>
    </row>
    <row r="30" spans="1:21" x14ac:dyDescent="0.3">
      <c r="A30" s="1" t="s">
        <v>278</v>
      </c>
      <c r="B30" s="1" t="s">
        <v>341</v>
      </c>
      <c r="C30" s="1" t="s">
        <v>181</v>
      </c>
      <c r="D30" s="4" t="s">
        <v>142</v>
      </c>
      <c r="E30" s="1" t="s">
        <v>379</v>
      </c>
      <c r="F30" s="1" t="s">
        <v>821</v>
      </c>
      <c r="G30" s="1" t="s">
        <v>181</v>
      </c>
      <c r="H30" s="4">
        <f>VLOOKUP(D30,orgNodes!$A$2:$D$43,4,FALSE)</f>
        <v>10</v>
      </c>
      <c r="I30" s="1" t="s">
        <v>412</v>
      </c>
      <c r="J30" s="1" t="s">
        <v>444</v>
      </c>
      <c r="K30" s="1" t="s">
        <v>448</v>
      </c>
      <c r="L30" s="1" t="s">
        <v>5</v>
      </c>
      <c r="M30" s="1" t="s">
        <v>10</v>
      </c>
      <c r="N30" s="1" t="s">
        <v>91</v>
      </c>
      <c r="O30" s="1" t="s">
        <v>5</v>
      </c>
      <c r="P30" s="1" t="s">
        <v>11</v>
      </c>
      <c r="Q30" s="1" t="s">
        <v>12</v>
      </c>
      <c r="R30" s="1" t="s">
        <v>516</v>
      </c>
      <c r="S30" s="1" t="s">
        <v>12</v>
      </c>
      <c r="T30" s="1" t="s">
        <v>13</v>
      </c>
      <c r="U30" s="1" t="s">
        <v>508</v>
      </c>
    </row>
    <row r="31" spans="1:21" x14ac:dyDescent="0.3">
      <c r="A31" s="1" t="s">
        <v>273</v>
      </c>
      <c r="B31" s="1" t="s">
        <v>342</v>
      </c>
      <c r="C31" s="1" t="s">
        <v>182</v>
      </c>
      <c r="D31" s="4" t="s">
        <v>143</v>
      </c>
      <c r="E31" s="1" t="s">
        <v>380</v>
      </c>
      <c r="F31" s="1" t="s">
        <v>822</v>
      </c>
      <c r="G31" s="1" t="s">
        <v>182</v>
      </c>
      <c r="H31" s="4">
        <f>VLOOKUP(D31,orgNodes!$A$2:$D$43,4,FALSE)</f>
        <v>10</v>
      </c>
      <c r="I31" s="1" t="s">
        <v>413</v>
      </c>
      <c r="J31" s="1" t="s">
        <v>444</v>
      </c>
      <c r="K31" s="1" t="s">
        <v>448</v>
      </c>
      <c r="L31" s="1" t="s">
        <v>5</v>
      </c>
      <c r="M31" s="1" t="s">
        <v>482</v>
      </c>
      <c r="N31" s="1" t="s">
        <v>91</v>
      </c>
      <c r="O31" s="1" t="s">
        <v>5</v>
      </c>
      <c r="P31" s="1" t="s">
        <v>519</v>
      </c>
      <c r="Q31" s="1" t="s">
        <v>12</v>
      </c>
      <c r="R31" s="1" t="s">
        <v>516</v>
      </c>
      <c r="S31" s="1" t="s">
        <v>12</v>
      </c>
      <c r="T31" s="1" t="s">
        <v>13</v>
      </c>
      <c r="U31" s="1" t="s">
        <v>514</v>
      </c>
    </row>
    <row r="32" spans="1:21" x14ac:dyDescent="0.3">
      <c r="A32" s="1" t="s">
        <v>284</v>
      </c>
      <c r="B32" s="1" t="s">
        <v>343</v>
      </c>
      <c r="C32" s="1" t="s">
        <v>177</v>
      </c>
      <c r="D32" s="4" t="s">
        <v>138</v>
      </c>
      <c r="E32" s="1" t="s">
        <v>381</v>
      </c>
      <c r="F32" s="1" t="s">
        <v>823</v>
      </c>
      <c r="G32" s="1" t="s">
        <v>177</v>
      </c>
      <c r="H32" s="4">
        <f>VLOOKUP(D32,orgNodes!$A$2:$D$43,4,FALSE)</f>
        <v>9</v>
      </c>
      <c r="I32" s="1" t="s">
        <v>414</v>
      </c>
      <c r="J32" s="1" t="s">
        <v>444</v>
      </c>
      <c r="K32" s="1" t="s">
        <v>448</v>
      </c>
      <c r="L32" s="1" t="s">
        <v>5</v>
      </c>
      <c r="M32" s="1" t="s">
        <v>441</v>
      </c>
      <c r="N32" s="1" t="s">
        <v>483</v>
      </c>
      <c r="O32" s="1" t="s">
        <v>5</v>
      </c>
      <c r="P32" s="1" t="s">
        <v>519</v>
      </c>
      <c r="Q32" s="1" t="s">
        <v>12</v>
      </c>
      <c r="R32" s="1" t="s">
        <v>516</v>
      </c>
      <c r="S32" s="1" t="s">
        <v>12</v>
      </c>
      <c r="T32" s="1" t="s">
        <v>13</v>
      </c>
      <c r="U32" s="1" t="s">
        <v>90</v>
      </c>
    </row>
    <row r="33" spans="1:21" x14ac:dyDescent="0.3">
      <c r="A33" s="1" t="s">
        <v>311</v>
      </c>
      <c r="B33" s="1" t="s">
        <v>344</v>
      </c>
      <c r="C33" s="1" t="s">
        <v>177</v>
      </c>
      <c r="D33" s="4" t="s">
        <v>138</v>
      </c>
      <c r="E33" s="1" t="s">
        <v>789</v>
      </c>
      <c r="F33" s="1" t="s">
        <v>824</v>
      </c>
      <c r="G33" s="1" t="s">
        <v>177</v>
      </c>
      <c r="H33" s="4">
        <f>VLOOKUP(D33,orgNodes!$A$2:$D$43,4,FALSE)</f>
        <v>9</v>
      </c>
      <c r="I33" s="1" t="s">
        <v>415</v>
      </c>
      <c r="J33" s="1" t="s">
        <v>444</v>
      </c>
      <c r="K33" s="1" t="s">
        <v>448</v>
      </c>
      <c r="L33" s="1" t="s">
        <v>5</v>
      </c>
      <c r="M33" s="1" t="s">
        <v>484</v>
      </c>
      <c r="N33" s="1" t="s">
        <v>485</v>
      </c>
      <c r="O33" s="1" t="s">
        <v>5</v>
      </c>
      <c r="P33" s="1" t="s">
        <v>7</v>
      </c>
      <c r="Q33" s="1" t="s">
        <v>5</v>
      </c>
      <c r="R33" s="1" t="s">
        <v>510</v>
      </c>
      <c r="S33" s="1" t="s">
        <v>12</v>
      </c>
      <c r="T33" s="1" t="s">
        <v>13</v>
      </c>
      <c r="U33" s="1" t="s">
        <v>92</v>
      </c>
    </row>
    <row r="34" spans="1:21" x14ac:dyDescent="0.3">
      <c r="A34" s="1" t="s">
        <v>275</v>
      </c>
      <c r="B34" s="1" t="s">
        <v>345</v>
      </c>
      <c r="C34" s="1" t="s">
        <v>176</v>
      </c>
      <c r="D34" s="4" t="s">
        <v>137</v>
      </c>
      <c r="E34" s="1" t="s">
        <v>382</v>
      </c>
      <c r="F34" s="1" t="s">
        <v>825</v>
      </c>
      <c r="G34" s="1" t="s">
        <v>176</v>
      </c>
      <c r="H34" s="4">
        <f>VLOOKUP(D34,orgNodes!$A$2:$D$43,4,FALSE)</f>
        <v>8</v>
      </c>
      <c r="I34" s="1" t="s">
        <v>416</v>
      </c>
      <c r="J34" s="1" t="s">
        <v>447</v>
      </c>
      <c r="K34" s="1" t="s">
        <v>448</v>
      </c>
      <c r="L34" s="1" t="s">
        <v>5</v>
      </c>
      <c r="M34" s="1" t="s">
        <v>460</v>
      </c>
      <c r="N34" s="1" t="s">
        <v>486</v>
      </c>
      <c r="O34" s="1" t="s">
        <v>5</v>
      </c>
      <c r="P34" s="1" t="s">
        <v>11</v>
      </c>
      <c r="Q34" s="1" t="s">
        <v>518</v>
      </c>
      <c r="R34" s="1" t="s">
        <v>516</v>
      </c>
      <c r="S34" s="1" t="s">
        <v>518</v>
      </c>
      <c r="T34" s="1" t="s">
        <v>13</v>
      </c>
      <c r="U34" s="1" t="s">
        <v>508</v>
      </c>
    </row>
    <row r="35" spans="1:21" x14ac:dyDescent="0.3">
      <c r="A35" s="1" t="s">
        <v>269</v>
      </c>
      <c r="B35" s="1" t="s">
        <v>346</v>
      </c>
      <c r="C35" s="1" t="s">
        <v>185</v>
      </c>
      <c r="D35" s="4" t="s">
        <v>146</v>
      </c>
      <c r="E35" s="1" t="s">
        <v>790</v>
      </c>
      <c r="F35" s="1" t="s">
        <v>826</v>
      </c>
      <c r="G35" s="1" t="s">
        <v>183</v>
      </c>
      <c r="H35" s="4">
        <f>VLOOKUP(D35,orgNodes!$A$2:$D$43,4,FALSE)</f>
        <v>10</v>
      </c>
      <c r="I35" s="1" t="s">
        <v>417</v>
      </c>
      <c r="J35" s="1" t="s">
        <v>8</v>
      </c>
      <c r="K35" s="1" t="s">
        <v>487</v>
      </c>
      <c r="L35" s="1" t="s">
        <v>449</v>
      </c>
      <c r="M35" s="1" t="s">
        <v>460</v>
      </c>
      <c r="N35" s="1" t="s">
        <v>488</v>
      </c>
      <c r="O35" s="1" t="s">
        <v>5</v>
      </c>
      <c r="P35" s="1" t="s">
        <v>509</v>
      </c>
      <c r="Q35" s="1" t="s">
        <v>5</v>
      </c>
      <c r="R35" s="1" t="s">
        <v>510</v>
      </c>
      <c r="S35" s="1" t="s">
        <v>518</v>
      </c>
      <c r="T35" s="1" t="s">
        <v>13</v>
      </c>
      <c r="U35" s="1" t="s">
        <v>90</v>
      </c>
    </row>
    <row r="36" spans="1:21" x14ac:dyDescent="0.3">
      <c r="A36" s="1" t="s">
        <v>274</v>
      </c>
      <c r="B36" s="1" t="s">
        <v>347</v>
      </c>
      <c r="C36" s="1" t="s">
        <v>185</v>
      </c>
      <c r="D36" s="4" t="s">
        <v>146</v>
      </c>
      <c r="E36" s="1" t="s">
        <v>790</v>
      </c>
      <c r="F36" s="1" t="s">
        <v>827</v>
      </c>
      <c r="G36" s="1" t="s">
        <v>183</v>
      </c>
      <c r="H36" s="4">
        <f>VLOOKUP(D36,orgNodes!$A$2:$D$43,4,FALSE)</f>
        <v>10</v>
      </c>
      <c r="I36" s="1" t="s">
        <v>418</v>
      </c>
      <c r="J36" s="1" t="s">
        <v>447</v>
      </c>
      <c r="K36" s="1" t="s">
        <v>457</v>
      </c>
      <c r="L36" s="1" t="s">
        <v>449</v>
      </c>
      <c r="M36" s="1" t="s">
        <v>460</v>
      </c>
      <c r="N36" s="1" t="s">
        <v>6</v>
      </c>
      <c r="O36" s="1" t="s">
        <v>5</v>
      </c>
      <c r="P36" s="1" t="s">
        <v>11</v>
      </c>
      <c r="Q36" s="1" t="s">
        <v>12</v>
      </c>
      <c r="R36" s="1" t="s">
        <v>516</v>
      </c>
      <c r="S36" s="1" t="s">
        <v>5</v>
      </c>
      <c r="T36" s="1" t="s">
        <v>13</v>
      </c>
      <c r="U36" s="1" t="s">
        <v>90</v>
      </c>
    </row>
    <row r="37" spans="1:21" x14ac:dyDescent="0.3">
      <c r="A37" s="1" t="s">
        <v>282</v>
      </c>
      <c r="B37" s="1" t="s">
        <v>348</v>
      </c>
      <c r="C37" s="1" t="s">
        <v>185</v>
      </c>
      <c r="D37" s="4" t="s">
        <v>146</v>
      </c>
      <c r="E37" s="1" t="s">
        <v>790</v>
      </c>
      <c r="F37" s="1" t="s">
        <v>828</v>
      </c>
      <c r="G37" s="1" t="s">
        <v>183</v>
      </c>
      <c r="H37" s="4">
        <f>VLOOKUP(D37,orgNodes!$A$2:$D$43,4,FALSE)</f>
        <v>10</v>
      </c>
      <c r="I37" s="1" t="s">
        <v>419</v>
      </c>
      <c r="J37" s="1" t="s">
        <v>444</v>
      </c>
      <c r="K37" s="1" t="s">
        <v>448</v>
      </c>
      <c r="L37" s="1" t="s">
        <v>5</v>
      </c>
      <c r="M37" s="1" t="s">
        <v>460</v>
      </c>
      <c r="N37" s="1" t="s">
        <v>489</v>
      </c>
      <c r="O37" s="1" t="s">
        <v>5</v>
      </c>
      <c r="P37" s="1" t="s">
        <v>7</v>
      </c>
      <c r="Q37" s="1" t="s">
        <v>5</v>
      </c>
      <c r="R37" s="1" t="s">
        <v>510</v>
      </c>
      <c r="S37" s="1" t="s">
        <v>12</v>
      </c>
      <c r="T37" s="1" t="s">
        <v>13</v>
      </c>
      <c r="U37" s="1" t="s">
        <v>90</v>
      </c>
    </row>
    <row r="38" spans="1:21" x14ac:dyDescent="0.3">
      <c r="A38" s="1" t="s">
        <v>280</v>
      </c>
      <c r="B38" s="1" t="s">
        <v>349</v>
      </c>
      <c r="C38" s="1" t="s">
        <v>185</v>
      </c>
      <c r="D38" s="4" t="s">
        <v>146</v>
      </c>
      <c r="E38" s="1" t="s">
        <v>790</v>
      </c>
      <c r="F38" s="1" t="s">
        <v>829</v>
      </c>
      <c r="G38" s="1" t="s">
        <v>183</v>
      </c>
      <c r="H38" s="4">
        <f>VLOOKUP(D38,orgNodes!$A$2:$D$43,4,FALSE)</f>
        <v>10</v>
      </c>
      <c r="I38" s="1" t="s">
        <v>420</v>
      </c>
      <c r="J38" s="1" t="s">
        <v>444</v>
      </c>
      <c r="K38" s="1" t="s">
        <v>457</v>
      </c>
      <c r="L38" s="1" t="s">
        <v>5</v>
      </c>
      <c r="M38" s="1" t="s">
        <v>490</v>
      </c>
      <c r="N38" s="1" t="s">
        <v>489</v>
      </c>
      <c r="O38" s="1" t="s">
        <v>5</v>
      </c>
      <c r="P38" s="1" t="s">
        <v>7</v>
      </c>
      <c r="Q38" s="1" t="s">
        <v>5</v>
      </c>
      <c r="R38" s="1" t="s">
        <v>510</v>
      </c>
      <c r="S38" s="1" t="s">
        <v>12</v>
      </c>
      <c r="T38" s="1" t="s">
        <v>13</v>
      </c>
      <c r="U38" s="1" t="s">
        <v>90</v>
      </c>
    </row>
    <row r="39" spans="1:21" x14ac:dyDescent="0.3">
      <c r="A39" s="1" t="s">
        <v>286</v>
      </c>
      <c r="B39" s="1" t="s">
        <v>350</v>
      </c>
      <c r="C39" s="1" t="s">
        <v>185</v>
      </c>
      <c r="D39" s="4" t="s">
        <v>146</v>
      </c>
      <c r="E39" s="1" t="s">
        <v>790</v>
      </c>
      <c r="F39" s="1" t="s">
        <v>830</v>
      </c>
      <c r="G39" s="1" t="s">
        <v>183</v>
      </c>
      <c r="H39" s="4">
        <f>VLOOKUP(D39,orgNodes!$A$2:$D$43,4,FALSE)</f>
        <v>10</v>
      </c>
      <c r="I39" s="1" t="s">
        <v>421</v>
      </c>
      <c r="J39" s="1" t="s">
        <v>447</v>
      </c>
      <c r="K39" s="1" t="s">
        <v>448</v>
      </c>
      <c r="L39" s="1" t="s">
        <v>449</v>
      </c>
      <c r="M39" s="1" t="s">
        <v>10</v>
      </c>
      <c r="N39" s="1" t="s">
        <v>91</v>
      </c>
      <c r="O39" s="1" t="s">
        <v>5</v>
      </c>
      <c r="P39" s="1" t="s">
        <v>509</v>
      </c>
      <c r="Q39" s="1" t="s">
        <v>5</v>
      </c>
      <c r="R39" s="1" t="s">
        <v>96</v>
      </c>
      <c r="S39" s="1" t="s">
        <v>5</v>
      </c>
      <c r="T39" s="1" t="s">
        <v>13</v>
      </c>
      <c r="U39" s="1" t="s">
        <v>90</v>
      </c>
    </row>
    <row r="40" spans="1:21" x14ac:dyDescent="0.3">
      <c r="A40" s="1" t="s">
        <v>288</v>
      </c>
      <c r="B40" s="1" t="s">
        <v>351</v>
      </c>
      <c r="C40" s="1" t="s">
        <v>185</v>
      </c>
      <c r="D40" s="4" t="s">
        <v>146</v>
      </c>
      <c r="E40" s="1" t="s">
        <v>790</v>
      </c>
      <c r="F40" s="1" t="s">
        <v>831</v>
      </c>
      <c r="G40" s="1" t="s">
        <v>183</v>
      </c>
      <c r="H40" s="4">
        <f>VLOOKUP(D40,orgNodes!$A$2:$D$43,4,FALSE)</f>
        <v>10</v>
      </c>
      <c r="I40" s="1" t="s">
        <v>422</v>
      </c>
      <c r="J40" s="1" t="s">
        <v>447</v>
      </c>
      <c r="K40" s="1" t="s">
        <v>448</v>
      </c>
      <c r="L40" s="1" t="s">
        <v>5</v>
      </c>
      <c r="M40" s="1" t="s">
        <v>491</v>
      </c>
      <c r="N40" s="1" t="s">
        <v>773</v>
      </c>
      <c r="O40" s="1" t="s">
        <v>5</v>
      </c>
      <c r="P40" s="1" t="s">
        <v>509</v>
      </c>
      <c r="Q40" s="1" t="s">
        <v>5</v>
      </c>
      <c r="R40" s="1" t="s">
        <v>510</v>
      </c>
      <c r="S40" s="1" t="s">
        <v>5</v>
      </c>
      <c r="T40" s="1" t="s">
        <v>13</v>
      </c>
      <c r="U40" s="1" t="s">
        <v>90</v>
      </c>
    </row>
    <row r="41" spans="1:21" x14ac:dyDescent="0.3">
      <c r="A41" s="1" t="s">
        <v>294</v>
      </c>
      <c r="B41" s="1" t="s">
        <v>352</v>
      </c>
      <c r="C41" s="1" t="s">
        <v>185</v>
      </c>
      <c r="D41" s="4" t="s">
        <v>146</v>
      </c>
      <c r="E41" s="1" t="s">
        <v>790</v>
      </c>
      <c r="F41" s="1" t="s">
        <v>832</v>
      </c>
      <c r="G41" s="1" t="s">
        <v>183</v>
      </c>
      <c r="H41" s="4">
        <f>VLOOKUP(D41,orgNodes!$A$2:$D$43,4,FALSE)</f>
        <v>10</v>
      </c>
      <c r="I41" s="1" t="s">
        <v>423</v>
      </c>
      <c r="J41" s="1" t="s">
        <v>8</v>
      </c>
      <c r="K41" s="1" t="s">
        <v>2</v>
      </c>
      <c r="L41" s="1" t="s">
        <v>449</v>
      </c>
      <c r="M41" s="1" t="s">
        <v>460</v>
      </c>
      <c r="N41" s="1" t="s">
        <v>6</v>
      </c>
      <c r="O41" s="1" t="s">
        <v>5</v>
      </c>
      <c r="P41" s="1" t="s">
        <v>11</v>
      </c>
      <c r="Q41" s="1" t="s">
        <v>5</v>
      </c>
      <c r="R41" s="1" t="s">
        <v>510</v>
      </c>
      <c r="S41" s="1" t="s">
        <v>12</v>
      </c>
      <c r="T41" s="1" t="s">
        <v>13</v>
      </c>
      <c r="U41" s="1" t="s">
        <v>90</v>
      </c>
    </row>
    <row r="42" spans="1:21" x14ac:dyDescent="0.3">
      <c r="A42" s="1" t="s">
        <v>279</v>
      </c>
      <c r="B42" s="1" t="s">
        <v>353</v>
      </c>
      <c r="C42" s="1" t="s">
        <v>185</v>
      </c>
      <c r="D42" s="4" t="s">
        <v>146</v>
      </c>
      <c r="E42" s="1" t="s">
        <v>790</v>
      </c>
      <c r="F42" s="1" t="s">
        <v>833</v>
      </c>
      <c r="G42" s="1" t="s">
        <v>183</v>
      </c>
      <c r="H42" s="4">
        <f>VLOOKUP(D42,orgNodes!$A$2:$D$43,4,FALSE)</f>
        <v>10</v>
      </c>
      <c r="I42" s="1" t="s">
        <v>424</v>
      </c>
      <c r="J42" s="1" t="s">
        <v>447</v>
      </c>
      <c r="K42" s="1" t="s">
        <v>448</v>
      </c>
      <c r="L42" s="1" t="s">
        <v>449</v>
      </c>
      <c r="M42" s="1" t="s">
        <v>492</v>
      </c>
      <c r="N42" s="1" t="s">
        <v>493</v>
      </c>
      <c r="O42" s="1" t="s">
        <v>5</v>
      </c>
      <c r="P42" s="1" t="s">
        <v>7</v>
      </c>
      <c r="Q42" s="1" t="s">
        <v>5</v>
      </c>
      <c r="R42" s="1" t="s">
        <v>510</v>
      </c>
      <c r="S42" s="1" t="s">
        <v>12</v>
      </c>
      <c r="T42" s="1" t="s">
        <v>13</v>
      </c>
      <c r="U42" s="1" t="s">
        <v>90</v>
      </c>
    </row>
    <row r="43" spans="1:21" x14ac:dyDescent="0.3">
      <c r="A43" s="1" t="s">
        <v>281</v>
      </c>
      <c r="B43" s="1" t="s">
        <v>354</v>
      </c>
      <c r="C43" s="1" t="s">
        <v>185</v>
      </c>
      <c r="D43" s="4" t="s">
        <v>146</v>
      </c>
      <c r="E43" s="1" t="s">
        <v>790</v>
      </c>
      <c r="F43" s="1" t="s">
        <v>834</v>
      </c>
      <c r="G43" s="1" t="s">
        <v>183</v>
      </c>
      <c r="H43" s="4">
        <f>VLOOKUP(D43,orgNodes!$A$2:$D$43,4,FALSE)</f>
        <v>10</v>
      </c>
      <c r="I43" s="1" t="s">
        <v>425</v>
      </c>
      <c r="J43" s="1" t="s">
        <v>447</v>
      </c>
      <c r="K43" s="1" t="s">
        <v>448</v>
      </c>
      <c r="L43" s="1" t="s">
        <v>5</v>
      </c>
      <c r="M43" s="1" t="s">
        <v>10</v>
      </c>
      <c r="N43" s="1" t="s">
        <v>6</v>
      </c>
      <c r="O43" s="1" t="s">
        <v>5</v>
      </c>
      <c r="P43" s="1" t="s">
        <v>7</v>
      </c>
      <c r="Q43" s="1" t="s">
        <v>5</v>
      </c>
      <c r="R43" s="1" t="s">
        <v>510</v>
      </c>
      <c r="S43" s="1" t="s">
        <v>12</v>
      </c>
      <c r="T43" s="1" t="s">
        <v>13</v>
      </c>
      <c r="U43" s="1" t="s">
        <v>90</v>
      </c>
    </row>
    <row r="44" spans="1:21" x14ac:dyDescent="0.3">
      <c r="A44" s="1" t="s">
        <v>299</v>
      </c>
      <c r="B44" s="1" t="s">
        <v>355</v>
      </c>
      <c r="C44" s="1" t="s">
        <v>185</v>
      </c>
      <c r="D44" s="4" t="s">
        <v>146</v>
      </c>
      <c r="E44" s="1" t="s">
        <v>790</v>
      </c>
      <c r="F44" s="1" t="s">
        <v>835</v>
      </c>
      <c r="G44" s="1" t="s">
        <v>183</v>
      </c>
      <c r="H44" s="4">
        <f>VLOOKUP(D44,orgNodes!$A$2:$D$43,4,FALSE)</f>
        <v>10</v>
      </c>
      <c r="I44" s="1" t="s">
        <v>426</v>
      </c>
      <c r="J44" s="1" t="s">
        <v>447</v>
      </c>
      <c r="K44" s="1" t="s">
        <v>448</v>
      </c>
      <c r="L44" s="1" t="s">
        <v>449</v>
      </c>
      <c r="M44" s="1" t="s">
        <v>460</v>
      </c>
      <c r="N44" s="1" t="s">
        <v>461</v>
      </c>
      <c r="O44" s="1" t="s">
        <v>5</v>
      </c>
      <c r="P44" s="1" t="s">
        <v>509</v>
      </c>
      <c r="Q44" s="1" t="s">
        <v>5</v>
      </c>
      <c r="R44" s="1" t="s">
        <v>510</v>
      </c>
      <c r="S44" s="1" t="s">
        <v>5</v>
      </c>
      <c r="T44" s="1" t="s">
        <v>13</v>
      </c>
      <c r="U44" s="1" t="s">
        <v>90</v>
      </c>
    </row>
    <row r="45" spans="1:21" x14ac:dyDescent="0.3">
      <c r="A45" s="1" t="s">
        <v>285</v>
      </c>
      <c r="B45" s="1" t="s">
        <v>356</v>
      </c>
      <c r="C45" s="1" t="s">
        <v>376</v>
      </c>
      <c r="D45" s="4" t="s">
        <v>772</v>
      </c>
      <c r="E45" s="1" t="s">
        <v>376</v>
      </c>
      <c r="F45" s="1" t="s">
        <v>849</v>
      </c>
      <c r="G45" s="1" t="s">
        <v>376</v>
      </c>
      <c r="H45" s="4" t="s">
        <v>850</v>
      </c>
      <c r="I45" s="1" t="s">
        <v>427</v>
      </c>
      <c r="J45" s="1" t="s">
        <v>8</v>
      </c>
      <c r="K45" s="1" t="s">
        <v>2</v>
      </c>
      <c r="L45" s="1" t="s">
        <v>5</v>
      </c>
      <c r="M45" s="1" t="s">
        <v>9</v>
      </c>
      <c r="N45" s="1" t="s">
        <v>7</v>
      </c>
      <c r="O45" s="1" t="s">
        <v>12</v>
      </c>
      <c r="P45" s="1" t="s">
        <v>12</v>
      </c>
      <c r="Q45" s="1" t="s">
        <v>12</v>
      </c>
      <c r="R45" s="1" t="s">
        <v>12</v>
      </c>
      <c r="S45" s="1" t="s">
        <v>12</v>
      </c>
      <c r="T45" s="1" t="s">
        <v>13</v>
      </c>
      <c r="U45" s="1" t="s">
        <v>92</v>
      </c>
    </row>
    <row r="46" spans="1:21" x14ac:dyDescent="0.3">
      <c r="A46" s="1" t="s">
        <v>302</v>
      </c>
      <c r="B46" s="1" t="s">
        <v>847</v>
      </c>
      <c r="C46" s="1" t="s">
        <v>186</v>
      </c>
      <c r="D46" s="4" t="s">
        <v>147</v>
      </c>
      <c r="E46" s="1" t="s">
        <v>383</v>
      </c>
      <c r="F46" s="1" t="s">
        <v>846</v>
      </c>
      <c r="G46" s="1" t="s">
        <v>186</v>
      </c>
      <c r="H46" s="4">
        <f>VLOOKUP(D46,orgNodes!$A$2:$D$43,4,FALSE)</f>
        <v>10</v>
      </c>
      <c r="I46" s="1" t="s">
        <v>267</v>
      </c>
      <c r="J46" s="1" t="s">
        <v>8</v>
      </c>
      <c r="K46" s="1" t="s">
        <v>2</v>
      </c>
      <c r="L46" s="1" t="s">
        <v>5</v>
      </c>
      <c r="M46" s="1" t="s">
        <v>494</v>
      </c>
      <c r="N46" s="1" t="s">
        <v>495</v>
      </c>
      <c r="O46" s="1" t="s">
        <v>12</v>
      </c>
      <c r="P46" s="1" t="s">
        <v>12</v>
      </c>
      <c r="Q46" s="1" t="s">
        <v>5</v>
      </c>
      <c r="R46" s="1" t="s">
        <v>12</v>
      </c>
      <c r="S46" s="1" t="s">
        <v>12</v>
      </c>
      <c r="T46" s="1" t="s">
        <v>512</v>
      </c>
      <c r="U46" s="1" t="s">
        <v>508</v>
      </c>
    </row>
    <row r="47" spans="1:21" x14ac:dyDescent="0.3">
      <c r="A47" s="1" t="s">
        <v>301</v>
      </c>
      <c r="B47" s="1" t="s">
        <v>358</v>
      </c>
      <c r="C47" s="1" t="s">
        <v>149</v>
      </c>
      <c r="D47" s="4" t="s">
        <v>29</v>
      </c>
      <c r="E47" s="1" t="s">
        <v>791</v>
      </c>
      <c r="F47" s="1" t="s">
        <v>836</v>
      </c>
      <c r="G47" s="1" t="s">
        <v>16</v>
      </c>
      <c r="H47" s="4">
        <f>VLOOKUP(D47,orgNodes!$A$2:$D$43,4,FALSE)</f>
        <v>2</v>
      </c>
      <c r="I47" s="1" t="s">
        <v>428</v>
      </c>
      <c r="J47" s="1" t="s">
        <v>444</v>
      </c>
      <c r="K47" s="1" t="s">
        <v>445</v>
      </c>
      <c r="L47" s="1" t="s">
        <v>449</v>
      </c>
      <c r="M47" s="1" t="s">
        <v>6</v>
      </c>
      <c r="N47" s="1" t="s">
        <v>6</v>
      </c>
      <c r="O47" s="1" t="s">
        <v>5</v>
      </c>
      <c r="P47" s="1" t="s">
        <v>6</v>
      </c>
      <c r="Q47" s="1" t="s">
        <v>6</v>
      </c>
      <c r="R47" s="1" t="s">
        <v>516</v>
      </c>
      <c r="S47" s="1" t="s">
        <v>6</v>
      </c>
      <c r="T47" s="1" t="s">
        <v>13</v>
      </c>
      <c r="U47" s="1" t="s">
        <v>6</v>
      </c>
    </row>
    <row r="48" spans="1:21" x14ac:dyDescent="0.3">
      <c r="A48" s="1" t="s">
        <v>297</v>
      </c>
      <c r="B48" s="1" t="s">
        <v>359</v>
      </c>
      <c r="C48" s="1" t="s">
        <v>150</v>
      </c>
      <c r="D48" s="4" t="s">
        <v>30</v>
      </c>
      <c r="E48" s="1" t="s">
        <v>792</v>
      </c>
      <c r="F48" s="1" t="s">
        <v>837</v>
      </c>
      <c r="G48" s="1" t="s">
        <v>16</v>
      </c>
      <c r="H48" s="4">
        <f>VLOOKUP(D48,orgNodes!$A$2:$D$43,4,FALSE)</f>
        <v>2</v>
      </c>
      <c r="I48" s="1" t="s">
        <v>429</v>
      </c>
      <c r="J48" s="1" t="s">
        <v>444</v>
      </c>
      <c r="K48" s="1" t="s">
        <v>448</v>
      </c>
      <c r="L48" s="1" t="s">
        <v>5</v>
      </c>
      <c r="M48" s="1" t="s">
        <v>460</v>
      </c>
      <c r="N48" s="1" t="s">
        <v>496</v>
      </c>
      <c r="O48" s="1" t="s">
        <v>12</v>
      </c>
      <c r="P48" s="1" t="s">
        <v>12</v>
      </c>
      <c r="Q48" s="1" t="s">
        <v>5</v>
      </c>
      <c r="R48" s="1" t="s">
        <v>12</v>
      </c>
      <c r="S48" s="1" t="s">
        <v>12</v>
      </c>
      <c r="T48" s="1" t="s">
        <v>13</v>
      </c>
      <c r="U48" s="1" t="s">
        <v>90</v>
      </c>
    </row>
    <row r="49" spans="1:21" x14ac:dyDescent="0.3">
      <c r="A49" s="1" t="s">
        <v>290</v>
      </c>
      <c r="B49" s="1" t="s">
        <v>360</v>
      </c>
      <c r="C49" s="1" t="s">
        <v>151</v>
      </c>
      <c r="D49" s="4" t="s">
        <v>31</v>
      </c>
      <c r="E49" s="1" t="s">
        <v>851</v>
      </c>
      <c r="F49" s="1" t="s">
        <v>852</v>
      </c>
      <c r="G49" s="1" t="s">
        <v>16</v>
      </c>
      <c r="H49" s="4">
        <f>VLOOKUP(D49,orgNodes!$A$2:$D$43,4,FALSE)</f>
        <v>2</v>
      </c>
      <c r="I49" s="1" t="s">
        <v>430</v>
      </c>
      <c r="J49" s="1" t="s">
        <v>447</v>
      </c>
      <c r="K49" s="1" t="s">
        <v>457</v>
      </c>
      <c r="L49" s="1" t="s">
        <v>5</v>
      </c>
      <c r="M49" s="1" t="s">
        <v>473</v>
      </c>
      <c r="N49" s="1" t="s">
        <v>496</v>
      </c>
      <c r="O49" s="1" t="s">
        <v>5</v>
      </c>
      <c r="P49" s="1" t="s">
        <v>513</v>
      </c>
      <c r="Q49" s="1" t="s">
        <v>5</v>
      </c>
      <c r="R49" s="1" t="s">
        <v>96</v>
      </c>
      <c r="S49" s="1" t="s">
        <v>12</v>
      </c>
      <c r="T49" s="1" t="s">
        <v>512</v>
      </c>
      <c r="U49" s="1" t="s">
        <v>90</v>
      </c>
    </row>
    <row r="50" spans="1:21" x14ac:dyDescent="0.3">
      <c r="A50" s="1" t="s">
        <v>271</v>
      </c>
      <c r="B50" s="1" t="s">
        <v>361</v>
      </c>
      <c r="C50" s="1" t="s">
        <v>154</v>
      </c>
      <c r="D50" s="4" t="s">
        <v>34</v>
      </c>
      <c r="E50" s="1" t="s">
        <v>793</v>
      </c>
      <c r="F50" s="1" t="s">
        <v>838</v>
      </c>
      <c r="G50" s="1" t="s">
        <v>153</v>
      </c>
      <c r="H50" s="4">
        <f>VLOOKUP(D50,orgNodes!$A$2:$D$43,4,FALSE)</f>
        <v>3</v>
      </c>
      <c r="I50" s="1" t="s">
        <v>431</v>
      </c>
      <c r="J50" s="1" t="s">
        <v>447</v>
      </c>
      <c r="K50" s="1" t="s">
        <v>457</v>
      </c>
      <c r="L50" s="1" t="s">
        <v>5</v>
      </c>
      <c r="M50" s="1" t="s">
        <v>775</v>
      </c>
      <c r="N50" s="1" t="s">
        <v>497</v>
      </c>
      <c r="O50" s="1" t="s">
        <v>5</v>
      </c>
      <c r="P50" s="1" t="s">
        <v>7</v>
      </c>
      <c r="Q50" s="1" t="s">
        <v>5</v>
      </c>
      <c r="R50" s="1" t="s">
        <v>96</v>
      </c>
      <c r="S50" s="1" t="s">
        <v>12</v>
      </c>
      <c r="T50" s="1" t="s">
        <v>512</v>
      </c>
      <c r="U50" s="1" t="s">
        <v>90</v>
      </c>
    </row>
    <row r="51" spans="1:21" x14ac:dyDescent="0.3">
      <c r="A51" s="1" t="s">
        <v>295</v>
      </c>
      <c r="B51" s="1" t="s">
        <v>362</v>
      </c>
      <c r="C51" s="1" t="s">
        <v>154</v>
      </c>
      <c r="D51" s="4" t="s">
        <v>34</v>
      </c>
      <c r="E51" s="1" t="s">
        <v>793</v>
      </c>
      <c r="F51" s="1" t="s">
        <v>839</v>
      </c>
      <c r="G51" s="1" t="s">
        <v>153</v>
      </c>
      <c r="H51" s="4">
        <f>VLOOKUP(D51,orgNodes!$A$2:$D$43,4,FALSE)</f>
        <v>3</v>
      </c>
      <c r="I51" s="1" t="s">
        <v>432</v>
      </c>
      <c r="J51" s="1" t="s">
        <v>447</v>
      </c>
      <c r="K51" s="1" t="s">
        <v>448</v>
      </c>
      <c r="L51" s="1" t="s">
        <v>5</v>
      </c>
      <c r="M51" s="1" t="s">
        <v>498</v>
      </c>
      <c r="N51" s="1" t="s">
        <v>499</v>
      </c>
      <c r="O51" s="1" t="s">
        <v>5</v>
      </c>
      <c r="P51" s="1" t="s">
        <v>11</v>
      </c>
      <c r="Q51" s="1" t="s">
        <v>518</v>
      </c>
      <c r="R51" s="1" t="s">
        <v>93</v>
      </c>
      <c r="S51" s="1" t="s">
        <v>12</v>
      </c>
      <c r="T51" s="1" t="s">
        <v>13</v>
      </c>
      <c r="U51" s="1" t="s">
        <v>90</v>
      </c>
    </row>
    <row r="52" spans="1:21" x14ac:dyDescent="0.3">
      <c r="A52" s="1" t="s">
        <v>268</v>
      </c>
      <c r="B52" s="1" t="s">
        <v>363</v>
      </c>
      <c r="C52" s="1" t="s">
        <v>155</v>
      </c>
      <c r="D52" s="4" t="s">
        <v>35</v>
      </c>
      <c r="E52" s="1" t="s">
        <v>794</v>
      </c>
      <c r="F52" s="1" t="s">
        <v>840</v>
      </c>
      <c r="G52" s="1" t="s">
        <v>153</v>
      </c>
      <c r="H52" s="4">
        <f>VLOOKUP(D52,orgNodes!$A$2:$D$43,4,FALSE)</f>
        <v>3</v>
      </c>
      <c r="I52" s="1" t="s">
        <v>433</v>
      </c>
      <c r="J52" s="1" t="s">
        <v>8</v>
      </c>
      <c r="K52" s="1" t="s">
        <v>2</v>
      </c>
      <c r="L52" s="1" t="s">
        <v>5</v>
      </c>
      <c r="M52" s="1" t="s">
        <v>460</v>
      </c>
      <c r="N52" s="1" t="s">
        <v>500</v>
      </c>
      <c r="O52" s="1" t="s">
        <v>5</v>
      </c>
      <c r="P52" s="1" t="s">
        <v>11</v>
      </c>
      <c r="Q52" s="1" t="s">
        <v>12</v>
      </c>
      <c r="R52" s="1" t="s">
        <v>93</v>
      </c>
      <c r="S52" s="1" t="s">
        <v>12</v>
      </c>
      <c r="T52" s="1" t="s">
        <v>512</v>
      </c>
      <c r="U52" s="1" t="s">
        <v>92</v>
      </c>
    </row>
    <row r="53" spans="1:21" x14ac:dyDescent="0.3">
      <c r="A53" s="1" t="s">
        <v>272</v>
      </c>
      <c r="B53" s="1" t="s">
        <v>364</v>
      </c>
      <c r="C53" s="1" t="s">
        <v>155</v>
      </c>
      <c r="D53" s="4" t="s">
        <v>35</v>
      </c>
      <c r="E53" s="1" t="s">
        <v>794</v>
      </c>
      <c r="F53" s="1" t="s">
        <v>841</v>
      </c>
      <c r="G53" s="1" t="s">
        <v>153</v>
      </c>
      <c r="H53" s="4">
        <f>VLOOKUP(D53,orgNodes!$A$2:$D$43,4,FALSE)</f>
        <v>3</v>
      </c>
      <c r="I53" s="1" t="s">
        <v>434</v>
      </c>
      <c r="J53" s="1" t="s">
        <v>8</v>
      </c>
      <c r="K53" s="1" t="s">
        <v>2</v>
      </c>
      <c r="L53" s="1" t="s">
        <v>5</v>
      </c>
      <c r="M53" s="1" t="s">
        <v>501</v>
      </c>
      <c r="N53" s="1" t="s">
        <v>502</v>
      </c>
      <c r="O53" s="1" t="s">
        <v>12</v>
      </c>
      <c r="P53" s="1" t="s">
        <v>12</v>
      </c>
      <c r="Q53" s="1" t="s">
        <v>12</v>
      </c>
      <c r="R53" s="1" t="s">
        <v>12</v>
      </c>
      <c r="S53" s="1" t="s">
        <v>12</v>
      </c>
      <c r="T53" s="1" t="s">
        <v>13</v>
      </c>
      <c r="U53" s="1" t="s">
        <v>92</v>
      </c>
    </row>
    <row r="54" spans="1:21" x14ac:dyDescent="0.3">
      <c r="A54" s="1" t="s">
        <v>289</v>
      </c>
      <c r="B54" s="1" t="s">
        <v>365</v>
      </c>
      <c r="C54" s="1" t="s">
        <v>155</v>
      </c>
      <c r="D54" s="4" t="s">
        <v>35</v>
      </c>
      <c r="E54" s="1" t="s">
        <v>794</v>
      </c>
      <c r="F54" s="1" t="s">
        <v>842</v>
      </c>
      <c r="G54" s="1" t="s">
        <v>153</v>
      </c>
      <c r="H54" s="4">
        <f>VLOOKUP(D54,orgNodes!$A$2:$D$43,4,FALSE)</f>
        <v>3</v>
      </c>
      <c r="I54" s="1" t="s">
        <v>435</v>
      </c>
      <c r="J54" s="1" t="s">
        <v>8</v>
      </c>
      <c r="K54" s="1" t="s">
        <v>2</v>
      </c>
      <c r="L54" s="1" t="s">
        <v>5</v>
      </c>
      <c r="M54" s="1" t="s">
        <v>503</v>
      </c>
      <c r="N54" s="1" t="s">
        <v>504</v>
      </c>
      <c r="O54" s="1" t="s">
        <v>5</v>
      </c>
      <c r="P54" s="1" t="s">
        <v>11</v>
      </c>
      <c r="Q54" s="1" t="s">
        <v>5</v>
      </c>
      <c r="R54" s="1" t="s">
        <v>510</v>
      </c>
      <c r="S54" s="1" t="s">
        <v>12</v>
      </c>
      <c r="T54" s="1" t="s">
        <v>512</v>
      </c>
      <c r="U54" s="1" t="s">
        <v>90</v>
      </c>
    </row>
    <row r="55" spans="1:21" x14ac:dyDescent="0.3">
      <c r="A55" s="1" t="s">
        <v>296</v>
      </c>
      <c r="B55" s="1" t="s">
        <v>366</v>
      </c>
      <c r="C55" s="1" t="s">
        <v>155</v>
      </c>
      <c r="D55" s="4" t="s">
        <v>35</v>
      </c>
      <c r="E55" s="1" t="s">
        <v>794</v>
      </c>
      <c r="F55" s="1" t="s">
        <v>843</v>
      </c>
      <c r="G55" s="1" t="s">
        <v>153</v>
      </c>
      <c r="H55" s="4">
        <f>VLOOKUP(D55,orgNodes!$A$2:$D$43,4,FALSE)</f>
        <v>3</v>
      </c>
      <c r="I55" s="1" t="s">
        <v>436</v>
      </c>
      <c r="J55" s="1" t="s">
        <v>447</v>
      </c>
      <c r="K55" s="1" t="s">
        <v>457</v>
      </c>
      <c r="L55" s="1" t="s">
        <v>5</v>
      </c>
      <c r="M55" s="1" t="s">
        <v>503</v>
      </c>
      <c r="N55" s="1" t="s">
        <v>774</v>
      </c>
      <c r="O55" s="1" t="s">
        <v>12</v>
      </c>
      <c r="P55" s="1" t="s">
        <v>7</v>
      </c>
      <c r="Q55" s="1" t="s">
        <v>5</v>
      </c>
      <c r="R55" s="1" t="s">
        <v>96</v>
      </c>
      <c r="S55" s="1" t="s">
        <v>12</v>
      </c>
      <c r="T55" s="1" t="s">
        <v>512</v>
      </c>
      <c r="U55" s="1" t="s">
        <v>92</v>
      </c>
    </row>
    <row r="56" spans="1:21" x14ac:dyDescent="0.3">
      <c r="A56" s="1" t="s">
        <v>310</v>
      </c>
      <c r="B56" s="1" t="s">
        <v>367</v>
      </c>
      <c r="C56" s="1" t="s">
        <v>154</v>
      </c>
      <c r="D56" s="4" t="s">
        <v>34</v>
      </c>
      <c r="E56" s="1" t="s">
        <v>793</v>
      </c>
      <c r="F56" s="1" t="s">
        <v>844</v>
      </c>
      <c r="G56" s="1" t="s">
        <v>153</v>
      </c>
      <c r="H56" s="4">
        <f>VLOOKUP(D56,orgNodes!$A$2:$D$43,4,FALSE)</f>
        <v>3</v>
      </c>
      <c r="I56" s="1" t="s">
        <v>437</v>
      </c>
      <c r="J56" s="1" t="s">
        <v>444</v>
      </c>
      <c r="K56" s="1" t="s">
        <v>2</v>
      </c>
      <c r="L56" s="1" t="s">
        <v>5</v>
      </c>
      <c r="M56" s="1" t="s">
        <v>505</v>
      </c>
      <c r="N56" s="1" t="s">
        <v>450</v>
      </c>
      <c r="O56" s="1" t="s">
        <v>5</v>
      </c>
      <c r="P56" s="1" t="s">
        <v>11</v>
      </c>
      <c r="Q56" s="1" t="s">
        <v>12</v>
      </c>
      <c r="R56" s="1" t="s">
        <v>516</v>
      </c>
      <c r="S56" s="1" t="s">
        <v>12</v>
      </c>
      <c r="T56" s="1" t="s">
        <v>512</v>
      </c>
      <c r="U56" s="1" t="s">
        <v>92</v>
      </c>
    </row>
    <row r="57" spans="1:21" x14ac:dyDescent="0.3">
      <c r="A57" s="1" t="s">
        <v>312</v>
      </c>
      <c r="B57" s="1" t="s">
        <v>368</v>
      </c>
      <c r="C57" s="1" t="s">
        <v>180</v>
      </c>
      <c r="D57" s="4" t="s">
        <v>141</v>
      </c>
      <c r="E57" s="1" t="s">
        <v>378</v>
      </c>
      <c r="F57" s="1" t="s">
        <v>845</v>
      </c>
      <c r="G57" s="1" t="s">
        <v>180</v>
      </c>
      <c r="H57" s="4">
        <f>VLOOKUP(D57,orgNodes!$A$2:$D$43,4,FALSE)</f>
        <v>10</v>
      </c>
      <c r="I57" s="1" t="s">
        <v>438</v>
      </c>
      <c r="J57" s="1" t="s">
        <v>8</v>
      </c>
      <c r="K57" s="1" t="s">
        <v>506</v>
      </c>
      <c r="L57" s="1" t="s">
        <v>5</v>
      </c>
      <c r="M57" s="1" t="s">
        <v>475</v>
      </c>
      <c r="N57" s="1" t="s">
        <v>507</v>
      </c>
      <c r="O57" s="1" t="s">
        <v>12</v>
      </c>
      <c r="P57" s="1" t="s">
        <v>12</v>
      </c>
      <c r="Q57" s="1" t="s">
        <v>12</v>
      </c>
      <c r="R57" s="1" t="s">
        <v>12</v>
      </c>
      <c r="S57" s="1" t="s">
        <v>12</v>
      </c>
      <c r="T57" s="1" t="s">
        <v>14</v>
      </c>
      <c r="U57" s="1" t="s">
        <v>92</v>
      </c>
    </row>
  </sheetData>
  <hyperlinks>
    <hyperlink ref="I2" r:id="rId1" display="http://www.texasagriculture.gov/Home/ProductionAgriculture/TheWaterSource.aspx"/>
    <hyperlink ref="I3" r:id="rId2" display="https://tpwd.texas.gov/landwater/water/conservation/water_resources/water_quantity/pgma/"/>
    <hyperlink ref="I4" r:id="rId3" display="https://tpwd.texas.gov/landwater/water/conservation/water_resources/water_quantity/sigsegs/"/>
    <hyperlink ref="I5" r:id="rId4" display="https://tpwd.texas.gov/landwater/water/environconcerns/water_quality/wq_research/WQ_Reports.phtml"/>
    <hyperlink ref="I6" r:id="rId5" display="https://tpwd.texas.gov/landwater/water/conservation/fwresources/reports.phtml"/>
    <hyperlink ref="I7" r:id="rId6" display="https://www.tceq.texas.gov/drinkingwater"/>
    <hyperlink ref="I9" r:id="rId7" display="https://www.tceq.texas.gov/permitting/water_rights/wr-permitting/wrwud"/>
    <hyperlink ref="I10" r:id="rId8" display="https://www.tceq.texas.gov/permitting/water_rights/wr_technical-resources/wam.html"/>
    <hyperlink ref="I11" r:id="rId9" display="https://www.tceq.texas.gov/waterquality/assessment/305_303.html"/>
    <hyperlink ref="I12" r:id="rId10" display="https://www.tceq.texas.gov/waterquality/tmdl/nav/tmdlsegments"/>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zoomScale="80" zoomScaleNormal="80" workbookViewId="0">
      <selection activeCell="A2" sqref="A2"/>
    </sheetView>
  </sheetViews>
  <sheetFormatPr defaultRowHeight="15.6" x14ac:dyDescent="0.3"/>
  <cols>
    <col min="1" max="1" width="9.8984375" style="1" bestFit="1" customWidth="1"/>
    <col min="2" max="2" width="29.19921875" style="1" customWidth="1"/>
    <col min="3" max="3" width="12.3984375" style="1" bestFit="1" customWidth="1"/>
    <col min="4" max="16384" width="8.796875" style="1"/>
  </cols>
  <sheetData>
    <row r="1" spans="1:3" x14ac:dyDescent="0.3">
      <c r="A1" s="6" t="s">
        <v>116</v>
      </c>
      <c r="B1" s="6" t="s">
        <v>115</v>
      </c>
      <c r="C1" s="6" t="s">
        <v>114</v>
      </c>
    </row>
    <row r="2" spans="1:3" x14ac:dyDescent="0.3">
      <c r="A2" s="1" t="s">
        <v>54</v>
      </c>
      <c r="B2" s="1" t="s">
        <v>75</v>
      </c>
      <c r="C2" s="1" t="s">
        <v>63</v>
      </c>
    </row>
    <row r="3" spans="1:3" x14ac:dyDescent="0.3">
      <c r="A3" s="1" t="s">
        <v>55</v>
      </c>
      <c r="B3" s="1" t="s">
        <v>76</v>
      </c>
      <c r="C3" s="1" t="s">
        <v>63</v>
      </c>
    </row>
    <row r="4" spans="1:3" x14ac:dyDescent="0.3">
      <c r="A4" s="1" t="s">
        <v>57</v>
      </c>
      <c r="B4" s="1" t="s">
        <v>77</v>
      </c>
      <c r="C4" s="1" t="s">
        <v>77</v>
      </c>
    </row>
    <row r="5" spans="1:3" x14ac:dyDescent="0.3">
      <c r="A5" s="1" t="s">
        <v>78</v>
      </c>
      <c r="B5" s="1" t="s">
        <v>69</v>
      </c>
      <c r="C5" s="1" t="s">
        <v>77</v>
      </c>
    </row>
    <row r="6" spans="1:3" x14ac:dyDescent="0.3">
      <c r="A6" s="1" t="s">
        <v>58</v>
      </c>
      <c r="B6" s="1" t="s">
        <v>56</v>
      </c>
      <c r="C6" s="1" t="s">
        <v>79</v>
      </c>
    </row>
    <row r="7" spans="1:3" x14ac:dyDescent="0.3">
      <c r="A7" s="1" t="s">
        <v>59</v>
      </c>
      <c r="B7" s="1" t="s">
        <v>80</v>
      </c>
      <c r="C7" s="1" t="s">
        <v>79</v>
      </c>
    </row>
    <row r="8" spans="1:3" x14ac:dyDescent="0.3">
      <c r="A8" s="1" t="s">
        <v>60</v>
      </c>
      <c r="B8" s="1" t="s">
        <v>81</v>
      </c>
      <c r="C8" s="1" t="s">
        <v>79</v>
      </c>
    </row>
    <row r="9" spans="1:3" x14ac:dyDescent="0.3">
      <c r="A9" s="1" t="s">
        <v>62</v>
      </c>
      <c r="B9" s="1" t="s">
        <v>3</v>
      </c>
      <c r="C9" s="1" t="s">
        <v>79</v>
      </c>
    </row>
    <row r="10" spans="1:3" x14ac:dyDescent="0.3">
      <c r="A10" s="1" t="s">
        <v>82</v>
      </c>
      <c r="B10" s="1" t="s">
        <v>65</v>
      </c>
      <c r="C10" s="1" t="s">
        <v>79</v>
      </c>
    </row>
    <row r="11" spans="1:3" x14ac:dyDescent="0.3">
      <c r="A11" s="1" t="s">
        <v>64</v>
      </c>
      <c r="B11" s="1" t="s">
        <v>67</v>
      </c>
      <c r="C11" s="1" t="s">
        <v>79</v>
      </c>
    </row>
    <row r="12" spans="1:3" x14ac:dyDescent="0.3">
      <c r="A12" s="1" t="s">
        <v>66</v>
      </c>
      <c r="B12" s="1" t="s">
        <v>19</v>
      </c>
      <c r="C12" s="1" t="s">
        <v>79</v>
      </c>
    </row>
    <row r="13" spans="1:3" x14ac:dyDescent="0.3">
      <c r="A13" s="1" t="s">
        <v>68</v>
      </c>
      <c r="B13" s="1" t="s">
        <v>72</v>
      </c>
      <c r="C13" s="1" t="s">
        <v>79</v>
      </c>
    </row>
    <row r="14" spans="1:3" x14ac:dyDescent="0.3">
      <c r="A14" s="1" t="s">
        <v>70</v>
      </c>
      <c r="B14" s="1" t="s">
        <v>18</v>
      </c>
      <c r="C14" s="1" t="s">
        <v>79</v>
      </c>
    </row>
    <row r="15" spans="1:3" x14ac:dyDescent="0.3">
      <c r="A15" s="1" t="s">
        <v>83</v>
      </c>
      <c r="B15" s="1" t="s">
        <v>61</v>
      </c>
      <c r="C15" s="1" t="s">
        <v>84</v>
      </c>
    </row>
    <row r="16" spans="1:3" x14ac:dyDescent="0.3">
      <c r="A16" s="1" t="s">
        <v>85</v>
      </c>
      <c r="B16" s="1" t="s">
        <v>86</v>
      </c>
      <c r="C16" s="1" t="s">
        <v>84</v>
      </c>
    </row>
    <row r="17" spans="1:3" x14ac:dyDescent="0.3">
      <c r="A17" s="1" t="s">
        <v>71</v>
      </c>
      <c r="B17" s="1" t="s">
        <v>84</v>
      </c>
      <c r="C17" s="1" t="s">
        <v>84</v>
      </c>
    </row>
    <row r="18" spans="1:3" x14ac:dyDescent="0.3">
      <c r="A18" s="1" t="s">
        <v>73</v>
      </c>
      <c r="B18" s="1" t="s">
        <v>42</v>
      </c>
      <c r="C18" s="1" t="s">
        <v>84</v>
      </c>
    </row>
    <row r="19" spans="1:3" x14ac:dyDescent="0.3">
      <c r="A19" s="1" t="s">
        <v>74</v>
      </c>
      <c r="B19" s="1" t="s">
        <v>87</v>
      </c>
      <c r="C19" s="1" t="s">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63"/>
  <sheetViews>
    <sheetView zoomScale="80" zoomScaleNormal="80" workbookViewId="0">
      <pane ySplit="1" topLeftCell="A2" activePane="bottomLeft" state="frozen"/>
      <selection pane="bottomLeft" activeCell="A2" sqref="A2"/>
    </sheetView>
  </sheetViews>
  <sheetFormatPr defaultRowHeight="15.6" x14ac:dyDescent="0.3"/>
  <cols>
    <col min="1" max="1" width="5.5" style="1" bestFit="1" customWidth="1"/>
    <col min="2" max="3" width="19.796875" style="1" customWidth="1"/>
    <col min="4" max="4" width="21.8984375" style="1" customWidth="1"/>
    <col min="5" max="5" width="13.59765625" style="1" customWidth="1"/>
    <col min="6" max="6" width="14.59765625" style="1" bestFit="1" customWidth="1"/>
    <col min="7" max="7" width="13.5" style="1" bestFit="1" customWidth="1"/>
    <col min="8" max="8" width="16.796875" style="1" customWidth="1"/>
    <col min="9" max="9" width="9.5" style="1" bestFit="1" customWidth="1"/>
    <col min="10" max="12" width="8.796875" style="1"/>
    <col min="13" max="13" width="16.796875" style="1" customWidth="1"/>
    <col min="14" max="16384" width="8.796875" style="1"/>
  </cols>
  <sheetData>
    <row r="1" spans="1:14" x14ac:dyDescent="0.3">
      <c r="A1" s="3" t="s">
        <v>101</v>
      </c>
      <c r="B1" s="9" t="s">
        <v>97</v>
      </c>
      <c r="C1" s="9" t="s">
        <v>98</v>
      </c>
      <c r="D1" s="10" t="s">
        <v>102</v>
      </c>
      <c r="E1" s="10" t="s">
        <v>21</v>
      </c>
      <c r="F1" s="9" t="s">
        <v>113</v>
      </c>
      <c r="G1" s="9" t="s">
        <v>114</v>
      </c>
      <c r="H1" s="9" t="s">
        <v>115</v>
      </c>
      <c r="I1" s="11" t="s">
        <v>116</v>
      </c>
      <c r="J1" s="9" t="s">
        <v>0</v>
      </c>
      <c r="M1" s="1" t="s">
        <v>118</v>
      </c>
      <c r="N1" s="1" t="s">
        <v>117</v>
      </c>
    </row>
    <row r="2" spans="1:14" x14ac:dyDescent="0.3">
      <c r="A2" s="1" t="s">
        <v>268</v>
      </c>
      <c r="B2" s="1" t="s">
        <v>155</v>
      </c>
      <c r="C2" s="1" t="s">
        <v>153</v>
      </c>
      <c r="D2" s="1" t="s">
        <v>363</v>
      </c>
      <c r="E2" s="1" t="s">
        <v>433</v>
      </c>
      <c r="F2" s="1" t="s">
        <v>528</v>
      </c>
      <c r="G2" s="1" t="s">
        <v>17</v>
      </c>
      <c r="H2" s="1" t="s">
        <v>67</v>
      </c>
      <c r="I2" s="1" t="str">
        <f t="shared" ref="I2:I65" si="0">VLOOKUP(H2,$M$2:$N$19,2,FALSE)</f>
        <v>d10</v>
      </c>
      <c r="J2" s="1" t="s">
        <v>771</v>
      </c>
      <c r="M2" s="8" t="str">
        <f>dataNodes!B2</f>
        <v>Built</v>
      </c>
      <c r="N2" s="5" t="str">
        <f>dataNodes!A2</f>
        <v>d01</v>
      </c>
    </row>
    <row r="3" spans="1:14" x14ac:dyDescent="0.3">
      <c r="A3" s="1" t="s">
        <v>268</v>
      </c>
      <c r="B3" s="1" t="s">
        <v>155</v>
      </c>
      <c r="C3" s="1" t="s">
        <v>153</v>
      </c>
      <c r="D3" s="1" t="s">
        <v>363</v>
      </c>
      <c r="E3" s="1" t="s">
        <v>433</v>
      </c>
      <c r="F3" s="1" t="s">
        <v>529</v>
      </c>
      <c r="G3" s="1" t="s">
        <v>17</v>
      </c>
      <c r="H3" s="1" t="s">
        <v>18</v>
      </c>
      <c r="I3" s="1" t="str">
        <f t="shared" si="0"/>
        <v>d13</v>
      </c>
      <c r="M3" s="8" t="str">
        <f>dataNodes!B3</f>
        <v>Natural</v>
      </c>
      <c r="N3" s="5" t="str">
        <f>dataNodes!A3</f>
        <v>d02</v>
      </c>
    </row>
    <row r="4" spans="1:14" x14ac:dyDescent="0.3">
      <c r="A4" s="1" t="s">
        <v>269</v>
      </c>
      <c r="B4" s="1" t="s">
        <v>185</v>
      </c>
      <c r="C4" s="1" t="s">
        <v>183</v>
      </c>
      <c r="D4" s="1" t="s">
        <v>346</v>
      </c>
      <c r="E4" s="1" t="s">
        <v>417</v>
      </c>
      <c r="F4" s="1" t="s">
        <v>530</v>
      </c>
      <c r="G4" s="1" t="s">
        <v>63</v>
      </c>
      <c r="H4" s="1" t="s">
        <v>76</v>
      </c>
      <c r="I4" s="1" t="str">
        <f t="shared" si="0"/>
        <v>d02</v>
      </c>
      <c r="M4" s="8" t="str">
        <f>dataNodes!B4</f>
        <v>Quality</v>
      </c>
      <c r="N4" s="5" t="str">
        <f>dataNodes!A4</f>
        <v>d03</v>
      </c>
    </row>
    <row r="5" spans="1:14" x14ac:dyDescent="0.3">
      <c r="A5" s="1" t="s">
        <v>269</v>
      </c>
      <c r="B5" s="1" t="s">
        <v>185</v>
      </c>
      <c r="C5" s="1" t="s">
        <v>183</v>
      </c>
      <c r="D5" s="1" t="s">
        <v>346</v>
      </c>
      <c r="E5" s="1" t="s">
        <v>417</v>
      </c>
      <c r="F5" s="1" t="s">
        <v>531</v>
      </c>
      <c r="G5" s="1" t="s">
        <v>17</v>
      </c>
      <c r="H5" s="1" t="s">
        <v>72</v>
      </c>
      <c r="I5" s="1" t="str">
        <f t="shared" si="0"/>
        <v>d12</v>
      </c>
      <c r="M5" s="8" t="str">
        <f>dataNodes!B5</f>
        <v>Regulatory</v>
      </c>
      <c r="N5" s="5" t="str">
        <f>dataNodes!A5</f>
        <v>d04</v>
      </c>
    </row>
    <row r="6" spans="1:14" x14ac:dyDescent="0.3">
      <c r="A6" s="1" t="s">
        <v>270</v>
      </c>
      <c r="B6" s="1" t="s">
        <v>180</v>
      </c>
      <c r="C6" s="1" t="s">
        <v>180</v>
      </c>
      <c r="D6" s="1" t="s">
        <v>336</v>
      </c>
      <c r="E6" s="1" t="s">
        <v>407</v>
      </c>
      <c r="F6" s="1" t="s">
        <v>532</v>
      </c>
      <c r="G6" s="1" t="s">
        <v>4</v>
      </c>
      <c r="H6" s="1" t="s">
        <v>69</v>
      </c>
      <c r="I6" s="1" t="str">
        <f t="shared" si="0"/>
        <v>d04</v>
      </c>
      <c r="M6" s="8" t="str">
        <f>dataNodes!B6</f>
        <v>Evapotranspiration</v>
      </c>
      <c r="N6" s="5" t="str">
        <f>dataNodes!A6</f>
        <v>d05</v>
      </c>
    </row>
    <row r="7" spans="1:14" x14ac:dyDescent="0.3">
      <c r="A7" s="1" t="s">
        <v>270</v>
      </c>
      <c r="B7" s="1" t="s">
        <v>180</v>
      </c>
      <c r="C7" s="1" t="s">
        <v>180</v>
      </c>
      <c r="D7" s="1" t="s">
        <v>336</v>
      </c>
      <c r="E7" s="1" t="s">
        <v>407</v>
      </c>
      <c r="F7" s="1" t="s">
        <v>533</v>
      </c>
      <c r="G7" s="1" t="s">
        <v>4</v>
      </c>
      <c r="H7" s="1" t="s">
        <v>69</v>
      </c>
      <c r="I7" s="1" t="str">
        <f t="shared" si="0"/>
        <v>d04</v>
      </c>
      <c r="M7" s="8" t="str">
        <f>dataNodes!B7</f>
        <v>Extreme Events</v>
      </c>
      <c r="N7" s="5" t="str">
        <f>dataNodes!A7</f>
        <v>d06</v>
      </c>
    </row>
    <row r="8" spans="1:14" x14ac:dyDescent="0.3">
      <c r="A8" s="1" t="s">
        <v>270</v>
      </c>
      <c r="B8" s="1" t="s">
        <v>180</v>
      </c>
      <c r="C8" s="1" t="s">
        <v>180</v>
      </c>
      <c r="D8" s="1" t="s">
        <v>336</v>
      </c>
      <c r="E8" s="1" t="s">
        <v>407</v>
      </c>
      <c r="F8" s="1" t="s">
        <v>534</v>
      </c>
      <c r="G8" s="1" t="s">
        <v>4</v>
      </c>
      <c r="H8" s="1" t="s">
        <v>69</v>
      </c>
      <c r="I8" s="1" t="str">
        <f t="shared" si="0"/>
        <v>d04</v>
      </c>
      <c r="M8" s="8" t="str">
        <f>dataNodes!B8</f>
        <v>Glacial and Snow</v>
      </c>
      <c r="N8" s="5" t="str">
        <f>dataNodes!A8</f>
        <v>d07</v>
      </c>
    </row>
    <row r="9" spans="1:14" x14ac:dyDescent="0.3">
      <c r="A9" s="1" t="s">
        <v>270</v>
      </c>
      <c r="B9" s="1" t="s">
        <v>180</v>
      </c>
      <c r="C9" s="1" t="s">
        <v>180</v>
      </c>
      <c r="D9" s="1" t="s">
        <v>336</v>
      </c>
      <c r="E9" s="1" t="s">
        <v>407</v>
      </c>
      <c r="F9" s="1" t="s">
        <v>535</v>
      </c>
      <c r="G9" s="1" t="s">
        <v>770</v>
      </c>
      <c r="H9" s="1" t="s">
        <v>84</v>
      </c>
      <c r="I9" s="1" t="str">
        <f t="shared" si="0"/>
        <v>d16</v>
      </c>
      <c r="M9" s="8" t="str">
        <f>dataNodes!B9</f>
        <v>Groundwater</v>
      </c>
      <c r="N9" s="5" t="str">
        <f>dataNodes!A9</f>
        <v>d08</v>
      </c>
    </row>
    <row r="10" spans="1:14" x14ac:dyDescent="0.3">
      <c r="A10" s="1" t="s">
        <v>48</v>
      </c>
      <c r="B10" s="1" t="s">
        <v>158</v>
      </c>
      <c r="C10" s="1" t="s">
        <v>158</v>
      </c>
      <c r="D10" s="1" t="s">
        <v>318</v>
      </c>
      <c r="E10" s="1" t="s">
        <v>389</v>
      </c>
      <c r="F10" s="1" t="s">
        <v>536</v>
      </c>
      <c r="G10" s="1" t="s">
        <v>17</v>
      </c>
      <c r="H10" s="1" t="s">
        <v>81</v>
      </c>
      <c r="I10" s="1" t="str">
        <f t="shared" si="0"/>
        <v>d07</v>
      </c>
      <c r="M10" s="8" t="str">
        <f>dataNodes!B10</f>
        <v>Meteorology</v>
      </c>
      <c r="N10" s="5" t="str">
        <f>dataNodes!A10</f>
        <v>d09</v>
      </c>
    </row>
    <row r="11" spans="1:14" x14ac:dyDescent="0.3">
      <c r="A11" s="1" t="s">
        <v>48</v>
      </c>
      <c r="B11" s="1" t="s">
        <v>158</v>
      </c>
      <c r="C11" s="1" t="s">
        <v>158</v>
      </c>
      <c r="D11" s="1" t="s">
        <v>318</v>
      </c>
      <c r="E11" s="1" t="s">
        <v>389</v>
      </c>
      <c r="F11" s="1" t="s">
        <v>528</v>
      </c>
      <c r="G11" s="1" t="s">
        <v>17</v>
      </c>
      <c r="H11" s="1" t="s">
        <v>67</v>
      </c>
      <c r="I11" s="1" t="str">
        <f t="shared" si="0"/>
        <v>d10</v>
      </c>
      <c r="M11" s="8" t="str">
        <f>dataNodes!B11</f>
        <v>Precipitation</v>
      </c>
      <c r="N11" s="5" t="str">
        <f>dataNodes!A11</f>
        <v>d10</v>
      </c>
    </row>
    <row r="12" spans="1:14" x14ac:dyDescent="0.3">
      <c r="A12" s="1" t="s">
        <v>48</v>
      </c>
      <c r="B12" s="1" t="s">
        <v>158</v>
      </c>
      <c r="C12" s="1" t="s">
        <v>158</v>
      </c>
      <c r="D12" s="1" t="s">
        <v>318</v>
      </c>
      <c r="E12" s="1" t="s">
        <v>389</v>
      </c>
      <c r="F12" s="1" t="s">
        <v>531</v>
      </c>
      <c r="G12" s="1" t="s">
        <v>17</v>
      </c>
      <c r="H12" s="1" t="s">
        <v>72</v>
      </c>
      <c r="I12" s="1" t="str">
        <f t="shared" si="0"/>
        <v>d12</v>
      </c>
      <c r="M12" s="8" t="str">
        <f>dataNodes!B12</f>
        <v>Reservoir</v>
      </c>
      <c r="N12" s="5" t="str">
        <f>dataNodes!A12</f>
        <v>d11</v>
      </c>
    </row>
    <row r="13" spans="1:14" x14ac:dyDescent="0.3">
      <c r="A13" s="1" t="s">
        <v>48</v>
      </c>
      <c r="B13" s="1" t="s">
        <v>158</v>
      </c>
      <c r="C13" s="1" t="s">
        <v>158</v>
      </c>
      <c r="D13" s="1" t="s">
        <v>318</v>
      </c>
      <c r="E13" s="1" t="s">
        <v>389</v>
      </c>
      <c r="F13" s="1" t="s">
        <v>537</v>
      </c>
      <c r="G13" s="1" t="s">
        <v>17</v>
      </c>
      <c r="H13" s="1" t="s">
        <v>72</v>
      </c>
      <c r="I13" s="1" t="str">
        <f t="shared" si="0"/>
        <v>d12</v>
      </c>
      <c r="M13" s="8" t="str">
        <f>dataNodes!B13</f>
        <v>Soil</v>
      </c>
      <c r="N13" s="5" t="str">
        <f>dataNodes!A13</f>
        <v>d12</v>
      </c>
    </row>
    <row r="14" spans="1:14" x14ac:dyDescent="0.3">
      <c r="A14" s="1" t="s">
        <v>271</v>
      </c>
      <c r="B14" s="1" t="s">
        <v>154</v>
      </c>
      <c r="C14" s="1" t="s">
        <v>153</v>
      </c>
      <c r="D14" s="1" t="s">
        <v>361</v>
      </c>
      <c r="E14" s="1" t="s">
        <v>431</v>
      </c>
      <c r="F14" s="1" t="s">
        <v>538</v>
      </c>
      <c r="G14" s="1" t="s">
        <v>17</v>
      </c>
      <c r="H14" s="1" t="s">
        <v>56</v>
      </c>
      <c r="I14" s="1" t="str">
        <f t="shared" si="0"/>
        <v>d05</v>
      </c>
      <c r="M14" s="8" t="str">
        <f>dataNodes!B14</f>
        <v>Surface Water</v>
      </c>
      <c r="N14" s="5" t="str">
        <f>dataNodes!A14</f>
        <v>d13</v>
      </c>
    </row>
    <row r="15" spans="1:14" x14ac:dyDescent="0.3">
      <c r="A15" s="1" t="s">
        <v>271</v>
      </c>
      <c r="B15" s="1" t="s">
        <v>154</v>
      </c>
      <c r="C15" s="1" t="s">
        <v>153</v>
      </c>
      <c r="D15" s="1" t="s">
        <v>361</v>
      </c>
      <c r="E15" s="1" t="s">
        <v>431</v>
      </c>
      <c r="F15" s="1" t="s">
        <v>536</v>
      </c>
      <c r="G15" s="1" t="s">
        <v>17</v>
      </c>
      <c r="H15" s="1" t="s">
        <v>81</v>
      </c>
      <c r="I15" s="1" t="str">
        <f t="shared" si="0"/>
        <v>d07</v>
      </c>
      <c r="M15" s="8" t="str">
        <f>dataNodes!B15</f>
        <v>Hydropower</v>
      </c>
      <c r="N15" s="5" t="str">
        <f>dataNodes!A15</f>
        <v>d14</v>
      </c>
    </row>
    <row r="16" spans="1:14" x14ac:dyDescent="0.3">
      <c r="A16" s="1" t="s">
        <v>271</v>
      </c>
      <c r="B16" s="1" t="s">
        <v>154</v>
      </c>
      <c r="C16" s="1" t="s">
        <v>153</v>
      </c>
      <c r="D16" s="1" t="s">
        <v>361</v>
      </c>
      <c r="E16" s="1" t="s">
        <v>431</v>
      </c>
      <c r="F16" s="1" t="s">
        <v>539</v>
      </c>
      <c r="G16" s="1" t="s">
        <v>17</v>
      </c>
      <c r="H16" s="1" t="s">
        <v>81</v>
      </c>
      <c r="I16" s="1" t="str">
        <f t="shared" si="0"/>
        <v>d07</v>
      </c>
      <c r="M16" s="8" t="str">
        <f>dataNodes!B16</f>
        <v>Irrigation</v>
      </c>
      <c r="N16" s="5" t="str">
        <f>dataNodes!A16</f>
        <v>d15</v>
      </c>
    </row>
    <row r="17" spans="1:14" x14ac:dyDescent="0.3">
      <c r="A17" s="1" t="s">
        <v>271</v>
      </c>
      <c r="B17" s="1" t="s">
        <v>154</v>
      </c>
      <c r="C17" s="1" t="s">
        <v>153</v>
      </c>
      <c r="D17" s="1" t="s">
        <v>361</v>
      </c>
      <c r="E17" s="1" t="s">
        <v>431</v>
      </c>
      <c r="F17" s="1" t="s">
        <v>540</v>
      </c>
      <c r="G17" s="1" t="s">
        <v>17</v>
      </c>
      <c r="H17" s="1" t="s">
        <v>81</v>
      </c>
      <c r="I17" s="1" t="str">
        <f t="shared" si="0"/>
        <v>d07</v>
      </c>
      <c r="M17" s="8" t="str">
        <f>dataNodes!B17</f>
        <v>Use</v>
      </c>
      <c r="N17" s="5" t="str">
        <f>dataNodes!A17</f>
        <v>d16</v>
      </c>
    </row>
    <row r="18" spans="1:14" x14ac:dyDescent="0.3">
      <c r="A18" s="1" t="s">
        <v>271</v>
      </c>
      <c r="B18" s="1" t="s">
        <v>154</v>
      </c>
      <c r="C18" s="1" t="s">
        <v>153</v>
      </c>
      <c r="D18" s="1" t="s">
        <v>361</v>
      </c>
      <c r="E18" s="1" t="s">
        <v>431</v>
      </c>
      <c r="F18" s="1" t="s">
        <v>541</v>
      </c>
      <c r="G18" s="1" t="s">
        <v>17</v>
      </c>
      <c r="H18" s="1" t="s">
        <v>65</v>
      </c>
      <c r="I18" s="1" t="str">
        <f t="shared" si="0"/>
        <v>d09</v>
      </c>
      <c r="M18" s="8" t="str">
        <f>dataNodes!B18</f>
        <v>Utilities</v>
      </c>
      <c r="N18" s="5" t="str">
        <f>dataNodes!A18</f>
        <v>d17</v>
      </c>
    </row>
    <row r="19" spans="1:14" x14ac:dyDescent="0.3">
      <c r="A19" s="1" t="s">
        <v>271</v>
      </c>
      <c r="B19" s="1" t="s">
        <v>154</v>
      </c>
      <c r="C19" s="1" t="s">
        <v>153</v>
      </c>
      <c r="D19" s="1" t="s">
        <v>361</v>
      </c>
      <c r="E19" s="1" t="s">
        <v>431</v>
      </c>
      <c r="F19" s="1" t="s">
        <v>542</v>
      </c>
      <c r="G19" s="1" t="s">
        <v>17</v>
      </c>
      <c r="H19" s="1" t="s">
        <v>65</v>
      </c>
      <c r="I19" s="1" t="str">
        <f t="shared" si="0"/>
        <v>d09</v>
      </c>
      <c r="M19" s="8" t="str">
        <f>dataNodes!B19</f>
        <v>Management Plans</v>
      </c>
      <c r="N19" s="5" t="str">
        <f>dataNodes!A19</f>
        <v>d18</v>
      </c>
    </row>
    <row r="20" spans="1:14" x14ac:dyDescent="0.3">
      <c r="A20" s="1" t="s">
        <v>271</v>
      </c>
      <c r="B20" s="1" t="s">
        <v>154</v>
      </c>
      <c r="C20" s="1" t="s">
        <v>153</v>
      </c>
      <c r="D20" s="1" t="s">
        <v>361</v>
      </c>
      <c r="E20" s="1" t="s">
        <v>431</v>
      </c>
      <c r="F20" s="1" t="s">
        <v>528</v>
      </c>
      <c r="G20" s="1" t="s">
        <v>17</v>
      </c>
      <c r="H20" s="1" t="s">
        <v>67</v>
      </c>
      <c r="I20" s="1" t="str">
        <f t="shared" si="0"/>
        <v>d10</v>
      </c>
    </row>
    <row r="21" spans="1:14" x14ac:dyDescent="0.3">
      <c r="A21" s="1" t="s">
        <v>271</v>
      </c>
      <c r="B21" s="1" t="s">
        <v>154</v>
      </c>
      <c r="C21" s="1" t="s">
        <v>153</v>
      </c>
      <c r="D21" s="1" t="s">
        <v>361</v>
      </c>
      <c r="E21" s="1" t="s">
        <v>431</v>
      </c>
      <c r="F21" s="1" t="s">
        <v>537</v>
      </c>
      <c r="G21" s="1" t="s">
        <v>17</v>
      </c>
      <c r="H21" s="1" t="s">
        <v>72</v>
      </c>
      <c r="I21" s="1" t="str">
        <f t="shared" si="0"/>
        <v>d12</v>
      </c>
    </row>
    <row r="22" spans="1:14" x14ac:dyDescent="0.3">
      <c r="A22" s="1" t="s">
        <v>272</v>
      </c>
      <c r="B22" s="1" t="s">
        <v>155</v>
      </c>
      <c r="C22" s="1" t="s">
        <v>153</v>
      </c>
      <c r="D22" s="1" t="s">
        <v>364</v>
      </c>
      <c r="E22" s="1" t="s">
        <v>434</v>
      </c>
      <c r="F22" s="1" t="s">
        <v>541</v>
      </c>
      <c r="G22" s="1" t="s">
        <v>17</v>
      </c>
      <c r="H22" s="1" t="s">
        <v>65</v>
      </c>
      <c r="I22" s="1" t="str">
        <f t="shared" si="0"/>
        <v>d09</v>
      </c>
    </row>
    <row r="23" spans="1:14" x14ac:dyDescent="0.3">
      <c r="A23" s="1" t="s">
        <v>272</v>
      </c>
      <c r="B23" s="1" t="s">
        <v>155</v>
      </c>
      <c r="C23" s="1" t="s">
        <v>153</v>
      </c>
      <c r="D23" s="1" t="s">
        <v>364</v>
      </c>
      <c r="E23" s="1" t="s">
        <v>434</v>
      </c>
      <c r="F23" s="1" t="s">
        <v>528</v>
      </c>
      <c r="G23" s="1" t="s">
        <v>17</v>
      </c>
      <c r="H23" s="1" t="s">
        <v>67</v>
      </c>
      <c r="I23" s="1" t="str">
        <f t="shared" si="0"/>
        <v>d10</v>
      </c>
    </row>
    <row r="24" spans="1:14" x14ac:dyDescent="0.3">
      <c r="A24" s="1" t="s">
        <v>272</v>
      </c>
      <c r="B24" s="1" t="s">
        <v>155</v>
      </c>
      <c r="C24" s="1" t="s">
        <v>153</v>
      </c>
      <c r="D24" s="1" t="s">
        <v>364</v>
      </c>
      <c r="E24" s="1" t="s">
        <v>434</v>
      </c>
      <c r="F24" s="1" t="s">
        <v>531</v>
      </c>
      <c r="G24" s="1" t="s">
        <v>17</v>
      </c>
      <c r="H24" s="1" t="s">
        <v>72</v>
      </c>
      <c r="I24" s="1" t="str">
        <f t="shared" si="0"/>
        <v>d12</v>
      </c>
    </row>
    <row r="25" spans="1:14" x14ac:dyDescent="0.3">
      <c r="A25" s="1" t="s">
        <v>47</v>
      </c>
      <c r="B25" s="1" t="s">
        <v>371</v>
      </c>
      <c r="C25" s="1" t="s">
        <v>156</v>
      </c>
      <c r="D25" s="1" t="s">
        <v>317</v>
      </c>
      <c r="E25" s="1" t="s">
        <v>388</v>
      </c>
      <c r="F25" s="1" t="s">
        <v>543</v>
      </c>
      <c r="G25" s="1" t="s">
        <v>63</v>
      </c>
      <c r="H25" s="1" t="s">
        <v>75</v>
      </c>
      <c r="I25" s="1" t="str">
        <f t="shared" si="0"/>
        <v>d01</v>
      </c>
    </row>
    <row r="26" spans="1:14" x14ac:dyDescent="0.3">
      <c r="A26" s="1" t="s">
        <v>47</v>
      </c>
      <c r="B26" s="1" t="s">
        <v>371</v>
      </c>
      <c r="C26" s="1" t="s">
        <v>156</v>
      </c>
      <c r="D26" s="1" t="s">
        <v>317</v>
      </c>
      <c r="E26" s="1" t="s">
        <v>388</v>
      </c>
      <c r="F26" s="1" t="s">
        <v>544</v>
      </c>
      <c r="G26" s="1" t="s">
        <v>63</v>
      </c>
      <c r="H26" s="1" t="s">
        <v>76</v>
      </c>
      <c r="I26" s="1" t="str">
        <f t="shared" si="0"/>
        <v>d02</v>
      </c>
    </row>
    <row r="27" spans="1:14" x14ac:dyDescent="0.3">
      <c r="A27" s="1" t="s">
        <v>47</v>
      </c>
      <c r="B27" s="1" t="s">
        <v>371</v>
      </c>
      <c r="C27" s="1" t="s">
        <v>156</v>
      </c>
      <c r="D27" s="1" t="s">
        <v>317</v>
      </c>
      <c r="E27" s="1" t="s">
        <v>388</v>
      </c>
      <c r="F27" s="1" t="s">
        <v>67</v>
      </c>
      <c r="G27" s="1" t="s">
        <v>17</v>
      </c>
      <c r="H27" s="1" t="s">
        <v>67</v>
      </c>
      <c r="I27" s="1" t="str">
        <f t="shared" si="0"/>
        <v>d10</v>
      </c>
    </row>
    <row r="28" spans="1:14" x14ac:dyDescent="0.3">
      <c r="A28" s="1" t="s">
        <v>47</v>
      </c>
      <c r="B28" s="1" t="s">
        <v>371</v>
      </c>
      <c r="C28" s="1" t="s">
        <v>156</v>
      </c>
      <c r="D28" s="1" t="s">
        <v>317</v>
      </c>
      <c r="E28" s="1" t="s">
        <v>388</v>
      </c>
      <c r="F28" s="1" t="s">
        <v>545</v>
      </c>
      <c r="G28" s="1" t="s">
        <v>17</v>
      </c>
      <c r="H28" s="1" t="s">
        <v>19</v>
      </c>
      <c r="I28" s="1" t="str">
        <f t="shared" si="0"/>
        <v>d11</v>
      </c>
    </row>
    <row r="29" spans="1:14" x14ac:dyDescent="0.3">
      <c r="A29" s="1" t="s">
        <v>47</v>
      </c>
      <c r="B29" s="1" t="s">
        <v>371</v>
      </c>
      <c r="C29" s="1" t="s">
        <v>156</v>
      </c>
      <c r="D29" s="1" t="s">
        <v>317</v>
      </c>
      <c r="E29" s="1" t="s">
        <v>388</v>
      </c>
      <c r="F29" s="1" t="s">
        <v>546</v>
      </c>
      <c r="G29" s="1" t="s">
        <v>17</v>
      </c>
      <c r="H29" s="1" t="s">
        <v>19</v>
      </c>
      <c r="I29" s="1" t="str">
        <f t="shared" si="0"/>
        <v>d11</v>
      </c>
    </row>
    <row r="30" spans="1:14" x14ac:dyDescent="0.3">
      <c r="A30" s="1" t="s">
        <v>47</v>
      </c>
      <c r="B30" s="1" t="s">
        <v>371</v>
      </c>
      <c r="C30" s="1" t="s">
        <v>156</v>
      </c>
      <c r="D30" s="1" t="s">
        <v>317</v>
      </c>
      <c r="E30" s="1" t="s">
        <v>388</v>
      </c>
      <c r="F30" s="1" t="s">
        <v>547</v>
      </c>
      <c r="G30" s="1" t="s">
        <v>17</v>
      </c>
      <c r="H30" s="1" t="s">
        <v>18</v>
      </c>
      <c r="I30" s="1" t="str">
        <f t="shared" si="0"/>
        <v>d13</v>
      </c>
    </row>
    <row r="31" spans="1:14" x14ac:dyDescent="0.3">
      <c r="A31" s="1" t="s">
        <v>47</v>
      </c>
      <c r="B31" s="1" t="s">
        <v>371</v>
      </c>
      <c r="C31" s="1" t="s">
        <v>156</v>
      </c>
      <c r="D31" s="1" t="s">
        <v>317</v>
      </c>
      <c r="E31" s="1" t="s">
        <v>388</v>
      </c>
      <c r="F31" s="1" t="s">
        <v>548</v>
      </c>
      <c r="G31" s="1" t="s">
        <v>17</v>
      </c>
      <c r="H31" s="1" t="s">
        <v>18</v>
      </c>
      <c r="I31" s="1" t="str">
        <f t="shared" si="0"/>
        <v>d13</v>
      </c>
    </row>
    <row r="32" spans="1:14" x14ac:dyDescent="0.3">
      <c r="A32" s="1" t="s">
        <v>47</v>
      </c>
      <c r="B32" s="1" t="s">
        <v>371</v>
      </c>
      <c r="C32" s="1" t="s">
        <v>156</v>
      </c>
      <c r="D32" s="1" t="s">
        <v>317</v>
      </c>
      <c r="E32" s="1" t="s">
        <v>388</v>
      </c>
      <c r="F32" s="1" t="s">
        <v>549</v>
      </c>
      <c r="G32" s="1" t="s">
        <v>770</v>
      </c>
      <c r="H32" s="1" t="s">
        <v>19</v>
      </c>
      <c r="I32" s="1" t="str">
        <f t="shared" si="0"/>
        <v>d11</v>
      </c>
    </row>
    <row r="33" spans="1:9" x14ac:dyDescent="0.3">
      <c r="A33" s="1" t="s">
        <v>273</v>
      </c>
      <c r="B33" s="1" t="s">
        <v>182</v>
      </c>
      <c r="C33" s="1" t="s">
        <v>182</v>
      </c>
      <c r="D33" s="1" t="s">
        <v>342</v>
      </c>
      <c r="E33" s="1" t="s">
        <v>413</v>
      </c>
      <c r="F33" s="1" t="s">
        <v>550</v>
      </c>
      <c r="G33" s="1" t="s">
        <v>17</v>
      </c>
      <c r="H33" s="1" t="s">
        <v>81</v>
      </c>
      <c r="I33" s="1" t="str">
        <f t="shared" si="0"/>
        <v>d07</v>
      </c>
    </row>
    <row r="34" spans="1:9" x14ac:dyDescent="0.3">
      <c r="A34" s="1" t="s">
        <v>273</v>
      </c>
      <c r="B34" s="1" t="s">
        <v>182</v>
      </c>
      <c r="C34" s="1" t="s">
        <v>182</v>
      </c>
      <c r="D34" s="1" t="s">
        <v>342</v>
      </c>
      <c r="E34" s="1" t="s">
        <v>413</v>
      </c>
      <c r="F34" s="1" t="s">
        <v>551</v>
      </c>
      <c r="G34" s="1" t="s">
        <v>17</v>
      </c>
      <c r="H34" s="1" t="s">
        <v>67</v>
      </c>
      <c r="I34" s="1" t="str">
        <f t="shared" si="0"/>
        <v>d10</v>
      </c>
    </row>
    <row r="35" spans="1:9" x14ac:dyDescent="0.3">
      <c r="A35" s="1" t="s">
        <v>273</v>
      </c>
      <c r="B35" s="1" t="s">
        <v>182</v>
      </c>
      <c r="C35" s="1" t="s">
        <v>182</v>
      </c>
      <c r="D35" s="1" t="s">
        <v>342</v>
      </c>
      <c r="E35" s="1" t="s">
        <v>413</v>
      </c>
      <c r="F35" s="1" t="s">
        <v>552</v>
      </c>
      <c r="G35" s="1" t="s">
        <v>17</v>
      </c>
      <c r="H35" s="1" t="s">
        <v>65</v>
      </c>
      <c r="I35" s="1" t="str">
        <f t="shared" si="0"/>
        <v>d09</v>
      </c>
    </row>
    <row r="36" spans="1:9" x14ac:dyDescent="0.3">
      <c r="A36" s="1" t="s">
        <v>273</v>
      </c>
      <c r="B36" s="1" t="s">
        <v>182</v>
      </c>
      <c r="C36" s="1" t="s">
        <v>182</v>
      </c>
      <c r="D36" s="1" t="s">
        <v>342</v>
      </c>
      <c r="E36" s="1" t="s">
        <v>413</v>
      </c>
      <c r="F36" s="1" t="s">
        <v>553</v>
      </c>
      <c r="G36" s="1" t="s">
        <v>17</v>
      </c>
      <c r="H36" s="1" t="s">
        <v>86</v>
      </c>
      <c r="I36" s="1" t="str">
        <f t="shared" si="0"/>
        <v>d15</v>
      </c>
    </row>
    <row r="37" spans="1:9" x14ac:dyDescent="0.3">
      <c r="A37" s="1" t="s">
        <v>273</v>
      </c>
      <c r="B37" s="1" t="s">
        <v>182</v>
      </c>
      <c r="C37" s="1" t="s">
        <v>182</v>
      </c>
      <c r="D37" s="1" t="s">
        <v>342</v>
      </c>
      <c r="E37" s="1" t="s">
        <v>413</v>
      </c>
      <c r="F37" s="1" t="s">
        <v>554</v>
      </c>
      <c r="G37" s="1" t="s">
        <v>17</v>
      </c>
      <c r="H37" s="1" t="s">
        <v>77</v>
      </c>
      <c r="I37" s="1" t="str">
        <f t="shared" si="0"/>
        <v>d03</v>
      </c>
    </row>
    <row r="38" spans="1:9" x14ac:dyDescent="0.3">
      <c r="A38" s="1" t="s">
        <v>273</v>
      </c>
      <c r="B38" s="1" t="s">
        <v>182</v>
      </c>
      <c r="C38" s="1" t="s">
        <v>182</v>
      </c>
      <c r="D38" s="1" t="s">
        <v>342</v>
      </c>
      <c r="E38" s="1" t="s">
        <v>413</v>
      </c>
      <c r="F38" s="1" t="s">
        <v>555</v>
      </c>
      <c r="G38" s="1" t="s">
        <v>17</v>
      </c>
      <c r="H38" s="1" t="s">
        <v>18</v>
      </c>
      <c r="I38" s="1" t="str">
        <f t="shared" si="0"/>
        <v>d13</v>
      </c>
    </row>
    <row r="39" spans="1:9" x14ac:dyDescent="0.3">
      <c r="A39" s="1" t="s">
        <v>274</v>
      </c>
      <c r="B39" s="1" t="s">
        <v>185</v>
      </c>
      <c r="C39" s="1" t="s">
        <v>183</v>
      </c>
      <c r="D39" s="1" t="s">
        <v>347</v>
      </c>
      <c r="E39" s="1" t="s">
        <v>418</v>
      </c>
      <c r="F39" s="1" t="s">
        <v>556</v>
      </c>
      <c r="G39" s="1" t="s">
        <v>17</v>
      </c>
      <c r="H39" s="1" t="s">
        <v>81</v>
      </c>
      <c r="I39" s="1" t="str">
        <f t="shared" si="0"/>
        <v>d07</v>
      </c>
    </row>
    <row r="40" spans="1:9" x14ac:dyDescent="0.3">
      <c r="A40" s="1" t="s">
        <v>275</v>
      </c>
      <c r="B40" s="1" t="s">
        <v>176</v>
      </c>
      <c r="C40" s="1" t="s">
        <v>176</v>
      </c>
      <c r="D40" s="1" t="s">
        <v>345</v>
      </c>
      <c r="E40" s="1" t="s">
        <v>416</v>
      </c>
      <c r="F40" s="1" t="s">
        <v>557</v>
      </c>
      <c r="G40" s="1" t="s">
        <v>17</v>
      </c>
      <c r="H40" s="1" t="s">
        <v>80</v>
      </c>
      <c r="I40" s="1" t="str">
        <f t="shared" si="0"/>
        <v>d06</v>
      </c>
    </row>
    <row r="41" spans="1:9" x14ac:dyDescent="0.3">
      <c r="A41" s="1" t="s">
        <v>311</v>
      </c>
      <c r="B41" s="1" t="s">
        <v>177</v>
      </c>
      <c r="C41" s="1" t="s">
        <v>177</v>
      </c>
      <c r="D41" s="1" t="s">
        <v>344</v>
      </c>
      <c r="F41" s="1" t="s">
        <v>558</v>
      </c>
      <c r="G41" s="1" t="s">
        <v>4</v>
      </c>
      <c r="H41" s="1" t="s">
        <v>77</v>
      </c>
      <c r="I41" s="1" t="str">
        <f t="shared" si="0"/>
        <v>d03</v>
      </c>
    </row>
    <row r="42" spans="1:9" x14ac:dyDescent="0.3">
      <c r="A42" s="1" t="s">
        <v>276</v>
      </c>
      <c r="B42" s="1" t="s">
        <v>180</v>
      </c>
      <c r="C42" s="1" t="s">
        <v>180</v>
      </c>
      <c r="D42" s="1" t="s">
        <v>337</v>
      </c>
      <c r="E42" s="1" t="s">
        <v>408</v>
      </c>
      <c r="F42" s="1" t="s">
        <v>559</v>
      </c>
      <c r="G42" s="1" t="s">
        <v>4</v>
      </c>
      <c r="H42" s="1" t="s">
        <v>69</v>
      </c>
      <c r="I42" s="1" t="str">
        <f t="shared" si="0"/>
        <v>d04</v>
      </c>
    </row>
    <row r="43" spans="1:9" x14ac:dyDescent="0.3">
      <c r="A43" s="1" t="s">
        <v>276</v>
      </c>
      <c r="B43" s="1" t="s">
        <v>180</v>
      </c>
      <c r="C43" s="1" t="s">
        <v>180</v>
      </c>
      <c r="D43" s="1" t="s">
        <v>337</v>
      </c>
      <c r="E43" s="1" t="s">
        <v>408</v>
      </c>
      <c r="F43" s="1" t="s">
        <v>560</v>
      </c>
      <c r="G43" s="1" t="s">
        <v>4</v>
      </c>
      <c r="H43" s="1" t="s">
        <v>69</v>
      </c>
      <c r="I43" s="1" t="str">
        <f t="shared" si="0"/>
        <v>d04</v>
      </c>
    </row>
    <row r="44" spans="1:9" x14ac:dyDescent="0.3">
      <c r="A44" s="1" t="s">
        <v>276</v>
      </c>
      <c r="B44" s="1" t="s">
        <v>180</v>
      </c>
      <c r="C44" s="1" t="s">
        <v>180</v>
      </c>
      <c r="D44" s="1" t="s">
        <v>337</v>
      </c>
      <c r="E44" s="1" t="s">
        <v>408</v>
      </c>
      <c r="F44" s="1" t="s">
        <v>561</v>
      </c>
      <c r="G44" s="1" t="s">
        <v>4</v>
      </c>
      <c r="H44" s="1" t="s">
        <v>69</v>
      </c>
      <c r="I44" s="1" t="str">
        <f t="shared" si="0"/>
        <v>d04</v>
      </c>
    </row>
    <row r="45" spans="1:9" x14ac:dyDescent="0.3">
      <c r="A45" s="1" t="s">
        <v>276</v>
      </c>
      <c r="B45" s="1" t="s">
        <v>180</v>
      </c>
      <c r="C45" s="1" t="s">
        <v>180</v>
      </c>
      <c r="D45" s="1" t="s">
        <v>337</v>
      </c>
      <c r="E45" s="1" t="s">
        <v>408</v>
      </c>
      <c r="F45" s="1" t="s">
        <v>562</v>
      </c>
      <c r="G45" s="1" t="s">
        <v>4</v>
      </c>
      <c r="H45" s="1" t="s">
        <v>69</v>
      </c>
      <c r="I45" s="1" t="str">
        <f t="shared" si="0"/>
        <v>d04</v>
      </c>
    </row>
    <row r="46" spans="1:9" x14ac:dyDescent="0.3">
      <c r="A46" s="1" t="s">
        <v>276</v>
      </c>
      <c r="B46" s="1" t="s">
        <v>180</v>
      </c>
      <c r="C46" s="1" t="s">
        <v>180</v>
      </c>
      <c r="D46" s="1" t="s">
        <v>337</v>
      </c>
      <c r="E46" s="1" t="s">
        <v>408</v>
      </c>
      <c r="F46" s="1" t="s">
        <v>563</v>
      </c>
      <c r="G46" s="1" t="s">
        <v>4</v>
      </c>
      <c r="H46" s="1" t="s">
        <v>69</v>
      </c>
      <c r="I46" s="1" t="str">
        <f t="shared" si="0"/>
        <v>d04</v>
      </c>
    </row>
    <row r="47" spans="1:9" x14ac:dyDescent="0.3">
      <c r="A47" s="1" t="s">
        <v>276</v>
      </c>
      <c r="B47" s="1" t="s">
        <v>180</v>
      </c>
      <c r="C47" s="1" t="s">
        <v>180</v>
      </c>
      <c r="D47" s="1" t="s">
        <v>337</v>
      </c>
      <c r="E47" s="1" t="s">
        <v>408</v>
      </c>
      <c r="F47" s="1" t="s">
        <v>564</v>
      </c>
      <c r="G47" s="1" t="s">
        <v>4</v>
      </c>
      <c r="H47" s="1" t="s">
        <v>69</v>
      </c>
      <c r="I47" s="1" t="str">
        <f t="shared" si="0"/>
        <v>d04</v>
      </c>
    </row>
    <row r="48" spans="1:9" x14ac:dyDescent="0.3">
      <c r="A48" s="1" t="s">
        <v>276</v>
      </c>
      <c r="B48" s="1" t="s">
        <v>180</v>
      </c>
      <c r="C48" s="1" t="s">
        <v>180</v>
      </c>
      <c r="D48" s="1" t="s">
        <v>337</v>
      </c>
      <c r="E48" s="1" t="s">
        <v>408</v>
      </c>
      <c r="F48" s="1" t="s">
        <v>534</v>
      </c>
      <c r="G48" s="1" t="s">
        <v>4</v>
      </c>
      <c r="H48" s="1" t="s">
        <v>69</v>
      </c>
      <c r="I48" s="1" t="str">
        <f t="shared" si="0"/>
        <v>d04</v>
      </c>
    </row>
    <row r="49" spans="1:9" x14ac:dyDescent="0.3">
      <c r="A49" s="1" t="s">
        <v>277</v>
      </c>
      <c r="B49" s="1" t="s">
        <v>180</v>
      </c>
      <c r="C49" s="1" t="s">
        <v>180</v>
      </c>
      <c r="D49" s="1" t="s">
        <v>338</v>
      </c>
      <c r="E49" s="1" t="s">
        <v>409</v>
      </c>
      <c r="F49" s="1" t="s">
        <v>530</v>
      </c>
      <c r="G49" s="1" t="s">
        <v>63</v>
      </c>
      <c r="H49" s="1" t="s">
        <v>76</v>
      </c>
      <c r="I49" s="1" t="str">
        <f t="shared" si="0"/>
        <v>d02</v>
      </c>
    </row>
    <row r="50" spans="1:9" x14ac:dyDescent="0.3">
      <c r="A50" s="1" t="s">
        <v>277</v>
      </c>
      <c r="B50" s="1" t="s">
        <v>180</v>
      </c>
      <c r="C50" s="1" t="s">
        <v>180</v>
      </c>
      <c r="D50" s="1" t="s">
        <v>338</v>
      </c>
      <c r="E50" s="1" t="s">
        <v>409</v>
      </c>
      <c r="F50" s="1" t="s">
        <v>565</v>
      </c>
      <c r="G50" s="1" t="s">
        <v>63</v>
      </c>
      <c r="H50" s="1" t="s">
        <v>69</v>
      </c>
      <c r="I50" s="1" t="str">
        <f t="shared" si="0"/>
        <v>d04</v>
      </c>
    </row>
    <row r="51" spans="1:9" x14ac:dyDescent="0.3">
      <c r="A51" s="1" t="s">
        <v>277</v>
      </c>
      <c r="B51" s="1" t="s">
        <v>180</v>
      </c>
      <c r="C51" s="1" t="s">
        <v>180</v>
      </c>
      <c r="D51" s="1" t="s">
        <v>338</v>
      </c>
      <c r="E51" s="1" t="s">
        <v>409</v>
      </c>
      <c r="F51" s="1" t="s">
        <v>532</v>
      </c>
      <c r="G51" s="1" t="s">
        <v>4</v>
      </c>
      <c r="H51" s="1" t="s">
        <v>69</v>
      </c>
      <c r="I51" s="1" t="str">
        <f t="shared" si="0"/>
        <v>d04</v>
      </c>
    </row>
    <row r="52" spans="1:9" x14ac:dyDescent="0.3">
      <c r="A52" s="1" t="s">
        <v>277</v>
      </c>
      <c r="B52" s="1" t="s">
        <v>180</v>
      </c>
      <c r="C52" s="1" t="s">
        <v>180</v>
      </c>
      <c r="D52" s="1" t="s">
        <v>338</v>
      </c>
      <c r="E52" s="1" t="s">
        <v>409</v>
      </c>
      <c r="F52" s="1" t="s">
        <v>566</v>
      </c>
      <c r="G52" s="1" t="s">
        <v>4</v>
      </c>
      <c r="H52" s="1" t="s">
        <v>69</v>
      </c>
      <c r="I52" s="1" t="str">
        <f t="shared" si="0"/>
        <v>d04</v>
      </c>
    </row>
    <row r="53" spans="1:9" x14ac:dyDescent="0.3">
      <c r="A53" s="1" t="s">
        <v>277</v>
      </c>
      <c r="B53" s="1" t="s">
        <v>180</v>
      </c>
      <c r="C53" s="1" t="s">
        <v>180</v>
      </c>
      <c r="D53" s="1" t="s">
        <v>338</v>
      </c>
      <c r="E53" s="1" t="s">
        <v>409</v>
      </c>
      <c r="F53" s="1" t="s">
        <v>533</v>
      </c>
      <c r="G53" s="1" t="s">
        <v>4</v>
      </c>
      <c r="H53" s="1" t="s">
        <v>69</v>
      </c>
      <c r="I53" s="1" t="str">
        <f t="shared" si="0"/>
        <v>d04</v>
      </c>
    </row>
    <row r="54" spans="1:9" x14ac:dyDescent="0.3">
      <c r="A54" s="1" t="s">
        <v>277</v>
      </c>
      <c r="B54" s="1" t="s">
        <v>180</v>
      </c>
      <c r="C54" s="1" t="s">
        <v>180</v>
      </c>
      <c r="D54" s="1" t="s">
        <v>338</v>
      </c>
      <c r="E54" s="1" t="s">
        <v>409</v>
      </c>
      <c r="F54" s="1" t="s">
        <v>567</v>
      </c>
      <c r="G54" s="1" t="s">
        <v>17</v>
      </c>
      <c r="H54" s="1" t="s">
        <v>86</v>
      </c>
      <c r="I54" s="1" t="str">
        <f t="shared" si="0"/>
        <v>d15</v>
      </c>
    </row>
    <row r="55" spans="1:9" x14ac:dyDescent="0.3">
      <c r="A55" s="1" t="s">
        <v>277</v>
      </c>
      <c r="B55" s="1" t="s">
        <v>180</v>
      </c>
      <c r="C55" s="1" t="s">
        <v>180</v>
      </c>
      <c r="D55" s="1" t="s">
        <v>338</v>
      </c>
      <c r="E55" s="1" t="s">
        <v>409</v>
      </c>
      <c r="F55" s="1" t="s">
        <v>568</v>
      </c>
      <c r="G55" s="1" t="s">
        <v>17</v>
      </c>
      <c r="H55" s="1" t="s">
        <v>72</v>
      </c>
      <c r="I55" s="1" t="str">
        <f t="shared" si="0"/>
        <v>d12</v>
      </c>
    </row>
    <row r="56" spans="1:9" x14ac:dyDescent="0.3">
      <c r="A56" s="1" t="s">
        <v>277</v>
      </c>
      <c r="B56" s="1" t="s">
        <v>180</v>
      </c>
      <c r="C56" s="1" t="s">
        <v>180</v>
      </c>
      <c r="D56" s="1" t="s">
        <v>338</v>
      </c>
      <c r="E56" s="1" t="s">
        <v>409</v>
      </c>
      <c r="F56" s="1" t="s">
        <v>569</v>
      </c>
      <c r="G56" s="1" t="s">
        <v>17</v>
      </c>
      <c r="H56" s="1" t="s">
        <v>72</v>
      </c>
      <c r="I56" s="1" t="str">
        <f t="shared" si="0"/>
        <v>d12</v>
      </c>
    </row>
    <row r="57" spans="1:9" x14ac:dyDescent="0.3">
      <c r="A57" s="1" t="s">
        <v>277</v>
      </c>
      <c r="B57" s="1" t="s">
        <v>180</v>
      </c>
      <c r="C57" s="1" t="s">
        <v>180</v>
      </c>
      <c r="D57" s="1" t="s">
        <v>338</v>
      </c>
      <c r="E57" s="1" t="s">
        <v>409</v>
      </c>
      <c r="F57" s="1" t="s">
        <v>570</v>
      </c>
      <c r="G57" s="1" t="s">
        <v>17</v>
      </c>
      <c r="H57" s="1" t="s">
        <v>18</v>
      </c>
      <c r="I57" s="1" t="str">
        <f t="shared" si="0"/>
        <v>d13</v>
      </c>
    </row>
    <row r="58" spans="1:9" x14ac:dyDescent="0.3">
      <c r="A58" s="1" t="s">
        <v>277</v>
      </c>
      <c r="B58" s="1" t="s">
        <v>180</v>
      </c>
      <c r="C58" s="1" t="s">
        <v>180</v>
      </c>
      <c r="D58" s="1" t="s">
        <v>338</v>
      </c>
      <c r="E58" s="1" t="s">
        <v>409</v>
      </c>
      <c r="F58" s="1" t="s">
        <v>571</v>
      </c>
      <c r="G58" s="1" t="s">
        <v>17</v>
      </c>
      <c r="H58" s="1" t="s">
        <v>18</v>
      </c>
      <c r="I58" s="1" t="str">
        <f t="shared" si="0"/>
        <v>d13</v>
      </c>
    </row>
    <row r="59" spans="1:9" x14ac:dyDescent="0.3">
      <c r="A59" s="1" t="s">
        <v>277</v>
      </c>
      <c r="B59" s="1" t="s">
        <v>180</v>
      </c>
      <c r="C59" s="1" t="s">
        <v>180</v>
      </c>
      <c r="D59" s="1" t="s">
        <v>338</v>
      </c>
      <c r="E59" s="1" t="s">
        <v>409</v>
      </c>
      <c r="F59" s="1" t="s">
        <v>572</v>
      </c>
      <c r="G59" s="1" t="s">
        <v>770</v>
      </c>
      <c r="H59" s="1" t="s">
        <v>84</v>
      </c>
      <c r="I59" s="1" t="str">
        <f t="shared" si="0"/>
        <v>d16</v>
      </c>
    </row>
    <row r="60" spans="1:9" x14ac:dyDescent="0.3">
      <c r="A60" s="1" t="s">
        <v>44</v>
      </c>
      <c r="B60" s="1" t="s">
        <v>369</v>
      </c>
      <c r="C60" s="1" t="s">
        <v>168</v>
      </c>
      <c r="D60" s="1" t="s">
        <v>314</v>
      </c>
      <c r="E60" s="1" t="s">
        <v>385</v>
      </c>
      <c r="F60" s="1" t="s">
        <v>573</v>
      </c>
      <c r="G60" s="1" t="s">
        <v>17</v>
      </c>
      <c r="H60" s="1" t="s">
        <v>80</v>
      </c>
      <c r="I60" s="1" t="str">
        <f t="shared" si="0"/>
        <v>d06</v>
      </c>
    </row>
    <row r="61" spans="1:9" x14ac:dyDescent="0.3">
      <c r="A61" s="1" t="s">
        <v>44</v>
      </c>
      <c r="B61" s="1" t="s">
        <v>369</v>
      </c>
      <c r="C61" s="1" t="s">
        <v>168</v>
      </c>
      <c r="D61" s="1" t="s">
        <v>314</v>
      </c>
      <c r="E61" s="1" t="s">
        <v>385</v>
      </c>
      <c r="F61" s="1" t="s">
        <v>574</v>
      </c>
      <c r="G61" s="1" t="s">
        <v>17</v>
      </c>
      <c r="H61" s="1" t="s">
        <v>80</v>
      </c>
      <c r="I61" s="1" t="str">
        <f t="shared" si="0"/>
        <v>d06</v>
      </c>
    </row>
    <row r="62" spans="1:9" x14ac:dyDescent="0.3">
      <c r="A62" s="1" t="s">
        <v>44</v>
      </c>
      <c r="B62" s="1" t="s">
        <v>369</v>
      </c>
      <c r="C62" s="1" t="s">
        <v>168</v>
      </c>
      <c r="D62" s="1" t="s">
        <v>314</v>
      </c>
      <c r="E62" s="1" t="s">
        <v>385</v>
      </c>
      <c r="F62" s="1" t="s">
        <v>575</v>
      </c>
      <c r="G62" s="1" t="s">
        <v>17</v>
      </c>
      <c r="H62" s="1" t="s">
        <v>80</v>
      </c>
      <c r="I62" s="1" t="str">
        <f t="shared" si="0"/>
        <v>d06</v>
      </c>
    </row>
    <row r="63" spans="1:9" x14ac:dyDescent="0.3">
      <c r="A63" s="1" t="s">
        <v>44</v>
      </c>
      <c r="B63" s="1" t="s">
        <v>369</v>
      </c>
      <c r="C63" s="1" t="s">
        <v>168</v>
      </c>
      <c r="D63" s="1" t="s">
        <v>314</v>
      </c>
      <c r="E63" s="1" t="s">
        <v>385</v>
      </c>
      <c r="F63" s="1" t="s">
        <v>576</v>
      </c>
      <c r="G63" s="1" t="s">
        <v>17</v>
      </c>
      <c r="H63" s="1" t="s">
        <v>80</v>
      </c>
      <c r="I63" s="1" t="str">
        <f t="shared" si="0"/>
        <v>d06</v>
      </c>
    </row>
    <row r="64" spans="1:9" x14ac:dyDescent="0.3">
      <c r="A64" s="1" t="s">
        <v>44</v>
      </c>
      <c r="B64" s="1" t="s">
        <v>369</v>
      </c>
      <c r="C64" s="1" t="s">
        <v>168</v>
      </c>
      <c r="D64" s="1" t="s">
        <v>314</v>
      </c>
      <c r="E64" s="1" t="s">
        <v>385</v>
      </c>
      <c r="F64" s="1" t="s">
        <v>577</v>
      </c>
      <c r="G64" s="1" t="s">
        <v>17</v>
      </c>
      <c r="H64" s="1" t="s">
        <v>80</v>
      </c>
      <c r="I64" s="1" t="str">
        <f t="shared" si="0"/>
        <v>d06</v>
      </c>
    </row>
    <row r="65" spans="1:9" x14ac:dyDescent="0.3">
      <c r="A65" s="1" t="s">
        <v>278</v>
      </c>
      <c r="B65" s="1" t="s">
        <v>181</v>
      </c>
      <c r="C65" s="1" t="s">
        <v>181</v>
      </c>
      <c r="D65" s="1" t="s">
        <v>341</v>
      </c>
      <c r="E65" s="1" t="s">
        <v>412</v>
      </c>
      <c r="F65" s="1" t="s">
        <v>578</v>
      </c>
      <c r="G65" s="1" t="s">
        <v>17</v>
      </c>
      <c r="H65" s="1" t="s">
        <v>69</v>
      </c>
      <c r="I65" s="1" t="str">
        <f t="shared" si="0"/>
        <v>d04</v>
      </c>
    </row>
    <row r="66" spans="1:9" x14ac:dyDescent="0.3">
      <c r="A66" s="1" t="s">
        <v>278</v>
      </c>
      <c r="B66" s="1" t="s">
        <v>181</v>
      </c>
      <c r="C66" s="1" t="s">
        <v>181</v>
      </c>
      <c r="D66" s="1" t="s">
        <v>341</v>
      </c>
      <c r="E66" s="1" t="s">
        <v>412</v>
      </c>
      <c r="F66" s="1" t="s">
        <v>579</v>
      </c>
      <c r="G66" s="1" t="s">
        <v>17</v>
      </c>
      <c r="H66" s="1" t="s">
        <v>65</v>
      </c>
      <c r="I66" s="1" t="str">
        <f t="shared" ref="I66:I129" si="1">VLOOKUP(H66,$M$2:$N$19,2,FALSE)</f>
        <v>d09</v>
      </c>
    </row>
    <row r="67" spans="1:9" x14ac:dyDescent="0.3">
      <c r="A67" s="1" t="s">
        <v>278</v>
      </c>
      <c r="B67" s="1" t="s">
        <v>181</v>
      </c>
      <c r="C67" s="1" t="s">
        <v>181</v>
      </c>
      <c r="D67" s="1" t="s">
        <v>341</v>
      </c>
      <c r="E67" s="1" t="s">
        <v>412</v>
      </c>
      <c r="F67" s="1" t="s">
        <v>580</v>
      </c>
      <c r="G67" s="1" t="s">
        <v>17</v>
      </c>
      <c r="H67" s="1" t="s">
        <v>65</v>
      </c>
      <c r="I67" s="1" t="str">
        <f t="shared" si="1"/>
        <v>d09</v>
      </c>
    </row>
    <row r="68" spans="1:9" x14ac:dyDescent="0.3">
      <c r="A68" s="1" t="s">
        <v>278</v>
      </c>
      <c r="B68" s="1" t="s">
        <v>181</v>
      </c>
      <c r="C68" s="1" t="s">
        <v>181</v>
      </c>
      <c r="D68" s="1" t="s">
        <v>341</v>
      </c>
      <c r="E68" s="1" t="s">
        <v>412</v>
      </c>
      <c r="F68" s="1" t="s">
        <v>551</v>
      </c>
      <c r="G68" s="1" t="s">
        <v>17</v>
      </c>
      <c r="H68" s="1" t="s">
        <v>67</v>
      </c>
      <c r="I68" s="1" t="str">
        <f t="shared" si="1"/>
        <v>d10</v>
      </c>
    </row>
    <row r="69" spans="1:9" x14ac:dyDescent="0.3">
      <c r="A69" s="1" t="s">
        <v>278</v>
      </c>
      <c r="B69" s="1" t="s">
        <v>181</v>
      </c>
      <c r="C69" s="1" t="s">
        <v>181</v>
      </c>
      <c r="D69" s="1" t="s">
        <v>341</v>
      </c>
      <c r="E69" s="1" t="s">
        <v>412</v>
      </c>
      <c r="F69" s="1" t="s">
        <v>552</v>
      </c>
      <c r="G69" s="1" t="s">
        <v>17</v>
      </c>
      <c r="H69" s="1" t="s">
        <v>65</v>
      </c>
      <c r="I69" s="1" t="str">
        <f t="shared" si="1"/>
        <v>d09</v>
      </c>
    </row>
    <row r="70" spans="1:9" x14ac:dyDescent="0.3">
      <c r="A70" s="1" t="s">
        <v>278</v>
      </c>
      <c r="B70" s="1" t="s">
        <v>181</v>
      </c>
      <c r="C70" s="1" t="s">
        <v>181</v>
      </c>
      <c r="D70" s="1" t="s">
        <v>341</v>
      </c>
      <c r="E70" s="1" t="s">
        <v>412</v>
      </c>
      <c r="F70" s="1" t="s">
        <v>554</v>
      </c>
      <c r="G70" s="1" t="s">
        <v>17</v>
      </c>
      <c r="H70" s="1" t="s">
        <v>77</v>
      </c>
      <c r="I70" s="1" t="str">
        <f t="shared" si="1"/>
        <v>d03</v>
      </c>
    </row>
    <row r="71" spans="1:9" x14ac:dyDescent="0.3">
      <c r="A71" s="1" t="s">
        <v>278</v>
      </c>
      <c r="B71" s="1" t="s">
        <v>181</v>
      </c>
      <c r="C71" s="1" t="s">
        <v>181</v>
      </c>
      <c r="D71" s="1" t="s">
        <v>341</v>
      </c>
      <c r="E71" s="1" t="s">
        <v>412</v>
      </c>
      <c r="F71" s="1" t="s">
        <v>555</v>
      </c>
      <c r="G71" s="1" t="s">
        <v>17</v>
      </c>
      <c r="H71" s="1" t="s">
        <v>18</v>
      </c>
      <c r="I71" s="1" t="str">
        <f t="shared" si="1"/>
        <v>d13</v>
      </c>
    </row>
    <row r="72" spans="1:9" x14ac:dyDescent="0.3">
      <c r="A72" s="1" t="s">
        <v>278</v>
      </c>
      <c r="B72" s="1" t="s">
        <v>181</v>
      </c>
      <c r="C72" s="1" t="s">
        <v>181</v>
      </c>
      <c r="D72" s="1" t="s">
        <v>341</v>
      </c>
      <c r="E72" s="1" t="s">
        <v>412</v>
      </c>
      <c r="F72" s="1" t="s">
        <v>581</v>
      </c>
      <c r="G72" s="1" t="s">
        <v>770</v>
      </c>
      <c r="H72" s="1" t="s">
        <v>69</v>
      </c>
      <c r="I72" s="1" t="str">
        <f t="shared" si="1"/>
        <v>d04</v>
      </c>
    </row>
    <row r="73" spans="1:9" x14ac:dyDescent="0.3">
      <c r="A73" s="1" t="s">
        <v>279</v>
      </c>
      <c r="B73" s="1" t="s">
        <v>185</v>
      </c>
      <c r="C73" s="1" t="s">
        <v>183</v>
      </c>
      <c r="D73" s="1" t="s">
        <v>353</v>
      </c>
      <c r="E73" s="1" t="s">
        <v>424</v>
      </c>
      <c r="F73" s="1" t="s">
        <v>582</v>
      </c>
      <c r="G73" s="1" t="s">
        <v>17</v>
      </c>
      <c r="H73" s="1" t="s">
        <v>81</v>
      </c>
      <c r="I73" s="1" t="str">
        <f t="shared" si="1"/>
        <v>d07</v>
      </c>
    </row>
    <row r="74" spans="1:9" x14ac:dyDescent="0.3">
      <c r="A74" s="1" t="s">
        <v>279</v>
      </c>
      <c r="B74" s="1" t="s">
        <v>185</v>
      </c>
      <c r="C74" s="1" t="s">
        <v>183</v>
      </c>
      <c r="D74" s="1" t="s">
        <v>353</v>
      </c>
      <c r="E74" s="1" t="s">
        <v>424</v>
      </c>
      <c r="F74" s="1" t="s">
        <v>536</v>
      </c>
      <c r="G74" s="1" t="s">
        <v>17</v>
      </c>
      <c r="H74" s="1" t="s">
        <v>81</v>
      </c>
      <c r="I74" s="1" t="str">
        <f t="shared" si="1"/>
        <v>d07</v>
      </c>
    </row>
    <row r="75" spans="1:9" x14ac:dyDescent="0.3">
      <c r="A75" s="1" t="s">
        <v>279</v>
      </c>
      <c r="B75" s="1" t="s">
        <v>185</v>
      </c>
      <c r="C75" s="1" t="s">
        <v>183</v>
      </c>
      <c r="D75" s="1" t="s">
        <v>353</v>
      </c>
      <c r="E75" s="1" t="s">
        <v>424</v>
      </c>
      <c r="F75" s="1" t="s">
        <v>583</v>
      </c>
      <c r="G75" s="1" t="s">
        <v>17</v>
      </c>
      <c r="H75" s="1" t="s">
        <v>81</v>
      </c>
      <c r="I75" s="1" t="str">
        <f t="shared" si="1"/>
        <v>d07</v>
      </c>
    </row>
    <row r="76" spans="1:9" x14ac:dyDescent="0.3">
      <c r="A76" s="1" t="s">
        <v>279</v>
      </c>
      <c r="B76" s="1" t="s">
        <v>185</v>
      </c>
      <c r="C76" s="1" t="s">
        <v>183</v>
      </c>
      <c r="D76" s="1" t="s">
        <v>353</v>
      </c>
      <c r="E76" s="1" t="s">
        <v>424</v>
      </c>
      <c r="F76" s="1" t="s">
        <v>539</v>
      </c>
      <c r="G76" s="1" t="s">
        <v>17</v>
      </c>
      <c r="H76" s="1" t="s">
        <v>81</v>
      </c>
      <c r="I76" s="1" t="str">
        <f t="shared" si="1"/>
        <v>d07</v>
      </c>
    </row>
    <row r="77" spans="1:9" x14ac:dyDescent="0.3">
      <c r="A77" s="1" t="s">
        <v>279</v>
      </c>
      <c r="B77" s="1" t="s">
        <v>185</v>
      </c>
      <c r="C77" s="1" t="s">
        <v>183</v>
      </c>
      <c r="D77" s="1" t="s">
        <v>353</v>
      </c>
      <c r="E77" s="1" t="s">
        <v>424</v>
      </c>
      <c r="F77" s="1" t="s">
        <v>584</v>
      </c>
      <c r="G77" s="1" t="s">
        <v>17</v>
      </c>
      <c r="H77" s="1" t="s">
        <v>3</v>
      </c>
      <c r="I77" s="1" t="str">
        <f t="shared" si="1"/>
        <v>d08</v>
      </c>
    </row>
    <row r="78" spans="1:9" x14ac:dyDescent="0.3">
      <c r="A78" s="1" t="s">
        <v>279</v>
      </c>
      <c r="B78" s="1" t="s">
        <v>185</v>
      </c>
      <c r="C78" s="1" t="s">
        <v>183</v>
      </c>
      <c r="D78" s="1" t="s">
        <v>353</v>
      </c>
      <c r="E78" s="1" t="s">
        <v>424</v>
      </c>
      <c r="F78" s="1" t="s">
        <v>585</v>
      </c>
      <c r="G78" s="1" t="s">
        <v>17</v>
      </c>
      <c r="H78" s="1" t="s">
        <v>3</v>
      </c>
      <c r="I78" s="1" t="str">
        <f t="shared" si="1"/>
        <v>d08</v>
      </c>
    </row>
    <row r="79" spans="1:9" x14ac:dyDescent="0.3">
      <c r="A79" s="1" t="s">
        <v>279</v>
      </c>
      <c r="B79" s="1" t="s">
        <v>185</v>
      </c>
      <c r="C79" s="1" t="s">
        <v>183</v>
      </c>
      <c r="D79" s="1" t="s">
        <v>353</v>
      </c>
      <c r="E79" s="1" t="s">
        <v>424</v>
      </c>
      <c r="F79" s="1" t="s">
        <v>586</v>
      </c>
      <c r="G79" s="1" t="s">
        <v>17</v>
      </c>
      <c r="H79" s="1" t="s">
        <v>65</v>
      </c>
      <c r="I79" s="1" t="str">
        <f t="shared" si="1"/>
        <v>d09</v>
      </c>
    </row>
    <row r="80" spans="1:9" x14ac:dyDescent="0.3">
      <c r="A80" s="1" t="s">
        <v>279</v>
      </c>
      <c r="B80" s="1" t="s">
        <v>185</v>
      </c>
      <c r="C80" s="1" t="s">
        <v>183</v>
      </c>
      <c r="D80" s="1" t="s">
        <v>353</v>
      </c>
      <c r="E80" s="1" t="s">
        <v>424</v>
      </c>
      <c r="F80" s="1" t="s">
        <v>587</v>
      </c>
      <c r="G80" s="1" t="s">
        <v>17</v>
      </c>
      <c r="H80" s="1" t="s">
        <v>65</v>
      </c>
      <c r="I80" s="1" t="str">
        <f t="shared" si="1"/>
        <v>d09</v>
      </c>
    </row>
    <row r="81" spans="1:9" x14ac:dyDescent="0.3">
      <c r="A81" s="1" t="s">
        <v>279</v>
      </c>
      <c r="B81" s="1" t="s">
        <v>185</v>
      </c>
      <c r="C81" s="1" t="s">
        <v>183</v>
      </c>
      <c r="D81" s="1" t="s">
        <v>353</v>
      </c>
      <c r="E81" s="1" t="s">
        <v>424</v>
      </c>
      <c r="F81" s="1" t="s">
        <v>67</v>
      </c>
      <c r="G81" s="1" t="s">
        <v>17</v>
      </c>
      <c r="H81" s="1" t="s">
        <v>67</v>
      </c>
      <c r="I81" s="1" t="str">
        <f t="shared" si="1"/>
        <v>d10</v>
      </c>
    </row>
    <row r="82" spans="1:9" x14ac:dyDescent="0.3">
      <c r="A82" s="1" t="s">
        <v>279</v>
      </c>
      <c r="B82" s="1" t="s">
        <v>185</v>
      </c>
      <c r="C82" s="1" t="s">
        <v>183</v>
      </c>
      <c r="D82" s="1" t="s">
        <v>353</v>
      </c>
      <c r="E82" s="1" t="s">
        <v>424</v>
      </c>
      <c r="F82" s="1" t="s">
        <v>531</v>
      </c>
      <c r="G82" s="1" t="s">
        <v>17</v>
      </c>
      <c r="H82" s="1" t="s">
        <v>72</v>
      </c>
      <c r="I82" s="1" t="str">
        <f t="shared" si="1"/>
        <v>d12</v>
      </c>
    </row>
    <row r="83" spans="1:9" x14ac:dyDescent="0.3">
      <c r="A83" s="1" t="s">
        <v>279</v>
      </c>
      <c r="B83" s="1" t="s">
        <v>185</v>
      </c>
      <c r="C83" s="1" t="s">
        <v>183</v>
      </c>
      <c r="D83" s="1" t="s">
        <v>353</v>
      </c>
      <c r="E83" s="1" t="s">
        <v>424</v>
      </c>
      <c r="F83" s="1" t="s">
        <v>537</v>
      </c>
      <c r="G83" s="1" t="s">
        <v>17</v>
      </c>
      <c r="H83" s="1" t="s">
        <v>72</v>
      </c>
      <c r="I83" s="1" t="str">
        <f t="shared" si="1"/>
        <v>d12</v>
      </c>
    </row>
    <row r="84" spans="1:9" x14ac:dyDescent="0.3">
      <c r="A84" s="1" t="s">
        <v>279</v>
      </c>
      <c r="B84" s="1" t="s">
        <v>185</v>
      </c>
      <c r="C84" s="1" t="s">
        <v>183</v>
      </c>
      <c r="D84" s="1" t="s">
        <v>353</v>
      </c>
      <c r="E84" s="1" t="s">
        <v>424</v>
      </c>
      <c r="F84" s="1" t="s">
        <v>588</v>
      </c>
      <c r="G84" s="1" t="s">
        <v>17</v>
      </c>
      <c r="H84" s="1" t="s">
        <v>18</v>
      </c>
      <c r="I84" s="1" t="str">
        <f t="shared" si="1"/>
        <v>d13</v>
      </c>
    </row>
    <row r="85" spans="1:9" x14ac:dyDescent="0.3">
      <c r="A85" s="1" t="s">
        <v>279</v>
      </c>
      <c r="B85" s="1" t="s">
        <v>185</v>
      </c>
      <c r="C85" s="1" t="s">
        <v>183</v>
      </c>
      <c r="D85" s="1" t="s">
        <v>353</v>
      </c>
      <c r="E85" s="1" t="s">
        <v>424</v>
      </c>
      <c r="F85" s="1" t="s">
        <v>88</v>
      </c>
      <c r="G85" s="1" t="s">
        <v>17</v>
      </c>
      <c r="H85" s="1" t="s">
        <v>18</v>
      </c>
      <c r="I85" s="1" t="str">
        <f t="shared" si="1"/>
        <v>d13</v>
      </c>
    </row>
    <row r="86" spans="1:9" x14ac:dyDescent="0.3">
      <c r="A86" s="1" t="s">
        <v>280</v>
      </c>
      <c r="B86" s="1" t="s">
        <v>185</v>
      </c>
      <c r="C86" s="1" t="s">
        <v>183</v>
      </c>
      <c r="D86" s="1" t="s">
        <v>349</v>
      </c>
      <c r="E86" s="1" t="s">
        <v>420</v>
      </c>
      <c r="F86" s="1" t="s">
        <v>557</v>
      </c>
      <c r="G86" s="1" t="s">
        <v>17</v>
      </c>
      <c r="H86" s="1" t="s">
        <v>80</v>
      </c>
      <c r="I86" s="1" t="str">
        <f t="shared" si="1"/>
        <v>d06</v>
      </c>
    </row>
    <row r="87" spans="1:9" x14ac:dyDescent="0.3">
      <c r="A87" s="1" t="s">
        <v>280</v>
      </c>
      <c r="B87" s="1" t="s">
        <v>185</v>
      </c>
      <c r="C87" s="1" t="s">
        <v>183</v>
      </c>
      <c r="D87" s="1" t="s">
        <v>349</v>
      </c>
      <c r="E87" s="1" t="s">
        <v>420</v>
      </c>
      <c r="F87" s="1" t="s">
        <v>539</v>
      </c>
      <c r="G87" s="1" t="s">
        <v>17</v>
      </c>
      <c r="H87" s="1" t="s">
        <v>81</v>
      </c>
      <c r="I87" s="1" t="str">
        <f t="shared" si="1"/>
        <v>d07</v>
      </c>
    </row>
    <row r="88" spans="1:9" x14ac:dyDescent="0.3">
      <c r="A88" s="1" t="s">
        <v>280</v>
      </c>
      <c r="B88" s="1" t="s">
        <v>185</v>
      </c>
      <c r="C88" s="1" t="s">
        <v>183</v>
      </c>
      <c r="D88" s="1" t="s">
        <v>349</v>
      </c>
      <c r="E88" s="1" t="s">
        <v>420</v>
      </c>
      <c r="F88" s="1" t="s">
        <v>540</v>
      </c>
      <c r="G88" s="1" t="s">
        <v>17</v>
      </c>
      <c r="H88" s="1" t="s">
        <v>81</v>
      </c>
      <c r="I88" s="1" t="str">
        <f t="shared" si="1"/>
        <v>d07</v>
      </c>
    </row>
    <row r="89" spans="1:9" x14ac:dyDescent="0.3">
      <c r="A89" s="1" t="s">
        <v>280</v>
      </c>
      <c r="B89" s="1" t="s">
        <v>185</v>
      </c>
      <c r="C89" s="1" t="s">
        <v>183</v>
      </c>
      <c r="D89" s="1" t="s">
        <v>349</v>
      </c>
      <c r="E89" s="1" t="s">
        <v>420</v>
      </c>
      <c r="F89" s="1" t="s">
        <v>586</v>
      </c>
      <c r="G89" s="1" t="s">
        <v>17</v>
      </c>
      <c r="H89" s="1" t="s">
        <v>65</v>
      </c>
      <c r="I89" s="1" t="str">
        <f t="shared" si="1"/>
        <v>d09</v>
      </c>
    </row>
    <row r="90" spans="1:9" x14ac:dyDescent="0.3">
      <c r="A90" s="1" t="s">
        <v>280</v>
      </c>
      <c r="B90" s="1" t="s">
        <v>185</v>
      </c>
      <c r="C90" s="1" t="s">
        <v>183</v>
      </c>
      <c r="D90" s="1" t="s">
        <v>349</v>
      </c>
      <c r="E90" s="1" t="s">
        <v>420</v>
      </c>
      <c r="F90" s="1" t="s">
        <v>67</v>
      </c>
      <c r="G90" s="1" t="s">
        <v>17</v>
      </c>
      <c r="H90" s="1" t="s">
        <v>67</v>
      </c>
      <c r="I90" s="1" t="str">
        <f t="shared" si="1"/>
        <v>d10</v>
      </c>
    </row>
    <row r="91" spans="1:9" x14ac:dyDescent="0.3">
      <c r="A91" s="1" t="s">
        <v>281</v>
      </c>
      <c r="B91" s="1" t="s">
        <v>185</v>
      </c>
      <c r="C91" s="1" t="s">
        <v>183</v>
      </c>
      <c r="D91" s="1" t="s">
        <v>354</v>
      </c>
      <c r="E91" s="1" t="s">
        <v>425</v>
      </c>
      <c r="F91" s="1" t="s">
        <v>589</v>
      </c>
      <c r="G91" s="1" t="s">
        <v>17</v>
      </c>
      <c r="H91" s="1" t="s">
        <v>81</v>
      </c>
      <c r="I91" s="1" t="str">
        <f t="shared" si="1"/>
        <v>d07</v>
      </c>
    </row>
    <row r="92" spans="1:9" x14ac:dyDescent="0.3">
      <c r="A92" s="1" t="s">
        <v>281</v>
      </c>
      <c r="B92" s="1" t="s">
        <v>185</v>
      </c>
      <c r="C92" s="1" t="s">
        <v>183</v>
      </c>
      <c r="D92" s="1" t="s">
        <v>354</v>
      </c>
      <c r="E92" s="1" t="s">
        <v>425</v>
      </c>
      <c r="F92" s="1" t="s">
        <v>590</v>
      </c>
      <c r="G92" s="1" t="s">
        <v>17</v>
      </c>
      <c r="H92" s="1" t="s">
        <v>81</v>
      </c>
      <c r="I92" s="1" t="str">
        <f t="shared" si="1"/>
        <v>d07</v>
      </c>
    </row>
    <row r="93" spans="1:9" x14ac:dyDescent="0.3">
      <c r="A93" s="1" t="s">
        <v>281</v>
      </c>
      <c r="B93" s="1" t="s">
        <v>185</v>
      </c>
      <c r="C93" s="1" t="s">
        <v>183</v>
      </c>
      <c r="D93" s="1" t="s">
        <v>354</v>
      </c>
      <c r="E93" s="1" t="s">
        <v>425</v>
      </c>
      <c r="F93" s="1" t="s">
        <v>582</v>
      </c>
      <c r="G93" s="1" t="s">
        <v>17</v>
      </c>
      <c r="H93" s="1" t="s">
        <v>81</v>
      </c>
      <c r="I93" s="1" t="str">
        <f t="shared" si="1"/>
        <v>d07</v>
      </c>
    </row>
    <row r="94" spans="1:9" x14ac:dyDescent="0.3">
      <c r="A94" s="1" t="s">
        <v>281</v>
      </c>
      <c r="B94" s="1" t="s">
        <v>185</v>
      </c>
      <c r="C94" s="1" t="s">
        <v>183</v>
      </c>
      <c r="D94" s="1" t="s">
        <v>354</v>
      </c>
      <c r="E94" s="1" t="s">
        <v>425</v>
      </c>
      <c r="F94" s="1" t="s">
        <v>583</v>
      </c>
      <c r="G94" s="1" t="s">
        <v>17</v>
      </c>
      <c r="H94" s="1" t="s">
        <v>81</v>
      </c>
      <c r="I94" s="1" t="str">
        <f t="shared" si="1"/>
        <v>d07</v>
      </c>
    </row>
    <row r="95" spans="1:9" x14ac:dyDescent="0.3">
      <c r="A95" s="1" t="s">
        <v>281</v>
      </c>
      <c r="B95" s="1" t="s">
        <v>185</v>
      </c>
      <c r="C95" s="1" t="s">
        <v>183</v>
      </c>
      <c r="D95" s="1" t="s">
        <v>354</v>
      </c>
      <c r="E95" s="1" t="s">
        <v>425</v>
      </c>
      <c r="F95" s="1" t="s">
        <v>539</v>
      </c>
      <c r="G95" s="1" t="s">
        <v>17</v>
      </c>
      <c r="H95" s="1" t="s">
        <v>81</v>
      </c>
      <c r="I95" s="1" t="str">
        <f t="shared" si="1"/>
        <v>d07</v>
      </c>
    </row>
    <row r="96" spans="1:9" x14ac:dyDescent="0.3">
      <c r="A96" s="1" t="s">
        <v>281</v>
      </c>
      <c r="B96" s="1" t="s">
        <v>185</v>
      </c>
      <c r="C96" s="1" t="s">
        <v>183</v>
      </c>
      <c r="D96" s="1" t="s">
        <v>354</v>
      </c>
      <c r="E96" s="1" t="s">
        <v>425</v>
      </c>
      <c r="F96" s="1" t="s">
        <v>540</v>
      </c>
      <c r="G96" s="1" t="s">
        <v>17</v>
      </c>
      <c r="H96" s="1" t="s">
        <v>81</v>
      </c>
      <c r="I96" s="1" t="str">
        <f t="shared" si="1"/>
        <v>d07</v>
      </c>
    </row>
    <row r="97" spans="1:9" x14ac:dyDescent="0.3">
      <c r="A97" s="1" t="s">
        <v>281</v>
      </c>
      <c r="B97" s="1" t="s">
        <v>185</v>
      </c>
      <c r="C97" s="1" t="s">
        <v>183</v>
      </c>
      <c r="D97" s="1" t="s">
        <v>354</v>
      </c>
      <c r="E97" s="1" t="s">
        <v>425</v>
      </c>
      <c r="F97" s="1" t="s">
        <v>541</v>
      </c>
      <c r="G97" s="1" t="s">
        <v>17</v>
      </c>
      <c r="H97" s="1" t="s">
        <v>65</v>
      </c>
      <c r="I97" s="1" t="str">
        <f t="shared" si="1"/>
        <v>d09</v>
      </c>
    </row>
    <row r="98" spans="1:9" x14ac:dyDescent="0.3">
      <c r="A98" s="1" t="s">
        <v>281</v>
      </c>
      <c r="B98" s="1" t="s">
        <v>185</v>
      </c>
      <c r="C98" s="1" t="s">
        <v>183</v>
      </c>
      <c r="D98" s="1" t="s">
        <v>354</v>
      </c>
      <c r="E98" s="1" t="s">
        <v>425</v>
      </c>
      <c r="F98" s="1" t="s">
        <v>542</v>
      </c>
      <c r="G98" s="1" t="s">
        <v>17</v>
      </c>
      <c r="H98" s="1" t="s">
        <v>65</v>
      </c>
      <c r="I98" s="1" t="str">
        <f t="shared" si="1"/>
        <v>d09</v>
      </c>
    </row>
    <row r="99" spans="1:9" x14ac:dyDescent="0.3">
      <c r="A99" s="1" t="s">
        <v>281</v>
      </c>
      <c r="B99" s="1" t="s">
        <v>185</v>
      </c>
      <c r="C99" s="1" t="s">
        <v>183</v>
      </c>
      <c r="D99" s="1" t="s">
        <v>354</v>
      </c>
      <c r="E99" s="1" t="s">
        <v>425</v>
      </c>
      <c r="F99" s="1" t="s">
        <v>528</v>
      </c>
      <c r="G99" s="1" t="s">
        <v>17</v>
      </c>
      <c r="H99" s="1" t="s">
        <v>67</v>
      </c>
      <c r="I99" s="1" t="str">
        <f t="shared" si="1"/>
        <v>d10</v>
      </c>
    </row>
    <row r="100" spans="1:9" x14ac:dyDescent="0.3">
      <c r="A100" s="1" t="s">
        <v>281</v>
      </c>
      <c r="B100" s="1" t="s">
        <v>185</v>
      </c>
      <c r="C100" s="1" t="s">
        <v>183</v>
      </c>
      <c r="D100" s="1" t="s">
        <v>354</v>
      </c>
      <c r="E100" s="1" t="s">
        <v>425</v>
      </c>
      <c r="F100" s="1" t="s">
        <v>591</v>
      </c>
      <c r="G100" s="1" t="s">
        <v>17</v>
      </c>
      <c r="H100" s="1" t="s">
        <v>72</v>
      </c>
      <c r="I100" s="1" t="str">
        <f t="shared" si="1"/>
        <v>d12</v>
      </c>
    </row>
    <row r="101" spans="1:9" x14ac:dyDescent="0.3">
      <c r="A101" s="1" t="s">
        <v>281</v>
      </c>
      <c r="B101" s="1" t="s">
        <v>185</v>
      </c>
      <c r="C101" s="1" t="s">
        <v>183</v>
      </c>
      <c r="D101" s="1" t="s">
        <v>354</v>
      </c>
      <c r="E101" s="1" t="s">
        <v>425</v>
      </c>
      <c r="F101" s="1" t="s">
        <v>531</v>
      </c>
      <c r="G101" s="1" t="s">
        <v>17</v>
      </c>
      <c r="H101" s="1" t="s">
        <v>72</v>
      </c>
      <c r="I101" s="1" t="str">
        <f t="shared" si="1"/>
        <v>d12</v>
      </c>
    </row>
    <row r="102" spans="1:9" x14ac:dyDescent="0.3">
      <c r="A102" s="1" t="s">
        <v>281</v>
      </c>
      <c r="B102" s="1" t="s">
        <v>185</v>
      </c>
      <c r="C102" s="1" t="s">
        <v>183</v>
      </c>
      <c r="D102" s="1" t="s">
        <v>354</v>
      </c>
      <c r="E102" s="1" t="s">
        <v>425</v>
      </c>
      <c r="F102" s="1" t="s">
        <v>537</v>
      </c>
      <c r="G102" s="1" t="s">
        <v>17</v>
      </c>
      <c r="H102" s="1" t="s">
        <v>72</v>
      </c>
      <c r="I102" s="1" t="str">
        <f t="shared" si="1"/>
        <v>d12</v>
      </c>
    </row>
    <row r="103" spans="1:9" x14ac:dyDescent="0.3">
      <c r="A103" s="1" t="s">
        <v>282</v>
      </c>
      <c r="B103" s="1" t="s">
        <v>185</v>
      </c>
      <c r="C103" s="1" t="s">
        <v>183</v>
      </c>
      <c r="D103" s="1" t="s">
        <v>348</v>
      </c>
      <c r="E103" s="1" t="s">
        <v>419</v>
      </c>
      <c r="F103" s="1" t="s">
        <v>582</v>
      </c>
      <c r="G103" s="1" t="s">
        <v>17</v>
      </c>
      <c r="H103" s="1" t="s">
        <v>81</v>
      </c>
      <c r="I103" s="1" t="str">
        <f t="shared" si="1"/>
        <v>d07</v>
      </c>
    </row>
    <row r="104" spans="1:9" x14ac:dyDescent="0.3">
      <c r="A104" s="1" t="s">
        <v>282</v>
      </c>
      <c r="B104" s="1" t="s">
        <v>185</v>
      </c>
      <c r="C104" s="1" t="s">
        <v>183</v>
      </c>
      <c r="D104" s="1" t="s">
        <v>348</v>
      </c>
      <c r="E104" s="1" t="s">
        <v>419</v>
      </c>
      <c r="F104" s="1" t="s">
        <v>536</v>
      </c>
      <c r="G104" s="1" t="s">
        <v>17</v>
      </c>
      <c r="H104" s="1" t="s">
        <v>81</v>
      </c>
      <c r="I104" s="1" t="str">
        <f t="shared" si="1"/>
        <v>d07</v>
      </c>
    </row>
    <row r="105" spans="1:9" x14ac:dyDescent="0.3">
      <c r="A105" s="1" t="s">
        <v>282</v>
      </c>
      <c r="B105" s="1" t="s">
        <v>185</v>
      </c>
      <c r="C105" s="1" t="s">
        <v>183</v>
      </c>
      <c r="D105" s="1" t="s">
        <v>348</v>
      </c>
      <c r="E105" s="1" t="s">
        <v>419</v>
      </c>
      <c r="F105" s="1" t="s">
        <v>583</v>
      </c>
      <c r="G105" s="1" t="s">
        <v>17</v>
      </c>
      <c r="H105" s="1" t="s">
        <v>81</v>
      </c>
      <c r="I105" s="1" t="str">
        <f t="shared" si="1"/>
        <v>d07</v>
      </c>
    </row>
    <row r="106" spans="1:9" x14ac:dyDescent="0.3">
      <c r="A106" s="1" t="s">
        <v>282</v>
      </c>
      <c r="B106" s="1" t="s">
        <v>185</v>
      </c>
      <c r="C106" s="1" t="s">
        <v>183</v>
      </c>
      <c r="D106" s="1" t="s">
        <v>348</v>
      </c>
      <c r="E106" s="1" t="s">
        <v>419</v>
      </c>
      <c r="F106" s="1" t="s">
        <v>592</v>
      </c>
      <c r="G106" s="1" t="s">
        <v>17</v>
      </c>
      <c r="H106" s="1" t="s">
        <v>81</v>
      </c>
      <c r="I106" s="1" t="str">
        <f t="shared" si="1"/>
        <v>d07</v>
      </c>
    </row>
    <row r="107" spans="1:9" x14ac:dyDescent="0.3">
      <c r="A107" s="1" t="s">
        <v>282</v>
      </c>
      <c r="B107" s="1" t="s">
        <v>185</v>
      </c>
      <c r="C107" s="1" t="s">
        <v>183</v>
      </c>
      <c r="D107" s="1" t="s">
        <v>348</v>
      </c>
      <c r="E107" s="1" t="s">
        <v>419</v>
      </c>
      <c r="F107" s="1" t="s">
        <v>539</v>
      </c>
      <c r="G107" s="1" t="s">
        <v>17</v>
      </c>
      <c r="H107" s="1" t="s">
        <v>81</v>
      </c>
      <c r="I107" s="1" t="str">
        <f t="shared" si="1"/>
        <v>d07</v>
      </c>
    </row>
    <row r="108" spans="1:9" x14ac:dyDescent="0.3">
      <c r="A108" s="1" t="s">
        <v>282</v>
      </c>
      <c r="B108" s="1" t="s">
        <v>185</v>
      </c>
      <c r="C108" s="1" t="s">
        <v>183</v>
      </c>
      <c r="D108" s="1" t="s">
        <v>348</v>
      </c>
      <c r="E108" s="1" t="s">
        <v>419</v>
      </c>
      <c r="F108" s="1" t="s">
        <v>540</v>
      </c>
      <c r="G108" s="1" t="s">
        <v>17</v>
      </c>
      <c r="H108" s="1" t="s">
        <v>81</v>
      </c>
      <c r="I108" s="1" t="str">
        <f t="shared" si="1"/>
        <v>d07</v>
      </c>
    </row>
    <row r="109" spans="1:9" x14ac:dyDescent="0.3">
      <c r="A109" s="1" t="s">
        <v>282</v>
      </c>
      <c r="B109" s="1" t="s">
        <v>185</v>
      </c>
      <c r="C109" s="1" t="s">
        <v>183</v>
      </c>
      <c r="D109" s="1" t="s">
        <v>348</v>
      </c>
      <c r="E109" s="1" t="s">
        <v>419</v>
      </c>
      <c r="F109" s="1" t="s">
        <v>593</v>
      </c>
      <c r="G109" s="1" t="s">
        <v>17</v>
      </c>
      <c r="H109" s="1" t="s">
        <v>65</v>
      </c>
      <c r="I109" s="1" t="str">
        <f t="shared" si="1"/>
        <v>d09</v>
      </c>
    </row>
    <row r="110" spans="1:9" x14ac:dyDescent="0.3">
      <c r="A110" s="1" t="s">
        <v>282</v>
      </c>
      <c r="B110" s="1" t="s">
        <v>185</v>
      </c>
      <c r="C110" s="1" t="s">
        <v>183</v>
      </c>
      <c r="D110" s="1" t="s">
        <v>348</v>
      </c>
      <c r="E110" s="1" t="s">
        <v>419</v>
      </c>
      <c r="F110" s="1" t="s">
        <v>594</v>
      </c>
      <c r="G110" s="1" t="s">
        <v>17</v>
      </c>
      <c r="H110" s="1" t="s">
        <v>65</v>
      </c>
      <c r="I110" s="1" t="str">
        <f t="shared" si="1"/>
        <v>d09</v>
      </c>
    </row>
    <row r="111" spans="1:9" x14ac:dyDescent="0.3">
      <c r="A111" s="1" t="s">
        <v>282</v>
      </c>
      <c r="B111" s="1" t="s">
        <v>185</v>
      </c>
      <c r="C111" s="1" t="s">
        <v>183</v>
      </c>
      <c r="D111" s="1" t="s">
        <v>348</v>
      </c>
      <c r="E111" s="1" t="s">
        <v>419</v>
      </c>
      <c r="F111" s="1" t="s">
        <v>586</v>
      </c>
      <c r="G111" s="1" t="s">
        <v>17</v>
      </c>
      <c r="H111" s="1" t="s">
        <v>65</v>
      </c>
      <c r="I111" s="1" t="str">
        <f t="shared" si="1"/>
        <v>d09</v>
      </c>
    </row>
    <row r="112" spans="1:9" x14ac:dyDescent="0.3">
      <c r="A112" s="1" t="s">
        <v>282</v>
      </c>
      <c r="B112" s="1" t="s">
        <v>185</v>
      </c>
      <c r="C112" s="1" t="s">
        <v>183</v>
      </c>
      <c r="D112" s="1" t="s">
        <v>348</v>
      </c>
      <c r="E112" s="1" t="s">
        <v>419</v>
      </c>
      <c r="F112" s="1" t="s">
        <v>595</v>
      </c>
      <c r="G112" s="1" t="s">
        <v>17</v>
      </c>
      <c r="H112" s="1" t="s">
        <v>65</v>
      </c>
      <c r="I112" s="1" t="str">
        <f t="shared" si="1"/>
        <v>d09</v>
      </c>
    </row>
    <row r="113" spans="1:9" x14ac:dyDescent="0.3">
      <c r="A113" s="1" t="s">
        <v>282</v>
      </c>
      <c r="B113" s="1" t="s">
        <v>185</v>
      </c>
      <c r="C113" s="1" t="s">
        <v>183</v>
      </c>
      <c r="D113" s="1" t="s">
        <v>348</v>
      </c>
      <c r="E113" s="1" t="s">
        <v>419</v>
      </c>
      <c r="F113" s="1" t="s">
        <v>596</v>
      </c>
      <c r="G113" s="1" t="s">
        <v>17</v>
      </c>
      <c r="H113" s="1" t="s">
        <v>65</v>
      </c>
      <c r="I113" s="1" t="str">
        <f t="shared" si="1"/>
        <v>d09</v>
      </c>
    </row>
    <row r="114" spans="1:9" x14ac:dyDescent="0.3">
      <c r="A114" s="1" t="s">
        <v>282</v>
      </c>
      <c r="B114" s="1" t="s">
        <v>185</v>
      </c>
      <c r="C114" s="1" t="s">
        <v>183</v>
      </c>
      <c r="D114" s="1" t="s">
        <v>348</v>
      </c>
      <c r="E114" s="1" t="s">
        <v>419</v>
      </c>
      <c r="F114" s="1" t="s">
        <v>528</v>
      </c>
      <c r="G114" s="1" t="s">
        <v>17</v>
      </c>
      <c r="H114" s="1" t="s">
        <v>67</v>
      </c>
      <c r="I114" s="1" t="str">
        <f t="shared" si="1"/>
        <v>d10</v>
      </c>
    </row>
    <row r="115" spans="1:9" x14ac:dyDescent="0.3">
      <c r="A115" s="1" t="s">
        <v>282</v>
      </c>
      <c r="B115" s="1" t="s">
        <v>185</v>
      </c>
      <c r="C115" s="1" t="s">
        <v>183</v>
      </c>
      <c r="D115" s="1" t="s">
        <v>348</v>
      </c>
      <c r="E115" s="1" t="s">
        <v>419</v>
      </c>
      <c r="F115" s="1" t="s">
        <v>597</v>
      </c>
      <c r="G115" s="1" t="s">
        <v>17</v>
      </c>
      <c r="H115" s="1" t="s">
        <v>67</v>
      </c>
      <c r="I115" s="1" t="str">
        <f t="shared" si="1"/>
        <v>d10</v>
      </c>
    </row>
    <row r="116" spans="1:9" x14ac:dyDescent="0.3">
      <c r="A116" s="1" t="s">
        <v>282</v>
      </c>
      <c r="B116" s="1" t="s">
        <v>185</v>
      </c>
      <c r="C116" s="1" t="s">
        <v>183</v>
      </c>
      <c r="D116" s="1" t="s">
        <v>348</v>
      </c>
      <c r="E116" s="1" t="s">
        <v>419</v>
      </c>
      <c r="F116" s="1" t="s">
        <v>598</v>
      </c>
      <c r="G116" s="1" t="s">
        <v>17</v>
      </c>
      <c r="H116" s="1" t="s">
        <v>67</v>
      </c>
      <c r="I116" s="1" t="str">
        <f t="shared" si="1"/>
        <v>d10</v>
      </c>
    </row>
    <row r="117" spans="1:9" x14ac:dyDescent="0.3">
      <c r="A117" s="1" t="s">
        <v>283</v>
      </c>
      <c r="B117" s="1" t="s">
        <v>374</v>
      </c>
      <c r="C117" s="1" t="s">
        <v>172</v>
      </c>
      <c r="D117" s="1" t="s">
        <v>327</v>
      </c>
      <c r="E117" s="1" t="s">
        <v>398</v>
      </c>
      <c r="F117" s="1" t="s">
        <v>599</v>
      </c>
      <c r="G117" s="1" t="s">
        <v>17</v>
      </c>
      <c r="H117" s="1" t="s">
        <v>3</v>
      </c>
      <c r="I117" s="1" t="str">
        <f t="shared" si="1"/>
        <v>d08</v>
      </c>
    </row>
    <row r="118" spans="1:9" x14ac:dyDescent="0.3">
      <c r="A118" s="1" t="s">
        <v>284</v>
      </c>
      <c r="B118" s="1" t="s">
        <v>177</v>
      </c>
      <c r="C118" s="1" t="s">
        <v>177</v>
      </c>
      <c r="D118" s="1" t="s">
        <v>520</v>
      </c>
      <c r="E118" s="1" t="s">
        <v>414</v>
      </c>
      <c r="F118" s="1" t="s">
        <v>600</v>
      </c>
      <c r="G118" s="1" t="s">
        <v>4</v>
      </c>
      <c r="H118" s="1" t="s">
        <v>77</v>
      </c>
      <c r="I118" s="1" t="str">
        <f t="shared" si="1"/>
        <v>d03</v>
      </c>
    </row>
    <row r="119" spans="1:9" x14ac:dyDescent="0.3">
      <c r="A119" s="1" t="s">
        <v>43</v>
      </c>
      <c r="B119" s="1" t="s">
        <v>171</v>
      </c>
      <c r="C119" s="1" t="s">
        <v>168</v>
      </c>
      <c r="D119" s="1" t="s">
        <v>313</v>
      </c>
      <c r="E119" s="1" t="s">
        <v>384</v>
      </c>
      <c r="G119" s="1" t="s">
        <v>63</v>
      </c>
      <c r="H119" s="1" t="s">
        <v>75</v>
      </c>
      <c r="I119" s="1" t="str">
        <f t="shared" si="1"/>
        <v>d01</v>
      </c>
    </row>
    <row r="120" spans="1:9" x14ac:dyDescent="0.3">
      <c r="A120" s="1" t="s">
        <v>51</v>
      </c>
      <c r="B120" s="1" t="s">
        <v>161</v>
      </c>
      <c r="C120" s="1" t="s">
        <v>158</v>
      </c>
      <c r="D120" s="1" t="s">
        <v>321</v>
      </c>
      <c r="E120" s="1" t="s">
        <v>392</v>
      </c>
      <c r="F120" s="1" t="s">
        <v>601</v>
      </c>
      <c r="G120" s="1" t="s">
        <v>63</v>
      </c>
      <c r="H120" s="1" t="s">
        <v>75</v>
      </c>
      <c r="I120" s="1" t="str">
        <f t="shared" si="1"/>
        <v>d01</v>
      </c>
    </row>
    <row r="121" spans="1:9" x14ac:dyDescent="0.3">
      <c r="A121" s="1" t="s">
        <v>51</v>
      </c>
      <c r="B121" s="1" t="s">
        <v>161</v>
      </c>
      <c r="C121" s="1" t="s">
        <v>158</v>
      </c>
      <c r="D121" s="1" t="s">
        <v>321</v>
      </c>
      <c r="E121" s="1" t="s">
        <v>392</v>
      </c>
      <c r="F121" s="1" t="s">
        <v>602</v>
      </c>
      <c r="G121" s="1" t="s">
        <v>63</v>
      </c>
      <c r="H121" s="1" t="s">
        <v>75</v>
      </c>
      <c r="I121" s="1" t="str">
        <f t="shared" si="1"/>
        <v>d01</v>
      </c>
    </row>
    <row r="122" spans="1:9" x14ac:dyDescent="0.3">
      <c r="A122" s="1" t="s">
        <v>51</v>
      </c>
      <c r="B122" s="1" t="s">
        <v>161</v>
      </c>
      <c r="C122" s="1" t="s">
        <v>158</v>
      </c>
      <c r="D122" s="1" t="s">
        <v>321</v>
      </c>
      <c r="E122" s="1" t="s">
        <v>392</v>
      </c>
      <c r="F122" s="1" t="s">
        <v>603</v>
      </c>
      <c r="G122" s="1" t="s">
        <v>770</v>
      </c>
      <c r="H122" s="1" t="s">
        <v>61</v>
      </c>
      <c r="I122" s="1" t="str">
        <f t="shared" si="1"/>
        <v>d14</v>
      </c>
    </row>
    <row r="123" spans="1:9" x14ac:dyDescent="0.3">
      <c r="A123" s="1" t="s">
        <v>51</v>
      </c>
      <c r="B123" s="1" t="s">
        <v>161</v>
      </c>
      <c r="C123" s="1" t="s">
        <v>158</v>
      </c>
      <c r="D123" s="1" t="s">
        <v>321</v>
      </c>
      <c r="E123" s="1" t="s">
        <v>392</v>
      </c>
      <c r="F123" s="1" t="s">
        <v>604</v>
      </c>
      <c r="G123" s="1" t="s">
        <v>770</v>
      </c>
      <c r="H123" s="1" t="s">
        <v>61</v>
      </c>
      <c r="I123" s="1" t="str">
        <f t="shared" si="1"/>
        <v>d14</v>
      </c>
    </row>
    <row r="124" spans="1:9" x14ac:dyDescent="0.3">
      <c r="A124" s="1" t="s">
        <v>51</v>
      </c>
      <c r="B124" s="1" t="s">
        <v>161</v>
      </c>
      <c r="C124" s="1" t="s">
        <v>158</v>
      </c>
      <c r="D124" s="1" t="s">
        <v>321</v>
      </c>
      <c r="E124" s="1" t="s">
        <v>392</v>
      </c>
      <c r="F124" s="1" t="s">
        <v>605</v>
      </c>
      <c r="G124" s="1" t="s">
        <v>770</v>
      </c>
      <c r="H124" s="1" t="s">
        <v>61</v>
      </c>
      <c r="I124" s="1" t="str">
        <f t="shared" si="1"/>
        <v>d14</v>
      </c>
    </row>
    <row r="125" spans="1:9" x14ac:dyDescent="0.3">
      <c r="A125" s="1" t="s">
        <v>51</v>
      </c>
      <c r="B125" s="1" t="s">
        <v>161</v>
      </c>
      <c r="C125" s="1" t="s">
        <v>158</v>
      </c>
      <c r="D125" s="1" t="s">
        <v>321</v>
      </c>
      <c r="E125" s="1" t="s">
        <v>392</v>
      </c>
      <c r="F125" s="1" t="s">
        <v>606</v>
      </c>
      <c r="G125" s="1" t="s">
        <v>770</v>
      </c>
      <c r="H125" s="1" t="s">
        <v>61</v>
      </c>
      <c r="I125" s="1" t="str">
        <f t="shared" si="1"/>
        <v>d14</v>
      </c>
    </row>
    <row r="126" spans="1:9" x14ac:dyDescent="0.3">
      <c r="A126" s="1" t="s">
        <v>53</v>
      </c>
      <c r="B126" s="1" t="s">
        <v>173</v>
      </c>
      <c r="C126" s="1" t="s">
        <v>172</v>
      </c>
      <c r="D126" s="1" t="s">
        <v>323</v>
      </c>
      <c r="E126" s="1" t="s">
        <v>394</v>
      </c>
      <c r="F126" s="1" t="s">
        <v>607</v>
      </c>
      <c r="G126" s="1" t="s">
        <v>4</v>
      </c>
      <c r="H126" s="1" t="s">
        <v>77</v>
      </c>
      <c r="I126" s="1" t="str">
        <f t="shared" si="1"/>
        <v>d03</v>
      </c>
    </row>
    <row r="127" spans="1:9" x14ac:dyDescent="0.3">
      <c r="A127" s="1" t="s">
        <v>53</v>
      </c>
      <c r="B127" s="1" t="s">
        <v>173</v>
      </c>
      <c r="C127" s="1" t="s">
        <v>172</v>
      </c>
      <c r="D127" s="1" t="s">
        <v>323</v>
      </c>
      <c r="E127" s="1" t="s">
        <v>394</v>
      </c>
      <c r="F127" s="1" t="s">
        <v>608</v>
      </c>
      <c r="G127" s="1" t="s">
        <v>4</v>
      </c>
      <c r="H127" s="1" t="s">
        <v>77</v>
      </c>
      <c r="I127" s="1" t="str">
        <f t="shared" si="1"/>
        <v>d03</v>
      </c>
    </row>
    <row r="128" spans="1:9" x14ac:dyDescent="0.3">
      <c r="A128" s="1" t="s">
        <v>53</v>
      </c>
      <c r="B128" s="1" t="s">
        <v>173</v>
      </c>
      <c r="C128" s="1" t="s">
        <v>172</v>
      </c>
      <c r="D128" s="1" t="s">
        <v>323</v>
      </c>
      <c r="E128" s="1" t="s">
        <v>394</v>
      </c>
      <c r="F128" s="1" t="s">
        <v>609</v>
      </c>
      <c r="G128" s="1" t="s">
        <v>4</v>
      </c>
      <c r="H128" s="1" t="s">
        <v>77</v>
      </c>
      <c r="I128" s="1" t="str">
        <f t="shared" si="1"/>
        <v>d03</v>
      </c>
    </row>
    <row r="129" spans="1:9" x14ac:dyDescent="0.3">
      <c r="A129" s="1" t="s">
        <v>53</v>
      </c>
      <c r="B129" s="1" t="s">
        <v>173</v>
      </c>
      <c r="C129" s="1" t="s">
        <v>172</v>
      </c>
      <c r="D129" s="1" t="s">
        <v>323</v>
      </c>
      <c r="E129" s="1" t="s">
        <v>394</v>
      </c>
      <c r="F129" s="1" t="s">
        <v>610</v>
      </c>
      <c r="G129" s="1" t="s">
        <v>4</v>
      </c>
      <c r="H129" s="1" t="s">
        <v>77</v>
      </c>
      <c r="I129" s="1" t="str">
        <f t="shared" si="1"/>
        <v>d03</v>
      </c>
    </row>
    <row r="130" spans="1:9" x14ac:dyDescent="0.3">
      <c r="A130" s="1" t="s">
        <v>53</v>
      </c>
      <c r="B130" s="1" t="s">
        <v>173</v>
      </c>
      <c r="C130" s="1" t="s">
        <v>172</v>
      </c>
      <c r="D130" s="1" t="s">
        <v>323</v>
      </c>
      <c r="E130" s="1" t="s">
        <v>394</v>
      </c>
      <c r="F130" s="1" t="s">
        <v>611</v>
      </c>
      <c r="G130" s="1" t="s">
        <v>4</v>
      </c>
      <c r="H130" s="1" t="s">
        <v>77</v>
      </c>
      <c r="I130" s="1" t="str">
        <f t="shared" ref="I130:I193" si="2">VLOOKUP(H130,$M$2:$N$19,2,FALSE)</f>
        <v>d03</v>
      </c>
    </row>
    <row r="131" spans="1:9" x14ac:dyDescent="0.3">
      <c r="A131" s="1" t="s">
        <v>53</v>
      </c>
      <c r="B131" s="1" t="s">
        <v>173</v>
      </c>
      <c r="C131" s="1" t="s">
        <v>172</v>
      </c>
      <c r="D131" s="1" t="s">
        <v>323</v>
      </c>
      <c r="E131" s="1" t="s">
        <v>394</v>
      </c>
      <c r="F131" s="1" t="s">
        <v>612</v>
      </c>
      <c r="G131" s="1" t="s">
        <v>4</v>
      </c>
      <c r="H131" s="1" t="s">
        <v>77</v>
      </c>
      <c r="I131" s="1" t="str">
        <f t="shared" si="2"/>
        <v>d03</v>
      </c>
    </row>
    <row r="132" spans="1:9" x14ac:dyDescent="0.3">
      <c r="A132" s="1" t="s">
        <v>53</v>
      </c>
      <c r="B132" s="1" t="s">
        <v>173</v>
      </c>
      <c r="C132" s="1" t="s">
        <v>172</v>
      </c>
      <c r="D132" s="1" t="s">
        <v>323</v>
      </c>
      <c r="E132" s="1" t="s">
        <v>394</v>
      </c>
      <c r="F132" s="1" t="s">
        <v>613</v>
      </c>
      <c r="G132" s="1" t="s">
        <v>4</v>
      </c>
      <c r="H132" s="1" t="s">
        <v>77</v>
      </c>
      <c r="I132" s="1" t="str">
        <f t="shared" si="2"/>
        <v>d03</v>
      </c>
    </row>
    <row r="133" spans="1:9" x14ac:dyDescent="0.3">
      <c r="A133" s="1" t="s">
        <v>53</v>
      </c>
      <c r="B133" s="1" t="s">
        <v>173</v>
      </c>
      <c r="C133" s="1" t="s">
        <v>172</v>
      </c>
      <c r="D133" s="1" t="s">
        <v>323</v>
      </c>
      <c r="E133" s="1" t="s">
        <v>394</v>
      </c>
      <c r="F133" s="1" t="s">
        <v>614</v>
      </c>
      <c r="G133" s="1" t="s">
        <v>4</v>
      </c>
      <c r="H133" s="1" t="s">
        <v>77</v>
      </c>
      <c r="I133" s="1" t="str">
        <f t="shared" si="2"/>
        <v>d03</v>
      </c>
    </row>
    <row r="134" spans="1:9" x14ac:dyDescent="0.3">
      <c r="A134" s="1" t="s">
        <v>53</v>
      </c>
      <c r="B134" s="1" t="s">
        <v>173</v>
      </c>
      <c r="C134" s="1" t="s">
        <v>172</v>
      </c>
      <c r="D134" s="1" t="s">
        <v>323</v>
      </c>
      <c r="E134" s="1" t="s">
        <v>394</v>
      </c>
      <c r="F134" s="1" t="s">
        <v>615</v>
      </c>
      <c r="G134" s="1" t="s">
        <v>17</v>
      </c>
      <c r="H134" s="1" t="s">
        <v>86</v>
      </c>
      <c r="I134" s="1" t="str">
        <f t="shared" si="2"/>
        <v>d15</v>
      </c>
    </row>
    <row r="135" spans="1:9" x14ac:dyDescent="0.3">
      <c r="A135" s="1" t="s">
        <v>53</v>
      </c>
      <c r="B135" s="1" t="s">
        <v>173</v>
      </c>
      <c r="C135" s="1" t="s">
        <v>172</v>
      </c>
      <c r="D135" s="1" t="s">
        <v>323</v>
      </c>
      <c r="E135" s="1" t="s">
        <v>394</v>
      </c>
      <c r="F135" s="1" t="s">
        <v>541</v>
      </c>
      <c r="G135" s="1" t="s">
        <v>17</v>
      </c>
      <c r="H135" s="1" t="s">
        <v>65</v>
      </c>
      <c r="I135" s="1" t="str">
        <f t="shared" si="2"/>
        <v>d09</v>
      </c>
    </row>
    <row r="136" spans="1:9" x14ac:dyDescent="0.3">
      <c r="A136" s="1" t="s">
        <v>53</v>
      </c>
      <c r="B136" s="1" t="s">
        <v>173</v>
      </c>
      <c r="C136" s="1" t="s">
        <v>172</v>
      </c>
      <c r="D136" s="1" t="s">
        <v>323</v>
      </c>
      <c r="E136" s="1" t="s">
        <v>394</v>
      </c>
      <c r="F136" s="1" t="s">
        <v>528</v>
      </c>
      <c r="G136" s="1" t="s">
        <v>17</v>
      </c>
      <c r="H136" s="1" t="s">
        <v>67</v>
      </c>
      <c r="I136" s="1" t="str">
        <f t="shared" si="2"/>
        <v>d10</v>
      </c>
    </row>
    <row r="137" spans="1:9" x14ac:dyDescent="0.3">
      <c r="A137" s="1" t="s">
        <v>53</v>
      </c>
      <c r="B137" s="1" t="s">
        <v>173</v>
      </c>
      <c r="C137" s="1" t="s">
        <v>172</v>
      </c>
      <c r="D137" s="1" t="s">
        <v>323</v>
      </c>
      <c r="E137" s="1" t="s">
        <v>394</v>
      </c>
      <c r="F137" s="1" t="s">
        <v>616</v>
      </c>
      <c r="G137" s="1" t="s">
        <v>17</v>
      </c>
      <c r="H137" s="1" t="s">
        <v>77</v>
      </c>
      <c r="I137" s="1" t="str">
        <f t="shared" si="2"/>
        <v>d03</v>
      </c>
    </row>
    <row r="138" spans="1:9" x14ac:dyDescent="0.3">
      <c r="A138" s="1" t="s">
        <v>53</v>
      </c>
      <c r="B138" s="1" t="s">
        <v>173</v>
      </c>
      <c r="C138" s="1" t="s">
        <v>172</v>
      </c>
      <c r="D138" s="1" t="s">
        <v>323</v>
      </c>
      <c r="E138" s="1" t="s">
        <v>394</v>
      </c>
      <c r="F138" s="1" t="s">
        <v>546</v>
      </c>
      <c r="G138" s="1" t="s">
        <v>17</v>
      </c>
      <c r="H138" s="1" t="s">
        <v>19</v>
      </c>
      <c r="I138" s="1" t="str">
        <f t="shared" si="2"/>
        <v>d11</v>
      </c>
    </row>
    <row r="139" spans="1:9" x14ac:dyDescent="0.3">
      <c r="A139" s="1" t="s">
        <v>53</v>
      </c>
      <c r="B139" s="1" t="s">
        <v>173</v>
      </c>
      <c r="C139" s="1" t="s">
        <v>172</v>
      </c>
      <c r="D139" s="1" t="s">
        <v>323</v>
      </c>
      <c r="E139" s="1" t="s">
        <v>394</v>
      </c>
      <c r="F139" s="1" t="s">
        <v>617</v>
      </c>
      <c r="G139" s="1" t="s">
        <v>17</v>
      </c>
      <c r="H139" s="1" t="s">
        <v>19</v>
      </c>
      <c r="I139" s="1" t="str">
        <f t="shared" si="2"/>
        <v>d11</v>
      </c>
    </row>
    <row r="140" spans="1:9" x14ac:dyDescent="0.3">
      <c r="A140" s="1" t="s">
        <v>53</v>
      </c>
      <c r="B140" s="1" t="s">
        <v>173</v>
      </c>
      <c r="C140" s="1" t="s">
        <v>172</v>
      </c>
      <c r="D140" s="1" t="s">
        <v>323</v>
      </c>
      <c r="E140" s="1" t="s">
        <v>394</v>
      </c>
      <c r="F140" s="1" t="s">
        <v>547</v>
      </c>
      <c r="G140" s="1" t="s">
        <v>17</v>
      </c>
      <c r="H140" s="1" t="s">
        <v>18</v>
      </c>
      <c r="I140" s="1" t="str">
        <f t="shared" si="2"/>
        <v>d13</v>
      </c>
    </row>
    <row r="141" spans="1:9" x14ac:dyDescent="0.3">
      <c r="A141" s="1" t="s">
        <v>53</v>
      </c>
      <c r="B141" s="1" t="s">
        <v>173</v>
      </c>
      <c r="C141" s="1" t="s">
        <v>172</v>
      </c>
      <c r="D141" s="1" t="s">
        <v>323</v>
      </c>
      <c r="E141" s="1" t="s">
        <v>394</v>
      </c>
      <c r="F141" s="1" t="s">
        <v>548</v>
      </c>
      <c r="G141" s="1" t="s">
        <v>17</v>
      </c>
      <c r="H141" s="1" t="s">
        <v>18</v>
      </c>
      <c r="I141" s="1" t="str">
        <f t="shared" si="2"/>
        <v>d13</v>
      </c>
    </row>
    <row r="142" spans="1:9" x14ac:dyDescent="0.3">
      <c r="A142" s="1" t="s">
        <v>45</v>
      </c>
      <c r="B142" s="1" t="s">
        <v>171</v>
      </c>
      <c r="C142" s="1" t="s">
        <v>168</v>
      </c>
      <c r="D142" s="1" t="s">
        <v>315</v>
      </c>
      <c r="E142" s="1" t="s">
        <v>386</v>
      </c>
      <c r="G142" s="1" t="s">
        <v>63</v>
      </c>
      <c r="H142" s="1" t="s">
        <v>75</v>
      </c>
      <c r="I142" s="1" t="str">
        <f t="shared" si="2"/>
        <v>d01</v>
      </c>
    </row>
    <row r="143" spans="1:9" x14ac:dyDescent="0.3">
      <c r="A143" s="1" t="s">
        <v>285</v>
      </c>
      <c r="B143" s="1" t="s">
        <v>376</v>
      </c>
      <c r="C143" s="1" t="s">
        <v>376</v>
      </c>
      <c r="D143" s="1" t="s">
        <v>356</v>
      </c>
      <c r="E143" s="1" t="s">
        <v>427</v>
      </c>
      <c r="F143" s="1" t="s">
        <v>618</v>
      </c>
      <c r="G143" s="1" t="s">
        <v>17</v>
      </c>
      <c r="H143" s="1" t="s">
        <v>80</v>
      </c>
      <c r="I143" s="1" t="str">
        <f t="shared" si="2"/>
        <v>d06</v>
      </c>
    </row>
    <row r="144" spans="1:9" x14ac:dyDescent="0.3">
      <c r="A144" s="1" t="s">
        <v>285</v>
      </c>
      <c r="B144" s="1" t="s">
        <v>376</v>
      </c>
      <c r="C144" s="1" t="s">
        <v>376</v>
      </c>
      <c r="D144" s="1" t="s">
        <v>356</v>
      </c>
      <c r="E144" s="1" t="s">
        <v>427</v>
      </c>
      <c r="F144" s="1" t="s">
        <v>586</v>
      </c>
      <c r="G144" s="1" t="s">
        <v>17</v>
      </c>
      <c r="H144" s="1" t="s">
        <v>65</v>
      </c>
      <c r="I144" s="1" t="str">
        <f t="shared" si="2"/>
        <v>d09</v>
      </c>
    </row>
    <row r="145" spans="1:9" x14ac:dyDescent="0.3">
      <c r="A145" s="1" t="s">
        <v>285</v>
      </c>
      <c r="B145" s="1" t="s">
        <v>376</v>
      </c>
      <c r="C145" s="1" t="s">
        <v>376</v>
      </c>
      <c r="D145" s="1" t="s">
        <v>356</v>
      </c>
      <c r="E145" s="1" t="s">
        <v>427</v>
      </c>
      <c r="F145" s="1" t="s">
        <v>542</v>
      </c>
      <c r="G145" s="1" t="s">
        <v>17</v>
      </c>
      <c r="H145" s="1" t="s">
        <v>65</v>
      </c>
      <c r="I145" s="1" t="str">
        <f t="shared" si="2"/>
        <v>d09</v>
      </c>
    </row>
    <row r="146" spans="1:9" x14ac:dyDescent="0.3">
      <c r="A146" s="1" t="s">
        <v>285</v>
      </c>
      <c r="B146" s="1" t="s">
        <v>376</v>
      </c>
      <c r="C146" s="1" t="s">
        <v>376</v>
      </c>
      <c r="D146" s="1" t="s">
        <v>356</v>
      </c>
      <c r="E146" s="1" t="s">
        <v>427</v>
      </c>
      <c r="F146" s="1" t="s">
        <v>67</v>
      </c>
      <c r="G146" s="1" t="s">
        <v>17</v>
      </c>
      <c r="H146" s="1" t="s">
        <v>67</v>
      </c>
      <c r="I146" s="1" t="str">
        <f t="shared" si="2"/>
        <v>d10</v>
      </c>
    </row>
    <row r="147" spans="1:9" x14ac:dyDescent="0.3">
      <c r="A147" s="1" t="s">
        <v>285</v>
      </c>
      <c r="B147" s="1" t="s">
        <v>376</v>
      </c>
      <c r="C147" s="1" t="s">
        <v>376</v>
      </c>
      <c r="D147" s="1" t="s">
        <v>356</v>
      </c>
      <c r="E147" s="1" t="s">
        <v>427</v>
      </c>
      <c r="F147" s="1" t="s">
        <v>531</v>
      </c>
      <c r="G147" s="1" t="s">
        <v>17</v>
      </c>
      <c r="H147" s="1" t="s">
        <v>72</v>
      </c>
      <c r="I147" s="1" t="str">
        <f t="shared" si="2"/>
        <v>d12</v>
      </c>
    </row>
    <row r="148" spans="1:9" x14ac:dyDescent="0.3">
      <c r="A148" s="1" t="s">
        <v>286</v>
      </c>
      <c r="B148" s="1" t="s">
        <v>185</v>
      </c>
      <c r="C148" s="1" t="s">
        <v>183</v>
      </c>
      <c r="D148" s="1" t="s">
        <v>350</v>
      </c>
      <c r="E148" s="1" t="s">
        <v>421</v>
      </c>
      <c r="F148" s="1" t="s">
        <v>56</v>
      </c>
      <c r="G148" s="1" t="s">
        <v>17</v>
      </c>
      <c r="H148" s="1" t="s">
        <v>56</v>
      </c>
      <c r="I148" s="1" t="str">
        <f t="shared" si="2"/>
        <v>d05</v>
      </c>
    </row>
    <row r="149" spans="1:9" x14ac:dyDescent="0.3">
      <c r="A149" s="1" t="s">
        <v>287</v>
      </c>
      <c r="B149" s="1" t="s">
        <v>180</v>
      </c>
      <c r="C149" s="1" t="s">
        <v>180</v>
      </c>
      <c r="D149" s="1" t="s">
        <v>339</v>
      </c>
      <c r="E149" s="1" t="s">
        <v>410</v>
      </c>
      <c r="F149" s="1" t="s">
        <v>619</v>
      </c>
      <c r="G149" s="1" t="s">
        <v>4</v>
      </c>
      <c r="H149" s="1" t="s">
        <v>69</v>
      </c>
      <c r="I149" s="1" t="str">
        <f t="shared" si="2"/>
        <v>d04</v>
      </c>
    </row>
    <row r="150" spans="1:9" x14ac:dyDescent="0.3">
      <c r="A150" s="1" t="s">
        <v>287</v>
      </c>
      <c r="B150" s="1" t="s">
        <v>180</v>
      </c>
      <c r="C150" s="1" t="s">
        <v>180</v>
      </c>
      <c r="D150" s="1" t="s">
        <v>339</v>
      </c>
      <c r="E150" s="1" t="s">
        <v>410</v>
      </c>
      <c r="F150" s="1" t="s">
        <v>620</v>
      </c>
      <c r="G150" s="1" t="s">
        <v>4</v>
      </c>
      <c r="H150" s="1" t="s">
        <v>69</v>
      </c>
      <c r="I150" s="1" t="str">
        <f t="shared" si="2"/>
        <v>d04</v>
      </c>
    </row>
    <row r="151" spans="1:9" x14ac:dyDescent="0.3">
      <c r="A151" s="1" t="s">
        <v>288</v>
      </c>
      <c r="B151" s="1" t="s">
        <v>185</v>
      </c>
      <c r="C151" s="1" t="s">
        <v>183</v>
      </c>
      <c r="D151" s="1" t="s">
        <v>351</v>
      </c>
      <c r="E151" s="1" t="s">
        <v>422</v>
      </c>
      <c r="F151" s="1" t="s">
        <v>621</v>
      </c>
      <c r="G151" s="1" t="s">
        <v>17</v>
      </c>
      <c r="H151" s="1" t="s">
        <v>81</v>
      </c>
      <c r="I151" s="1" t="str">
        <f t="shared" si="2"/>
        <v>d07</v>
      </c>
    </row>
    <row r="152" spans="1:9" x14ac:dyDescent="0.3">
      <c r="A152" s="1" t="s">
        <v>288</v>
      </c>
      <c r="B152" s="1" t="s">
        <v>185</v>
      </c>
      <c r="C152" s="1" t="s">
        <v>183</v>
      </c>
      <c r="D152" s="1" t="s">
        <v>351</v>
      </c>
      <c r="E152" s="1" t="s">
        <v>422</v>
      </c>
      <c r="F152" s="1" t="s">
        <v>621</v>
      </c>
      <c r="G152" s="1" t="s">
        <v>17</v>
      </c>
      <c r="H152" s="1" t="s">
        <v>81</v>
      </c>
      <c r="I152" s="1" t="str">
        <f t="shared" si="2"/>
        <v>d07</v>
      </c>
    </row>
    <row r="153" spans="1:9" x14ac:dyDescent="0.3">
      <c r="A153" s="1" t="s">
        <v>288</v>
      </c>
      <c r="B153" s="1" t="s">
        <v>185</v>
      </c>
      <c r="C153" s="1" t="s">
        <v>183</v>
      </c>
      <c r="D153" s="1" t="s">
        <v>351</v>
      </c>
      <c r="E153" s="1" t="s">
        <v>422</v>
      </c>
      <c r="F153" s="1" t="s">
        <v>622</v>
      </c>
      <c r="G153" s="1" t="s">
        <v>17</v>
      </c>
      <c r="H153" s="1" t="s">
        <v>81</v>
      </c>
      <c r="I153" s="1" t="str">
        <f t="shared" si="2"/>
        <v>d07</v>
      </c>
    </row>
    <row r="154" spans="1:9" x14ac:dyDescent="0.3">
      <c r="A154" s="1" t="s">
        <v>288</v>
      </c>
      <c r="B154" s="1" t="s">
        <v>185</v>
      </c>
      <c r="C154" s="1" t="s">
        <v>183</v>
      </c>
      <c r="D154" s="1" t="s">
        <v>351</v>
      </c>
      <c r="E154" s="1" t="s">
        <v>422</v>
      </c>
      <c r="F154" s="1" t="s">
        <v>623</v>
      </c>
      <c r="G154" s="1" t="s">
        <v>17</v>
      </c>
      <c r="H154" s="1" t="s">
        <v>81</v>
      </c>
      <c r="I154" s="1" t="str">
        <f t="shared" si="2"/>
        <v>d07</v>
      </c>
    </row>
    <row r="155" spans="1:9" x14ac:dyDescent="0.3">
      <c r="A155" s="1" t="s">
        <v>288</v>
      </c>
      <c r="B155" s="1" t="s">
        <v>185</v>
      </c>
      <c r="C155" s="1" t="s">
        <v>183</v>
      </c>
      <c r="D155" s="1" t="s">
        <v>351</v>
      </c>
      <c r="E155" s="1" t="s">
        <v>422</v>
      </c>
      <c r="F155" s="1" t="s">
        <v>589</v>
      </c>
      <c r="G155" s="1" t="s">
        <v>17</v>
      </c>
      <c r="H155" s="1" t="s">
        <v>81</v>
      </c>
      <c r="I155" s="1" t="str">
        <f t="shared" si="2"/>
        <v>d07</v>
      </c>
    </row>
    <row r="156" spans="1:9" x14ac:dyDescent="0.3">
      <c r="A156" s="1" t="s">
        <v>288</v>
      </c>
      <c r="B156" s="1" t="s">
        <v>185</v>
      </c>
      <c r="C156" s="1" t="s">
        <v>183</v>
      </c>
      <c r="D156" s="1" t="s">
        <v>351</v>
      </c>
      <c r="E156" s="1" t="s">
        <v>422</v>
      </c>
      <c r="F156" s="1" t="s">
        <v>624</v>
      </c>
      <c r="G156" s="1" t="s">
        <v>17</v>
      </c>
      <c r="H156" s="1" t="s">
        <v>81</v>
      </c>
      <c r="I156" s="1" t="str">
        <f t="shared" si="2"/>
        <v>d07</v>
      </c>
    </row>
    <row r="157" spans="1:9" x14ac:dyDescent="0.3">
      <c r="A157" s="1" t="s">
        <v>288</v>
      </c>
      <c r="B157" s="1" t="s">
        <v>185</v>
      </c>
      <c r="C157" s="1" t="s">
        <v>183</v>
      </c>
      <c r="D157" s="1" t="s">
        <v>351</v>
      </c>
      <c r="E157" s="1" t="s">
        <v>422</v>
      </c>
      <c r="F157" s="1" t="s">
        <v>625</v>
      </c>
      <c r="G157" s="1" t="s">
        <v>17</v>
      </c>
      <c r="H157" s="1" t="s">
        <v>81</v>
      </c>
      <c r="I157" s="1" t="str">
        <f t="shared" si="2"/>
        <v>d07</v>
      </c>
    </row>
    <row r="158" spans="1:9" x14ac:dyDescent="0.3">
      <c r="A158" s="1" t="s">
        <v>288</v>
      </c>
      <c r="B158" s="1" t="s">
        <v>185</v>
      </c>
      <c r="C158" s="1" t="s">
        <v>183</v>
      </c>
      <c r="D158" s="1" t="s">
        <v>351</v>
      </c>
      <c r="E158" s="1" t="s">
        <v>422</v>
      </c>
      <c r="F158" s="1" t="s">
        <v>626</v>
      </c>
      <c r="G158" s="1" t="s">
        <v>17</v>
      </c>
      <c r="H158" s="1" t="s">
        <v>81</v>
      </c>
      <c r="I158" s="1" t="str">
        <f t="shared" si="2"/>
        <v>d07</v>
      </c>
    </row>
    <row r="159" spans="1:9" x14ac:dyDescent="0.3">
      <c r="A159" s="1" t="s">
        <v>288</v>
      </c>
      <c r="B159" s="1" t="s">
        <v>185</v>
      </c>
      <c r="C159" s="1" t="s">
        <v>183</v>
      </c>
      <c r="D159" s="1" t="s">
        <v>351</v>
      </c>
      <c r="E159" s="1" t="s">
        <v>422</v>
      </c>
      <c r="F159" s="1" t="s">
        <v>536</v>
      </c>
      <c r="G159" s="1" t="s">
        <v>17</v>
      </c>
      <c r="H159" s="1" t="s">
        <v>81</v>
      </c>
      <c r="I159" s="1" t="str">
        <f t="shared" si="2"/>
        <v>d07</v>
      </c>
    </row>
    <row r="160" spans="1:9" x14ac:dyDescent="0.3">
      <c r="A160" s="1" t="s">
        <v>288</v>
      </c>
      <c r="B160" s="1" t="s">
        <v>185</v>
      </c>
      <c r="C160" s="1" t="s">
        <v>183</v>
      </c>
      <c r="D160" s="1" t="s">
        <v>351</v>
      </c>
      <c r="E160" s="1" t="s">
        <v>422</v>
      </c>
      <c r="F160" s="1" t="s">
        <v>627</v>
      </c>
      <c r="G160" s="1" t="s">
        <v>17</v>
      </c>
      <c r="H160" s="1" t="s">
        <v>81</v>
      </c>
      <c r="I160" s="1" t="str">
        <f t="shared" si="2"/>
        <v>d07</v>
      </c>
    </row>
    <row r="161" spans="1:9" x14ac:dyDescent="0.3">
      <c r="A161" s="1" t="s">
        <v>288</v>
      </c>
      <c r="B161" s="1" t="s">
        <v>185</v>
      </c>
      <c r="C161" s="1" t="s">
        <v>183</v>
      </c>
      <c r="D161" s="1" t="s">
        <v>351</v>
      </c>
      <c r="E161" s="1" t="s">
        <v>422</v>
      </c>
      <c r="F161" s="1" t="s">
        <v>628</v>
      </c>
      <c r="G161" s="1" t="s">
        <v>17</v>
      </c>
      <c r="H161" s="1" t="s">
        <v>81</v>
      </c>
      <c r="I161" s="1" t="str">
        <f t="shared" si="2"/>
        <v>d07</v>
      </c>
    </row>
    <row r="162" spans="1:9" x14ac:dyDescent="0.3">
      <c r="A162" s="1" t="s">
        <v>288</v>
      </c>
      <c r="B162" s="1" t="s">
        <v>185</v>
      </c>
      <c r="C162" s="1" t="s">
        <v>183</v>
      </c>
      <c r="D162" s="1" t="s">
        <v>351</v>
      </c>
      <c r="E162" s="1" t="s">
        <v>422</v>
      </c>
      <c r="F162" s="1" t="s">
        <v>629</v>
      </c>
      <c r="G162" s="1" t="s">
        <v>17</v>
      </c>
      <c r="H162" s="1" t="s">
        <v>81</v>
      </c>
      <c r="I162" s="1" t="str">
        <f t="shared" si="2"/>
        <v>d07</v>
      </c>
    </row>
    <row r="163" spans="1:9" x14ac:dyDescent="0.3">
      <c r="A163" s="1" t="s">
        <v>288</v>
      </c>
      <c r="B163" s="1" t="s">
        <v>185</v>
      </c>
      <c r="C163" s="1" t="s">
        <v>183</v>
      </c>
      <c r="D163" s="1" t="s">
        <v>351</v>
      </c>
      <c r="E163" s="1" t="s">
        <v>422</v>
      </c>
      <c r="F163" s="1" t="s">
        <v>630</v>
      </c>
      <c r="G163" s="1" t="s">
        <v>17</v>
      </c>
      <c r="H163" s="1" t="s">
        <v>81</v>
      </c>
      <c r="I163" s="1" t="str">
        <f t="shared" si="2"/>
        <v>d07</v>
      </c>
    </row>
    <row r="164" spans="1:9" x14ac:dyDescent="0.3">
      <c r="A164" s="1" t="s">
        <v>288</v>
      </c>
      <c r="B164" s="1" t="s">
        <v>185</v>
      </c>
      <c r="C164" s="1" t="s">
        <v>183</v>
      </c>
      <c r="D164" s="1" t="s">
        <v>351</v>
      </c>
      <c r="E164" s="1" t="s">
        <v>422</v>
      </c>
      <c r="F164" s="1" t="s">
        <v>539</v>
      </c>
      <c r="G164" s="1" t="s">
        <v>17</v>
      </c>
      <c r="H164" s="1" t="s">
        <v>81</v>
      </c>
      <c r="I164" s="1" t="str">
        <f t="shared" si="2"/>
        <v>d07</v>
      </c>
    </row>
    <row r="165" spans="1:9" x14ac:dyDescent="0.3">
      <c r="A165" s="1" t="s">
        <v>288</v>
      </c>
      <c r="B165" s="1" t="s">
        <v>185</v>
      </c>
      <c r="C165" s="1" t="s">
        <v>183</v>
      </c>
      <c r="D165" s="1" t="s">
        <v>351</v>
      </c>
      <c r="E165" s="1" t="s">
        <v>422</v>
      </c>
      <c r="F165" s="1" t="s">
        <v>631</v>
      </c>
      <c r="G165" s="1" t="s">
        <v>17</v>
      </c>
      <c r="H165" s="1" t="s">
        <v>81</v>
      </c>
      <c r="I165" s="1" t="str">
        <f t="shared" si="2"/>
        <v>d07</v>
      </c>
    </row>
    <row r="166" spans="1:9" x14ac:dyDescent="0.3">
      <c r="A166" s="1" t="s">
        <v>288</v>
      </c>
      <c r="B166" s="1" t="s">
        <v>185</v>
      </c>
      <c r="C166" s="1" t="s">
        <v>183</v>
      </c>
      <c r="D166" s="1" t="s">
        <v>351</v>
      </c>
      <c r="E166" s="1" t="s">
        <v>422</v>
      </c>
      <c r="F166" s="1" t="s">
        <v>541</v>
      </c>
      <c r="G166" s="1" t="s">
        <v>17</v>
      </c>
      <c r="H166" s="1" t="s">
        <v>65</v>
      </c>
      <c r="I166" s="1" t="str">
        <f t="shared" si="2"/>
        <v>d09</v>
      </c>
    </row>
    <row r="167" spans="1:9" x14ac:dyDescent="0.3">
      <c r="A167" s="1" t="s">
        <v>288</v>
      </c>
      <c r="B167" s="1" t="s">
        <v>185</v>
      </c>
      <c r="C167" s="1" t="s">
        <v>183</v>
      </c>
      <c r="D167" s="1" t="s">
        <v>351</v>
      </c>
      <c r="E167" s="1" t="s">
        <v>422</v>
      </c>
      <c r="F167" s="1" t="s">
        <v>595</v>
      </c>
      <c r="G167" s="1" t="s">
        <v>17</v>
      </c>
      <c r="H167" s="1" t="s">
        <v>65</v>
      </c>
      <c r="I167" s="1" t="str">
        <f t="shared" si="2"/>
        <v>d09</v>
      </c>
    </row>
    <row r="168" spans="1:9" x14ac:dyDescent="0.3">
      <c r="A168" s="1" t="s">
        <v>288</v>
      </c>
      <c r="B168" s="1" t="s">
        <v>185</v>
      </c>
      <c r="C168" s="1" t="s">
        <v>183</v>
      </c>
      <c r="D168" s="1" t="s">
        <v>351</v>
      </c>
      <c r="E168" s="1" t="s">
        <v>422</v>
      </c>
      <c r="F168" s="1" t="s">
        <v>596</v>
      </c>
      <c r="G168" s="1" t="s">
        <v>17</v>
      </c>
      <c r="H168" s="1" t="s">
        <v>65</v>
      </c>
      <c r="I168" s="1" t="str">
        <f t="shared" si="2"/>
        <v>d09</v>
      </c>
    </row>
    <row r="169" spans="1:9" x14ac:dyDescent="0.3">
      <c r="A169" s="1" t="s">
        <v>288</v>
      </c>
      <c r="B169" s="1" t="s">
        <v>185</v>
      </c>
      <c r="C169" s="1" t="s">
        <v>183</v>
      </c>
      <c r="D169" s="1" t="s">
        <v>351</v>
      </c>
      <c r="E169" s="1" t="s">
        <v>422</v>
      </c>
      <c r="F169" s="1" t="s">
        <v>632</v>
      </c>
      <c r="G169" s="1" t="s">
        <v>17</v>
      </c>
      <c r="H169" s="1" t="s">
        <v>65</v>
      </c>
      <c r="I169" s="1" t="str">
        <f t="shared" si="2"/>
        <v>d09</v>
      </c>
    </row>
    <row r="170" spans="1:9" x14ac:dyDescent="0.3">
      <c r="A170" s="1" t="s">
        <v>288</v>
      </c>
      <c r="B170" s="1" t="s">
        <v>185</v>
      </c>
      <c r="C170" s="1" t="s">
        <v>183</v>
      </c>
      <c r="D170" s="1" t="s">
        <v>351</v>
      </c>
      <c r="E170" s="1" t="s">
        <v>422</v>
      </c>
      <c r="F170" s="1" t="s">
        <v>633</v>
      </c>
      <c r="G170" s="1" t="s">
        <v>17</v>
      </c>
      <c r="H170" s="1" t="s">
        <v>65</v>
      </c>
      <c r="I170" s="1" t="str">
        <f t="shared" si="2"/>
        <v>d09</v>
      </c>
    </row>
    <row r="171" spans="1:9" x14ac:dyDescent="0.3">
      <c r="A171" s="1" t="s">
        <v>288</v>
      </c>
      <c r="B171" s="1" t="s">
        <v>185</v>
      </c>
      <c r="C171" s="1" t="s">
        <v>183</v>
      </c>
      <c r="D171" s="1" t="s">
        <v>351</v>
      </c>
      <c r="E171" s="1" t="s">
        <v>422</v>
      </c>
      <c r="F171" s="1" t="s">
        <v>67</v>
      </c>
      <c r="G171" s="1" t="s">
        <v>17</v>
      </c>
      <c r="H171" s="1" t="s">
        <v>67</v>
      </c>
      <c r="I171" s="1" t="str">
        <f t="shared" si="2"/>
        <v>d10</v>
      </c>
    </row>
    <row r="172" spans="1:9" x14ac:dyDescent="0.3">
      <c r="A172" s="1" t="s">
        <v>288</v>
      </c>
      <c r="B172" s="1" t="s">
        <v>185</v>
      </c>
      <c r="C172" s="1" t="s">
        <v>183</v>
      </c>
      <c r="D172" s="1" t="s">
        <v>351</v>
      </c>
      <c r="E172" s="1" t="s">
        <v>422</v>
      </c>
      <c r="F172" s="1" t="s">
        <v>591</v>
      </c>
      <c r="G172" s="1" t="s">
        <v>17</v>
      </c>
      <c r="H172" s="1" t="s">
        <v>72</v>
      </c>
      <c r="I172" s="1" t="str">
        <f t="shared" si="2"/>
        <v>d12</v>
      </c>
    </row>
    <row r="173" spans="1:9" x14ac:dyDescent="0.3">
      <c r="A173" s="1" t="s">
        <v>288</v>
      </c>
      <c r="B173" s="1" t="s">
        <v>185</v>
      </c>
      <c r="C173" s="1" t="s">
        <v>183</v>
      </c>
      <c r="D173" s="1" t="s">
        <v>351</v>
      </c>
      <c r="E173" s="1" t="s">
        <v>422</v>
      </c>
      <c r="F173" s="1" t="s">
        <v>531</v>
      </c>
      <c r="G173" s="1" t="s">
        <v>17</v>
      </c>
      <c r="H173" s="1" t="s">
        <v>72</v>
      </c>
      <c r="I173" s="1" t="str">
        <f t="shared" si="2"/>
        <v>d12</v>
      </c>
    </row>
    <row r="174" spans="1:9" x14ac:dyDescent="0.3">
      <c r="A174" s="1" t="s">
        <v>288</v>
      </c>
      <c r="B174" s="1" t="s">
        <v>185</v>
      </c>
      <c r="C174" s="1" t="s">
        <v>183</v>
      </c>
      <c r="D174" s="1" t="s">
        <v>351</v>
      </c>
      <c r="E174" s="1" t="s">
        <v>422</v>
      </c>
      <c r="F174" s="1" t="s">
        <v>537</v>
      </c>
      <c r="G174" s="1" t="s">
        <v>17</v>
      </c>
      <c r="H174" s="1" t="s">
        <v>72</v>
      </c>
      <c r="I174" s="1" t="str">
        <f t="shared" si="2"/>
        <v>d12</v>
      </c>
    </row>
    <row r="175" spans="1:9" x14ac:dyDescent="0.3">
      <c r="A175" s="1" t="s">
        <v>52</v>
      </c>
      <c r="B175" s="1" t="s">
        <v>372</v>
      </c>
      <c r="C175" s="1" t="s">
        <v>172</v>
      </c>
      <c r="D175" s="1" t="s">
        <v>322</v>
      </c>
      <c r="E175" s="1" t="s">
        <v>393</v>
      </c>
      <c r="F175" s="1" t="s">
        <v>607</v>
      </c>
      <c r="G175" s="1" t="s">
        <v>4</v>
      </c>
      <c r="H175" s="1" t="s">
        <v>77</v>
      </c>
      <c r="I175" s="1" t="str">
        <f t="shared" si="2"/>
        <v>d03</v>
      </c>
    </row>
    <row r="176" spans="1:9" x14ac:dyDescent="0.3">
      <c r="A176" s="1" t="s">
        <v>52</v>
      </c>
      <c r="B176" s="1" t="s">
        <v>372</v>
      </c>
      <c r="C176" s="1" t="s">
        <v>172</v>
      </c>
      <c r="D176" s="1" t="s">
        <v>322</v>
      </c>
      <c r="E176" s="1" t="s">
        <v>393</v>
      </c>
      <c r="F176" s="1" t="s">
        <v>634</v>
      </c>
      <c r="G176" s="1" t="s">
        <v>4</v>
      </c>
      <c r="H176" s="1" t="s">
        <v>77</v>
      </c>
      <c r="I176" s="1" t="str">
        <f t="shared" si="2"/>
        <v>d03</v>
      </c>
    </row>
    <row r="177" spans="1:9" x14ac:dyDescent="0.3">
      <c r="A177" s="1" t="s">
        <v>52</v>
      </c>
      <c r="B177" s="1" t="s">
        <v>372</v>
      </c>
      <c r="C177" s="1" t="s">
        <v>172</v>
      </c>
      <c r="D177" s="1" t="s">
        <v>322</v>
      </c>
      <c r="E177" s="1" t="s">
        <v>393</v>
      </c>
      <c r="F177" s="1" t="s">
        <v>635</v>
      </c>
      <c r="G177" s="1" t="s">
        <v>4</v>
      </c>
      <c r="H177" s="1" t="s">
        <v>77</v>
      </c>
      <c r="I177" s="1" t="str">
        <f t="shared" si="2"/>
        <v>d03</v>
      </c>
    </row>
    <row r="178" spans="1:9" x14ac:dyDescent="0.3">
      <c r="A178" s="1" t="s">
        <v>52</v>
      </c>
      <c r="B178" s="1" t="s">
        <v>372</v>
      </c>
      <c r="C178" s="1" t="s">
        <v>172</v>
      </c>
      <c r="D178" s="1" t="s">
        <v>322</v>
      </c>
      <c r="E178" s="1" t="s">
        <v>393</v>
      </c>
      <c r="F178" s="1" t="s">
        <v>636</v>
      </c>
      <c r="G178" s="1" t="s">
        <v>4</v>
      </c>
      <c r="H178" s="1" t="s">
        <v>77</v>
      </c>
      <c r="I178" s="1" t="str">
        <f t="shared" si="2"/>
        <v>d03</v>
      </c>
    </row>
    <row r="179" spans="1:9" x14ac:dyDescent="0.3">
      <c r="A179" s="1" t="s">
        <v>52</v>
      </c>
      <c r="B179" s="1" t="s">
        <v>372</v>
      </c>
      <c r="C179" s="1" t="s">
        <v>172</v>
      </c>
      <c r="D179" s="1" t="s">
        <v>322</v>
      </c>
      <c r="E179" s="1" t="s">
        <v>393</v>
      </c>
      <c r="F179" s="1" t="s">
        <v>637</v>
      </c>
      <c r="G179" s="1" t="s">
        <v>4</v>
      </c>
      <c r="H179" s="1" t="s">
        <v>77</v>
      </c>
      <c r="I179" s="1" t="str">
        <f t="shared" si="2"/>
        <v>d03</v>
      </c>
    </row>
    <row r="180" spans="1:9" x14ac:dyDescent="0.3">
      <c r="A180" s="1" t="s">
        <v>52</v>
      </c>
      <c r="B180" s="1" t="s">
        <v>372</v>
      </c>
      <c r="C180" s="1" t="s">
        <v>172</v>
      </c>
      <c r="D180" s="1" t="s">
        <v>322</v>
      </c>
      <c r="E180" s="1" t="s">
        <v>393</v>
      </c>
      <c r="F180" s="1" t="s">
        <v>638</v>
      </c>
      <c r="G180" s="1" t="s">
        <v>4</v>
      </c>
      <c r="H180" s="1" t="s">
        <v>77</v>
      </c>
      <c r="I180" s="1" t="str">
        <f t="shared" si="2"/>
        <v>d03</v>
      </c>
    </row>
    <row r="181" spans="1:9" x14ac:dyDescent="0.3">
      <c r="A181" s="1" t="s">
        <v>52</v>
      </c>
      <c r="B181" s="1" t="s">
        <v>372</v>
      </c>
      <c r="C181" s="1" t="s">
        <v>172</v>
      </c>
      <c r="D181" s="1" t="s">
        <v>322</v>
      </c>
      <c r="E181" s="1" t="s">
        <v>393</v>
      </c>
      <c r="F181" s="1" t="s">
        <v>639</v>
      </c>
      <c r="G181" s="1" t="s">
        <v>4</v>
      </c>
      <c r="H181" s="1" t="s">
        <v>77</v>
      </c>
      <c r="I181" s="1" t="str">
        <f t="shared" si="2"/>
        <v>d03</v>
      </c>
    </row>
    <row r="182" spans="1:9" x14ac:dyDescent="0.3">
      <c r="A182" s="1" t="s">
        <v>52</v>
      </c>
      <c r="B182" s="1" t="s">
        <v>372</v>
      </c>
      <c r="C182" s="1" t="s">
        <v>172</v>
      </c>
      <c r="D182" s="1" t="s">
        <v>322</v>
      </c>
      <c r="E182" s="1" t="s">
        <v>393</v>
      </c>
      <c r="F182" s="1" t="s">
        <v>640</v>
      </c>
      <c r="G182" s="1" t="s">
        <v>4</v>
      </c>
      <c r="H182" s="1" t="s">
        <v>77</v>
      </c>
      <c r="I182" s="1" t="str">
        <f t="shared" si="2"/>
        <v>d03</v>
      </c>
    </row>
    <row r="183" spans="1:9" x14ac:dyDescent="0.3">
      <c r="A183" s="1" t="s">
        <v>52</v>
      </c>
      <c r="B183" s="1" t="s">
        <v>372</v>
      </c>
      <c r="C183" s="1" t="s">
        <v>172</v>
      </c>
      <c r="D183" s="1" t="s">
        <v>322</v>
      </c>
      <c r="E183" s="1" t="s">
        <v>393</v>
      </c>
      <c r="F183" s="1" t="s">
        <v>641</v>
      </c>
      <c r="G183" s="1" t="s">
        <v>4</v>
      </c>
      <c r="H183" s="1" t="s">
        <v>77</v>
      </c>
      <c r="I183" s="1" t="str">
        <f t="shared" si="2"/>
        <v>d03</v>
      </c>
    </row>
    <row r="184" spans="1:9" x14ac:dyDescent="0.3">
      <c r="A184" s="1" t="s">
        <v>52</v>
      </c>
      <c r="B184" s="1" t="s">
        <v>372</v>
      </c>
      <c r="C184" s="1" t="s">
        <v>172</v>
      </c>
      <c r="D184" s="1" t="s">
        <v>322</v>
      </c>
      <c r="E184" s="1" t="s">
        <v>393</v>
      </c>
      <c r="F184" s="1" t="s">
        <v>642</v>
      </c>
      <c r="G184" s="1" t="s">
        <v>4</v>
      </c>
      <c r="H184" s="1" t="s">
        <v>77</v>
      </c>
      <c r="I184" s="1" t="str">
        <f t="shared" si="2"/>
        <v>d03</v>
      </c>
    </row>
    <row r="185" spans="1:9" x14ac:dyDescent="0.3">
      <c r="A185" s="1" t="s">
        <v>52</v>
      </c>
      <c r="B185" s="1" t="s">
        <v>372</v>
      </c>
      <c r="C185" s="1" t="s">
        <v>172</v>
      </c>
      <c r="D185" s="1" t="s">
        <v>322</v>
      </c>
      <c r="E185" s="1" t="s">
        <v>393</v>
      </c>
      <c r="F185" s="1" t="s">
        <v>643</v>
      </c>
      <c r="G185" s="1" t="s">
        <v>4</v>
      </c>
      <c r="H185" s="1" t="s">
        <v>77</v>
      </c>
      <c r="I185" s="1" t="str">
        <f t="shared" si="2"/>
        <v>d03</v>
      </c>
    </row>
    <row r="186" spans="1:9" x14ac:dyDescent="0.3">
      <c r="A186" s="1" t="s">
        <v>52</v>
      </c>
      <c r="B186" s="1" t="s">
        <v>372</v>
      </c>
      <c r="C186" s="1" t="s">
        <v>172</v>
      </c>
      <c r="D186" s="1" t="s">
        <v>322</v>
      </c>
      <c r="E186" s="1" t="s">
        <v>393</v>
      </c>
      <c r="F186" s="1" t="s">
        <v>644</v>
      </c>
      <c r="G186" s="1" t="s">
        <v>4</v>
      </c>
      <c r="H186" s="1" t="s">
        <v>77</v>
      </c>
      <c r="I186" s="1" t="str">
        <f t="shared" si="2"/>
        <v>d03</v>
      </c>
    </row>
    <row r="187" spans="1:9" x14ac:dyDescent="0.3">
      <c r="A187" s="1" t="s">
        <v>52</v>
      </c>
      <c r="B187" s="1" t="s">
        <v>372</v>
      </c>
      <c r="C187" s="1" t="s">
        <v>172</v>
      </c>
      <c r="D187" s="1" t="s">
        <v>322</v>
      </c>
      <c r="E187" s="1" t="s">
        <v>393</v>
      </c>
      <c r="F187" s="1" t="s">
        <v>645</v>
      </c>
      <c r="G187" s="1" t="s">
        <v>4</v>
      </c>
      <c r="H187" s="1" t="s">
        <v>77</v>
      </c>
      <c r="I187" s="1" t="str">
        <f t="shared" si="2"/>
        <v>d03</v>
      </c>
    </row>
    <row r="188" spans="1:9" x14ac:dyDescent="0.3">
      <c r="A188" s="1" t="s">
        <v>52</v>
      </c>
      <c r="B188" s="1" t="s">
        <v>372</v>
      </c>
      <c r="C188" s="1" t="s">
        <v>172</v>
      </c>
      <c r="D188" s="1" t="s">
        <v>322</v>
      </c>
      <c r="E188" s="1" t="s">
        <v>393</v>
      </c>
      <c r="F188" s="1" t="s">
        <v>610</v>
      </c>
      <c r="G188" s="1" t="s">
        <v>4</v>
      </c>
      <c r="H188" s="1" t="s">
        <v>77</v>
      </c>
      <c r="I188" s="1" t="str">
        <f t="shared" si="2"/>
        <v>d03</v>
      </c>
    </row>
    <row r="189" spans="1:9" x14ac:dyDescent="0.3">
      <c r="A189" s="1" t="s">
        <v>52</v>
      </c>
      <c r="B189" s="1" t="s">
        <v>372</v>
      </c>
      <c r="C189" s="1" t="s">
        <v>172</v>
      </c>
      <c r="D189" s="1" t="s">
        <v>322</v>
      </c>
      <c r="E189" s="1" t="s">
        <v>393</v>
      </c>
      <c r="F189" s="1" t="s">
        <v>646</v>
      </c>
      <c r="G189" s="1" t="s">
        <v>4</v>
      </c>
      <c r="H189" s="1" t="s">
        <v>77</v>
      </c>
      <c r="I189" s="1" t="str">
        <f t="shared" si="2"/>
        <v>d03</v>
      </c>
    </row>
    <row r="190" spans="1:9" x14ac:dyDescent="0.3">
      <c r="A190" s="1" t="s">
        <v>52</v>
      </c>
      <c r="B190" s="1" t="s">
        <v>372</v>
      </c>
      <c r="C190" s="1" t="s">
        <v>172</v>
      </c>
      <c r="D190" s="1" t="s">
        <v>322</v>
      </c>
      <c r="E190" s="1" t="s">
        <v>393</v>
      </c>
      <c r="F190" s="1" t="s">
        <v>611</v>
      </c>
      <c r="G190" s="1" t="s">
        <v>4</v>
      </c>
      <c r="H190" s="1" t="s">
        <v>77</v>
      </c>
      <c r="I190" s="1" t="str">
        <f t="shared" si="2"/>
        <v>d03</v>
      </c>
    </row>
    <row r="191" spans="1:9" x14ac:dyDescent="0.3">
      <c r="A191" s="1" t="s">
        <v>52</v>
      </c>
      <c r="B191" s="1" t="s">
        <v>372</v>
      </c>
      <c r="C191" s="1" t="s">
        <v>172</v>
      </c>
      <c r="D191" s="1" t="s">
        <v>322</v>
      </c>
      <c r="E191" s="1" t="s">
        <v>393</v>
      </c>
      <c r="F191" s="1" t="s">
        <v>647</v>
      </c>
      <c r="G191" s="1" t="s">
        <v>4</v>
      </c>
      <c r="H191" s="1" t="s">
        <v>77</v>
      </c>
      <c r="I191" s="1" t="str">
        <f t="shared" si="2"/>
        <v>d03</v>
      </c>
    </row>
    <row r="192" spans="1:9" x14ac:dyDescent="0.3">
      <c r="A192" s="1" t="s">
        <v>52</v>
      </c>
      <c r="B192" s="1" t="s">
        <v>372</v>
      </c>
      <c r="C192" s="1" t="s">
        <v>172</v>
      </c>
      <c r="D192" s="1" t="s">
        <v>322</v>
      </c>
      <c r="E192" s="1" t="s">
        <v>393</v>
      </c>
      <c r="F192" s="1" t="s">
        <v>648</v>
      </c>
      <c r="G192" s="1" t="s">
        <v>4</v>
      </c>
      <c r="H192" s="1" t="s">
        <v>77</v>
      </c>
      <c r="I192" s="1" t="str">
        <f t="shared" si="2"/>
        <v>d03</v>
      </c>
    </row>
    <row r="193" spans="1:9" x14ac:dyDescent="0.3">
      <c r="A193" s="1" t="s">
        <v>52</v>
      </c>
      <c r="B193" s="1" t="s">
        <v>372</v>
      </c>
      <c r="C193" s="1" t="s">
        <v>172</v>
      </c>
      <c r="D193" s="1" t="s">
        <v>322</v>
      </c>
      <c r="E193" s="1" t="s">
        <v>393</v>
      </c>
      <c r="F193" s="1" t="s">
        <v>649</v>
      </c>
      <c r="G193" s="1" t="s">
        <v>4</v>
      </c>
      <c r="H193" s="1" t="s">
        <v>77</v>
      </c>
      <c r="I193" s="1" t="str">
        <f t="shared" si="2"/>
        <v>d03</v>
      </c>
    </row>
    <row r="194" spans="1:9" x14ac:dyDescent="0.3">
      <c r="A194" s="1" t="s">
        <v>52</v>
      </c>
      <c r="B194" s="1" t="s">
        <v>372</v>
      </c>
      <c r="C194" s="1" t="s">
        <v>172</v>
      </c>
      <c r="D194" s="1" t="s">
        <v>322</v>
      </c>
      <c r="E194" s="1" t="s">
        <v>393</v>
      </c>
      <c r="F194" s="1" t="s">
        <v>650</v>
      </c>
      <c r="G194" s="1" t="s">
        <v>4</v>
      </c>
      <c r="H194" s="1" t="s">
        <v>77</v>
      </c>
      <c r="I194" s="1" t="str">
        <f t="shared" ref="I194:I257" si="3">VLOOKUP(H194,$M$2:$N$19,2,FALSE)</f>
        <v>d03</v>
      </c>
    </row>
    <row r="195" spans="1:9" x14ac:dyDescent="0.3">
      <c r="A195" s="1" t="s">
        <v>52</v>
      </c>
      <c r="B195" s="1" t="s">
        <v>372</v>
      </c>
      <c r="C195" s="1" t="s">
        <v>172</v>
      </c>
      <c r="D195" s="1" t="s">
        <v>322</v>
      </c>
      <c r="E195" s="1" t="s">
        <v>393</v>
      </c>
      <c r="F195" s="1" t="s">
        <v>651</v>
      </c>
      <c r="G195" s="1" t="s">
        <v>4</v>
      </c>
      <c r="H195" s="1" t="s">
        <v>77</v>
      </c>
      <c r="I195" s="1" t="str">
        <f t="shared" si="3"/>
        <v>d03</v>
      </c>
    </row>
    <row r="196" spans="1:9" x14ac:dyDescent="0.3">
      <c r="A196" s="1" t="s">
        <v>52</v>
      </c>
      <c r="B196" s="1" t="s">
        <v>372</v>
      </c>
      <c r="C196" s="1" t="s">
        <v>172</v>
      </c>
      <c r="D196" s="1" t="s">
        <v>322</v>
      </c>
      <c r="E196" s="1" t="s">
        <v>393</v>
      </c>
      <c r="F196" s="1" t="s">
        <v>600</v>
      </c>
      <c r="G196" s="1" t="s">
        <v>4</v>
      </c>
      <c r="H196" s="1" t="s">
        <v>77</v>
      </c>
      <c r="I196" s="1" t="str">
        <f t="shared" si="3"/>
        <v>d03</v>
      </c>
    </row>
    <row r="197" spans="1:9" x14ac:dyDescent="0.3">
      <c r="A197" s="1" t="s">
        <v>52</v>
      </c>
      <c r="B197" s="1" t="s">
        <v>372</v>
      </c>
      <c r="C197" s="1" t="s">
        <v>172</v>
      </c>
      <c r="D197" s="1" t="s">
        <v>322</v>
      </c>
      <c r="E197" s="1" t="s">
        <v>393</v>
      </c>
      <c r="F197" s="1" t="s">
        <v>652</v>
      </c>
      <c r="G197" s="1" t="s">
        <v>4</v>
      </c>
      <c r="H197" s="1" t="s">
        <v>77</v>
      </c>
      <c r="I197" s="1" t="str">
        <f t="shared" si="3"/>
        <v>d03</v>
      </c>
    </row>
    <row r="198" spans="1:9" x14ac:dyDescent="0.3">
      <c r="A198" s="1" t="s">
        <v>52</v>
      </c>
      <c r="B198" s="1" t="s">
        <v>372</v>
      </c>
      <c r="C198" s="1" t="s">
        <v>172</v>
      </c>
      <c r="D198" s="1" t="s">
        <v>322</v>
      </c>
      <c r="E198" s="1" t="s">
        <v>393</v>
      </c>
      <c r="F198" s="1" t="s">
        <v>653</v>
      </c>
      <c r="G198" s="1" t="s">
        <v>4</v>
      </c>
      <c r="H198" s="1" t="s">
        <v>77</v>
      </c>
      <c r="I198" s="1" t="str">
        <f t="shared" si="3"/>
        <v>d03</v>
      </c>
    </row>
    <row r="199" spans="1:9" x14ac:dyDescent="0.3">
      <c r="A199" s="1" t="s">
        <v>52</v>
      </c>
      <c r="B199" s="1" t="s">
        <v>372</v>
      </c>
      <c r="C199" s="1" t="s">
        <v>172</v>
      </c>
      <c r="D199" s="1" t="s">
        <v>322</v>
      </c>
      <c r="E199" s="1" t="s">
        <v>393</v>
      </c>
      <c r="F199" s="1" t="s">
        <v>654</v>
      </c>
      <c r="G199" s="1" t="s">
        <v>4</v>
      </c>
      <c r="H199" s="1" t="s">
        <v>77</v>
      </c>
      <c r="I199" s="1" t="str">
        <f t="shared" si="3"/>
        <v>d03</v>
      </c>
    </row>
    <row r="200" spans="1:9" x14ac:dyDescent="0.3">
      <c r="A200" s="1" t="s">
        <v>52</v>
      </c>
      <c r="B200" s="1" t="s">
        <v>372</v>
      </c>
      <c r="C200" s="1" t="s">
        <v>172</v>
      </c>
      <c r="D200" s="1" t="s">
        <v>322</v>
      </c>
      <c r="E200" s="1" t="s">
        <v>393</v>
      </c>
      <c r="F200" s="1" t="s">
        <v>655</v>
      </c>
      <c r="G200" s="1" t="s">
        <v>4</v>
      </c>
      <c r="H200" s="1" t="s">
        <v>77</v>
      </c>
      <c r="I200" s="1" t="str">
        <f t="shared" si="3"/>
        <v>d03</v>
      </c>
    </row>
    <row r="201" spans="1:9" x14ac:dyDescent="0.3">
      <c r="A201" s="1" t="s">
        <v>52</v>
      </c>
      <c r="B201" s="1" t="s">
        <v>372</v>
      </c>
      <c r="C201" s="1" t="s">
        <v>172</v>
      </c>
      <c r="D201" s="1" t="s">
        <v>322</v>
      </c>
      <c r="E201" s="1" t="s">
        <v>393</v>
      </c>
      <c r="F201" s="1" t="s">
        <v>656</v>
      </c>
      <c r="G201" s="1" t="s">
        <v>4</v>
      </c>
      <c r="H201" s="1" t="s">
        <v>77</v>
      </c>
      <c r="I201" s="1" t="str">
        <f t="shared" si="3"/>
        <v>d03</v>
      </c>
    </row>
    <row r="202" spans="1:9" x14ac:dyDescent="0.3">
      <c r="A202" s="1" t="s">
        <v>52</v>
      </c>
      <c r="B202" s="1" t="s">
        <v>372</v>
      </c>
      <c r="C202" s="1" t="s">
        <v>172</v>
      </c>
      <c r="D202" s="1" t="s">
        <v>322</v>
      </c>
      <c r="E202" s="1" t="s">
        <v>393</v>
      </c>
      <c r="F202" s="1" t="s">
        <v>657</v>
      </c>
      <c r="G202" s="1" t="s">
        <v>4</v>
      </c>
      <c r="H202" s="1" t="s">
        <v>77</v>
      </c>
      <c r="I202" s="1" t="str">
        <f t="shared" si="3"/>
        <v>d03</v>
      </c>
    </row>
    <row r="203" spans="1:9" x14ac:dyDescent="0.3">
      <c r="A203" s="1" t="s">
        <v>52</v>
      </c>
      <c r="B203" s="1" t="s">
        <v>372</v>
      </c>
      <c r="C203" s="1" t="s">
        <v>172</v>
      </c>
      <c r="D203" s="1" t="s">
        <v>322</v>
      </c>
      <c r="E203" s="1" t="s">
        <v>393</v>
      </c>
      <c r="F203" s="1" t="s">
        <v>658</v>
      </c>
      <c r="G203" s="1" t="s">
        <v>4</v>
      </c>
      <c r="H203" s="1" t="s">
        <v>77</v>
      </c>
      <c r="I203" s="1" t="str">
        <f t="shared" si="3"/>
        <v>d03</v>
      </c>
    </row>
    <row r="204" spans="1:9" x14ac:dyDescent="0.3">
      <c r="A204" s="1" t="s">
        <v>52</v>
      </c>
      <c r="B204" s="1" t="s">
        <v>372</v>
      </c>
      <c r="C204" s="1" t="s">
        <v>172</v>
      </c>
      <c r="D204" s="1" t="s">
        <v>322</v>
      </c>
      <c r="E204" s="1" t="s">
        <v>393</v>
      </c>
      <c r="F204" s="1" t="s">
        <v>659</v>
      </c>
      <c r="G204" s="1" t="s">
        <v>4</v>
      </c>
      <c r="H204" s="1" t="s">
        <v>77</v>
      </c>
      <c r="I204" s="1" t="str">
        <f t="shared" si="3"/>
        <v>d03</v>
      </c>
    </row>
    <row r="205" spans="1:9" x14ac:dyDescent="0.3">
      <c r="A205" s="1" t="s">
        <v>52</v>
      </c>
      <c r="B205" s="1" t="s">
        <v>372</v>
      </c>
      <c r="C205" s="1" t="s">
        <v>172</v>
      </c>
      <c r="D205" s="1" t="s">
        <v>322</v>
      </c>
      <c r="E205" s="1" t="s">
        <v>393</v>
      </c>
      <c r="F205" s="1" t="s">
        <v>660</v>
      </c>
      <c r="G205" s="1" t="s">
        <v>4</v>
      </c>
      <c r="H205" s="1" t="s">
        <v>77</v>
      </c>
      <c r="I205" s="1" t="str">
        <f t="shared" si="3"/>
        <v>d03</v>
      </c>
    </row>
    <row r="206" spans="1:9" x14ac:dyDescent="0.3">
      <c r="A206" s="1" t="s">
        <v>52</v>
      </c>
      <c r="B206" s="1" t="s">
        <v>372</v>
      </c>
      <c r="C206" s="1" t="s">
        <v>172</v>
      </c>
      <c r="D206" s="1" t="s">
        <v>322</v>
      </c>
      <c r="E206" s="1" t="s">
        <v>393</v>
      </c>
      <c r="F206" s="1" t="s">
        <v>661</v>
      </c>
      <c r="G206" s="1" t="s">
        <v>4</v>
      </c>
      <c r="H206" s="1" t="s">
        <v>77</v>
      </c>
      <c r="I206" s="1" t="str">
        <f t="shared" si="3"/>
        <v>d03</v>
      </c>
    </row>
    <row r="207" spans="1:9" x14ac:dyDescent="0.3">
      <c r="A207" s="1" t="s">
        <v>52</v>
      </c>
      <c r="B207" s="1" t="s">
        <v>372</v>
      </c>
      <c r="C207" s="1" t="s">
        <v>172</v>
      </c>
      <c r="D207" s="1" t="s">
        <v>322</v>
      </c>
      <c r="E207" s="1" t="s">
        <v>393</v>
      </c>
      <c r="F207" s="1" t="s">
        <v>662</v>
      </c>
      <c r="G207" s="1" t="s">
        <v>4</v>
      </c>
      <c r="H207" s="1" t="s">
        <v>77</v>
      </c>
      <c r="I207" s="1" t="str">
        <f t="shared" si="3"/>
        <v>d03</v>
      </c>
    </row>
    <row r="208" spans="1:9" x14ac:dyDescent="0.3">
      <c r="A208" s="1" t="s">
        <v>52</v>
      </c>
      <c r="B208" s="1" t="s">
        <v>372</v>
      </c>
      <c r="C208" s="1" t="s">
        <v>172</v>
      </c>
      <c r="D208" s="1" t="s">
        <v>322</v>
      </c>
      <c r="E208" s="1" t="s">
        <v>393</v>
      </c>
      <c r="F208" s="1" t="s">
        <v>663</v>
      </c>
      <c r="G208" s="1" t="s">
        <v>4</v>
      </c>
      <c r="H208" s="1" t="s">
        <v>77</v>
      </c>
      <c r="I208" s="1" t="str">
        <f t="shared" si="3"/>
        <v>d03</v>
      </c>
    </row>
    <row r="209" spans="1:9" x14ac:dyDescent="0.3">
      <c r="A209" s="1" t="s">
        <v>52</v>
      </c>
      <c r="B209" s="1" t="s">
        <v>372</v>
      </c>
      <c r="C209" s="1" t="s">
        <v>172</v>
      </c>
      <c r="D209" s="1" t="s">
        <v>322</v>
      </c>
      <c r="E209" s="1" t="s">
        <v>393</v>
      </c>
      <c r="F209" s="1" t="s">
        <v>664</v>
      </c>
      <c r="G209" s="1" t="s">
        <v>4</v>
      </c>
      <c r="H209" s="1" t="s">
        <v>77</v>
      </c>
      <c r="I209" s="1" t="str">
        <f t="shared" si="3"/>
        <v>d03</v>
      </c>
    </row>
    <row r="210" spans="1:9" x14ac:dyDescent="0.3">
      <c r="A210" s="1" t="s">
        <v>52</v>
      </c>
      <c r="B210" s="1" t="s">
        <v>372</v>
      </c>
      <c r="C210" s="1" t="s">
        <v>172</v>
      </c>
      <c r="D210" s="1" t="s">
        <v>322</v>
      </c>
      <c r="E210" s="1" t="s">
        <v>393</v>
      </c>
      <c r="F210" s="1" t="s">
        <v>665</v>
      </c>
      <c r="G210" s="1" t="s">
        <v>4</v>
      </c>
      <c r="H210" s="1" t="s">
        <v>77</v>
      </c>
      <c r="I210" s="1" t="str">
        <f t="shared" si="3"/>
        <v>d03</v>
      </c>
    </row>
    <row r="211" spans="1:9" x14ac:dyDescent="0.3">
      <c r="A211" s="1" t="s">
        <v>52</v>
      </c>
      <c r="B211" s="1" t="s">
        <v>372</v>
      </c>
      <c r="C211" s="1" t="s">
        <v>172</v>
      </c>
      <c r="D211" s="1" t="s">
        <v>322</v>
      </c>
      <c r="E211" s="1" t="s">
        <v>393</v>
      </c>
      <c r="F211" s="1" t="s">
        <v>613</v>
      </c>
      <c r="G211" s="1" t="s">
        <v>4</v>
      </c>
      <c r="H211" s="1" t="s">
        <v>77</v>
      </c>
      <c r="I211" s="1" t="str">
        <f t="shared" si="3"/>
        <v>d03</v>
      </c>
    </row>
    <row r="212" spans="1:9" x14ac:dyDescent="0.3">
      <c r="A212" s="1" t="s">
        <v>52</v>
      </c>
      <c r="B212" s="1" t="s">
        <v>372</v>
      </c>
      <c r="C212" s="1" t="s">
        <v>172</v>
      </c>
      <c r="D212" s="1" t="s">
        <v>322</v>
      </c>
      <c r="E212" s="1" t="s">
        <v>393</v>
      </c>
      <c r="F212" s="1" t="s">
        <v>666</v>
      </c>
      <c r="G212" s="1" t="s">
        <v>4</v>
      </c>
      <c r="H212" s="1" t="s">
        <v>77</v>
      </c>
      <c r="I212" s="1" t="str">
        <f t="shared" si="3"/>
        <v>d03</v>
      </c>
    </row>
    <row r="213" spans="1:9" x14ac:dyDescent="0.3">
      <c r="A213" s="1" t="s">
        <v>52</v>
      </c>
      <c r="B213" s="1" t="s">
        <v>372</v>
      </c>
      <c r="C213" s="1" t="s">
        <v>172</v>
      </c>
      <c r="D213" s="1" t="s">
        <v>322</v>
      </c>
      <c r="E213" s="1" t="s">
        <v>393</v>
      </c>
      <c r="F213" s="1" t="s">
        <v>599</v>
      </c>
      <c r="G213" s="1" t="s">
        <v>17</v>
      </c>
      <c r="H213" s="1" t="s">
        <v>3</v>
      </c>
      <c r="I213" s="1" t="str">
        <f t="shared" si="3"/>
        <v>d08</v>
      </c>
    </row>
    <row r="214" spans="1:9" x14ac:dyDescent="0.3">
      <c r="A214" s="1" t="s">
        <v>52</v>
      </c>
      <c r="B214" s="1" t="s">
        <v>372</v>
      </c>
      <c r="C214" s="1" t="s">
        <v>172</v>
      </c>
      <c r="D214" s="1" t="s">
        <v>322</v>
      </c>
      <c r="E214" s="1" t="s">
        <v>393</v>
      </c>
      <c r="F214" s="1" t="s">
        <v>667</v>
      </c>
      <c r="G214" s="1" t="s">
        <v>17</v>
      </c>
      <c r="H214" s="1" t="s">
        <v>3</v>
      </c>
      <c r="I214" s="1" t="str">
        <f t="shared" si="3"/>
        <v>d08</v>
      </c>
    </row>
    <row r="215" spans="1:9" x14ac:dyDescent="0.3">
      <c r="A215" s="1" t="s">
        <v>51</v>
      </c>
      <c r="B215" s="1" t="s">
        <v>161</v>
      </c>
      <c r="C215" s="1" t="s">
        <v>158</v>
      </c>
      <c r="D215" s="1" t="s">
        <v>321</v>
      </c>
      <c r="E215" s="1" t="s">
        <v>521</v>
      </c>
      <c r="F215" s="1" t="s">
        <v>601</v>
      </c>
      <c r="G215" s="1" t="s">
        <v>63</v>
      </c>
      <c r="H215" s="1" t="s">
        <v>75</v>
      </c>
      <c r="I215" s="1" t="str">
        <f t="shared" si="3"/>
        <v>d01</v>
      </c>
    </row>
    <row r="216" spans="1:9" x14ac:dyDescent="0.3">
      <c r="A216" s="1" t="s">
        <v>51</v>
      </c>
      <c r="B216" s="1" t="s">
        <v>161</v>
      </c>
      <c r="C216" s="1" t="s">
        <v>158</v>
      </c>
      <c r="D216" s="1" t="s">
        <v>321</v>
      </c>
      <c r="E216" s="1" t="s">
        <v>521</v>
      </c>
      <c r="F216" s="1" t="s">
        <v>602</v>
      </c>
      <c r="G216" s="1" t="s">
        <v>63</v>
      </c>
      <c r="H216" s="1" t="s">
        <v>75</v>
      </c>
      <c r="I216" s="1" t="str">
        <f t="shared" si="3"/>
        <v>d01</v>
      </c>
    </row>
    <row r="217" spans="1:9" x14ac:dyDescent="0.3">
      <c r="A217" s="1" t="s">
        <v>51</v>
      </c>
      <c r="B217" s="1" t="s">
        <v>161</v>
      </c>
      <c r="C217" s="1" t="s">
        <v>158</v>
      </c>
      <c r="D217" s="1" t="s">
        <v>321</v>
      </c>
      <c r="E217" s="1" t="s">
        <v>521</v>
      </c>
      <c r="F217" s="1" t="s">
        <v>603</v>
      </c>
      <c r="G217" s="1" t="s">
        <v>770</v>
      </c>
      <c r="H217" s="1" t="s">
        <v>61</v>
      </c>
      <c r="I217" s="1" t="str">
        <f t="shared" si="3"/>
        <v>d14</v>
      </c>
    </row>
    <row r="218" spans="1:9" x14ac:dyDescent="0.3">
      <c r="A218" s="1" t="s">
        <v>51</v>
      </c>
      <c r="B218" s="1" t="s">
        <v>161</v>
      </c>
      <c r="C218" s="1" t="s">
        <v>158</v>
      </c>
      <c r="D218" s="1" t="s">
        <v>321</v>
      </c>
      <c r="E218" s="1" t="s">
        <v>521</v>
      </c>
      <c r="F218" s="1" t="s">
        <v>604</v>
      </c>
      <c r="G218" s="1" t="s">
        <v>770</v>
      </c>
      <c r="H218" s="1" t="s">
        <v>61</v>
      </c>
      <c r="I218" s="1" t="str">
        <f t="shared" si="3"/>
        <v>d14</v>
      </c>
    </row>
    <row r="219" spans="1:9" x14ac:dyDescent="0.3">
      <c r="A219" s="1" t="s">
        <v>51</v>
      </c>
      <c r="B219" s="1" t="s">
        <v>161</v>
      </c>
      <c r="C219" s="1" t="s">
        <v>158</v>
      </c>
      <c r="D219" s="1" t="s">
        <v>321</v>
      </c>
      <c r="E219" s="1" t="s">
        <v>521</v>
      </c>
      <c r="F219" s="1" t="s">
        <v>605</v>
      </c>
      <c r="G219" s="1" t="s">
        <v>770</v>
      </c>
      <c r="H219" s="1" t="s">
        <v>61</v>
      </c>
      <c r="I219" s="1" t="str">
        <f t="shared" si="3"/>
        <v>d14</v>
      </c>
    </row>
    <row r="220" spans="1:9" x14ac:dyDescent="0.3">
      <c r="A220" s="1" t="s">
        <v>51</v>
      </c>
      <c r="B220" s="1" t="s">
        <v>161</v>
      </c>
      <c r="C220" s="1" t="s">
        <v>158</v>
      </c>
      <c r="D220" s="1" t="s">
        <v>321</v>
      </c>
      <c r="E220" s="1" t="s">
        <v>521</v>
      </c>
      <c r="F220" s="1" t="s">
        <v>606</v>
      </c>
      <c r="G220" s="1" t="s">
        <v>770</v>
      </c>
      <c r="H220" s="1" t="s">
        <v>61</v>
      </c>
      <c r="I220" s="1" t="str">
        <f t="shared" si="3"/>
        <v>d14</v>
      </c>
    </row>
    <row r="221" spans="1:9" x14ac:dyDescent="0.3">
      <c r="A221" s="1" t="s">
        <v>289</v>
      </c>
      <c r="B221" s="1" t="s">
        <v>155</v>
      </c>
      <c r="C221" s="1" t="s">
        <v>153</v>
      </c>
      <c r="D221" s="1" t="s">
        <v>365</v>
      </c>
      <c r="E221" s="1" t="s">
        <v>435</v>
      </c>
      <c r="F221" s="1" t="s">
        <v>668</v>
      </c>
      <c r="G221" s="1" t="s">
        <v>17</v>
      </c>
      <c r="H221" s="1" t="s">
        <v>81</v>
      </c>
      <c r="I221" s="1" t="str">
        <f t="shared" si="3"/>
        <v>d07</v>
      </c>
    </row>
    <row r="222" spans="1:9" x14ac:dyDescent="0.3">
      <c r="A222" s="1" t="s">
        <v>289</v>
      </c>
      <c r="B222" s="1" t="s">
        <v>155</v>
      </c>
      <c r="C222" s="1" t="s">
        <v>153</v>
      </c>
      <c r="D222" s="1" t="s">
        <v>365</v>
      </c>
      <c r="E222" s="1" t="s">
        <v>435</v>
      </c>
      <c r="F222" s="1" t="s">
        <v>536</v>
      </c>
      <c r="G222" s="1" t="s">
        <v>17</v>
      </c>
      <c r="H222" s="1" t="s">
        <v>81</v>
      </c>
      <c r="I222" s="1" t="str">
        <f t="shared" si="3"/>
        <v>d07</v>
      </c>
    </row>
    <row r="223" spans="1:9" x14ac:dyDescent="0.3">
      <c r="A223" s="1" t="s">
        <v>289</v>
      </c>
      <c r="B223" s="1" t="s">
        <v>155</v>
      </c>
      <c r="C223" s="1" t="s">
        <v>153</v>
      </c>
      <c r="D223" s="1" t="s">
        <v>365</v>
      </c>
      <c r="E223" s="1" t="s">
        <v>435</v>
      </c>
      <c r="F223" s="1" t="s">
        <v>592</v>
      </c>
      <c r="G223" s="1" t="s">
        <v>17</v>
      </c>
      <c r="H223" s="1" t="s">
        <v>81</v>
      </c>
      <c r="I223" s="1" t="str">
        <f t="shared" si="3"/>
        <v>d07</v>
      </c>
    </row>
    <row r="224" spans="1:9" x14ac:dyDescent="0.3">
      <c r="A224" s="1" t="s">
        <v>289</v>
      </c>
      <c r="B224" s="1" t="s">
        <v>155</v>
      </c>
      <c r="C224" s="1" t="s">
        <v>153</v>
      </c>
      <c r="D224" s="1" t="s">
        <v>365</v>
      </c>
      <c r="E224" s="1" t="s">
        <v>435</v>
      </c>
      <c r="F224" s="1" t="s">
        <v>669</v>
      </c>
      <c r="G224" s="1" t="s">
        <v>17</v>
      </c>
      <c r="H224" s="1" t="s">
        <v>81</v>
      </c>
      <c r="I224" s="1" t="str">
        <f t="shared" si="3"/>
        <v>d07</v>
      </c>
    </row>
    <row r="225" spans="1:9" x14ac:dyDescent="0.3">
      <c r="A225" s="1" t="s">
        <v>289</v>
      </c>
      <c r="B225" s="1" t="s">
        <v>155</v>
      </c>
      <c r="C225" s="1" t="s">
        <v>153</v>
      </c>
      <c r="D225" s="1" t="s">
        <v>365</v>
      </c>
      <c r="E225" s="1" t="s">
        <v>435</v>
      </c>
      <c r="F225" s="1" t="s">
        <v>539</v>
      </c>
      <c r="G225" s="1" t="s">
        <v>17</v>
      </c>
      <c r="H225" s="1" t="s">
        <v>81</v>
      </c>
      <c r="I225" s="1" t="str">
        <f t="shared" si="3"/>
        <v>d07</v>
      </c>
    </row>
    <row r="226" spans="1:9" x14ac:dyDescent="0.3">
      <c r="A226" s="1" t="s">
        <v>289</v>
      </c>
      <c r="B226" s="1" t="s">
        <v>155</v>
      </c>
      <c r="C226" s="1" t="s">
        <v>153</v>
      </c>
      <c r="D226" s="1" t="s">
        <v>365</v>
      </c>
      <c r="E226" s="1" t="s">
        <v>435</v>
      </c>
      <c r="F226" s="1" t="s">
        <v>540</v>
      </c>
      <c r="G226" s="1" t="s">
        <v>17</v>
      </c>
      <c r="H226" s="1" t="s">
        <v>81</v>
      </c>
      <c r="I226" s="1" t="str">
        <f t="shared" si="3"/>
        <v>d07</v>
      </c>
    </row>
    <row r="227" spans="1:9" x14ac:dyDescent="0.3">
      <c r="A227" s="1" t="s">
        <v>289</v>
      </c>
      <c r="B227" s="1" t="s">
        <v>155</v>
      </c>
      <c r="C227" s="1" t="s">
        <v>153</v>
      </c>
      <c r="D227" s="1" t="s">
        <v>365</v>
      </c>
      <c r="E227" s="1" t="s">
        <v>435</v>
      </c>
      <c r="F227" s="1" t="s">
        <v>670</v>
      </c>
      <c r="G227" s="1" t="s">
        <v>17</v>
      </c>
      <c r="H227" s="1" t="s">
        <v>81</v>
      </c>
      <c r="I227" s="1" t="str">
        <f t="shared" si="3"/>
        <v>d07</v>
      </c>
    </row>
    <row r="228" spans="1:9" x14ac:dyDescent="0.3">
      <c r="A228" s="1" t="s">
        <v>289</v>
      </c>
      <c r="B228" s="1" t="s">
        <v>155</v>
      </c>
      <c r="C228" s="1" t="s">
        <v>153</v>
      </c>
      <c r="D228" s="1" t="s">
        <v>365</v>
      </c>
      <c r="E228" s="1" t="s">
        <v>435</v>
      </c>
      <c r="F228" s="1" t="s">
        <v>528</v>
      </c>
      <c r="G228" s="1" t="s">
        <v>17</v>
      </c>
      <c r="H228" s="1" t="s">
        <v>67</v>
      </c>
      <c r="I228" s="1" t="str">
        <f t="shared" si="3"/>
        <v>d10</v>
      </c>
    </row>
    <row r="229" spans="1:9" x14ac:dyDescent="0.3">
      <c r="A229" s="1" t="s">
        <v>290</v>
      </c>
      <c r="B229" s="1" t="s">
        <v>151</v>
      </c>
      <c r="C229" s="1" t="s">
        <v>16</v>
      </c>
      <c r="D229" s="1" t="s">
        <v>360</v>
      </c>
      <c r="E229" s="1" t="s">
        <v>430</v>
      </c>
      <c r="F229" s="1" t="s">
        <v>626</v>
      </c>
      <c r="G229" s="1" t="s">
        <v>17</v>
      </c>
      <c r="H229" s="1" t="s">
        <v>81</v>
      </c>
      <c r="I229" s="1" t="str">
        <f t="shared" si="3"/>
        <v>d07</v>
      </c>
    </row>
    <row r="230" spans="1:9" x14ac:dyDescent="0.3">
      <c r="A230" s="1" t="s">
        <v>290</v>
      </c>
      <c r="B230" s="1" t="s">
        <v>151</v>
      </c>
      <c r="C230" s="1" t="s">
        <v>16</v>
      </c>
      <c r="D230" s="1" t="s">
        <v>360</v>
      </c>
      <c r="E230" s="1" t="s">
        <v>430</v>
      </c>
      <c r="F230" s="1" t="s">
        <v>536</v>
      </c>
      <c r="G230" s="1" t="s">
        <v>17</v>
      </c>
      <c r="H230" s="1" t="s">
        <v>81</v>
      </c>
      <c r="I230" s="1" t="str">
        <f t="shared" si="3"/>
        <v>d07</v>
      </c>
    </row>
    <row r="231" spans="1:9" x14ac:dyDescent="0.3">
      <c r="A231" s="1" t="s">
        <v>290</v>
      </c>
      <c r="B231" s="1" t="s">
        <v>151</v>
      </c>
      <c r="C231" s="1" t="s">
        <v>16</v>
      </c>
      <c r="D231" s="1" t="s">
        <v>360</v>
      </c>
      <c r="E231" s="1" t="s">
        <v>430</v>
      </c>
      <c r="F231" s="1" t="s">
        <v>539</v>
      </c>
      <c r="G231" s="1" t="s">
        <v>17</v>
      </c>
      <c r="H231" s="1" t="s">
        <v>81</v>
      </c>
      <c r="I231" s="1" t="str">
        <f t="shared" si="3"/>
        <v>d07</v>
      </c>
    </row>
    <row r="232" spans="1:9" x14ac:dyDescent="0.3">
      <c r="A232" s="1" t="s">
        <v>290</v>
      </c>
      <c r="B232" s="1" t="s">
        <v>151</v>
      </c>
      <c r="C232" s="1" t="s">
        <v>16</v>
      </c>
      <c r="D232" s="1" t="s">
        <v>360</v>
      </c>
      <c r="E232" s="1" t="s">
        <v>430</v>
      </c>
      <c r="F232" s="1" t="s">
        <v>541</v>
      </c>
      <c r="G232" s="1" t="s">
        <v>17</v>
      </c>
      <c r="H232" s="1" t="s">
        <v>65</v>
      </c>
      <c r="I232" s="1" t="str">
        <f t="shared" si="3"/>
        <v>d09</v>
      </c>
    </row>
    <row r="233" spans="1:9" x14ac:dyDescent="0.3">
      <c r="A233" s="1" t="s">
        <v>290</v>
      </c>
      <c r="B233" s="1" t="s">
        <v>151</v>
      </c>
      <c r="C233" s="1" t="s">
        <v>16</v>
      </c>
      <c r="D233" s="1" t="s">
        <v>360</v>
      </c>
      <c r="E233" s="1" t="s">
        <v>430</v>
      </c>
      <c r="F233" s="1" t="s">
        <v>528</v>
      </c>
      <c r="G233" s="1" t="s">
        <v>17</v>
      </c>
      <c r="H233" s="1" t="s">
        <v>67</v>
      </c>
      <c r="I233" s="1" t="str">
        <f t="shared" si="3"/>
        <v>d10</v>
      </c>
    </row>
    <row r="234" spans="1:9" x14ac:dyDescent="0.3">
      <c r="A234" s="1" t="s">
        <v>290</v>
      </c>
      <c r="B234" s="1" t="s">
        <v>151</v>
      </c>
      <c r="C234" s="1" t="s">
        <v>16</v>
      </c>
      <c r="D234" s="1" t="s">
        <v>360</v>
      </c>
      <c r="E234" s="1" t="s">
        <v>430</v>
      </c>
      <c r="F234" s="1" t="s">
        <v>617</v>
      </c>
      <c r="G234" s="1" t="s">
        <v>17</v>
      </c>
      <c r="H234" s="1" t="s">
        <v>19</v>
      </c>
      <c r="I234" s="1" t="str">
        <f t="shared" si="3"/>
        <v>d11</v>
      </c>
    </row>
    <row r="235" spans="1:9" x14ac:dyDescent="0.3">
      <c r="A235" s="1" t="s">
        <v>290</v>
      </c>
      <c r="B235" s="1" t="s">
        <v>151</v>
      </c>
      <c r="C235" s="1" t="s">
        <v>16</v>
      </c>
      <c r="D235" s="1" t="s">
        <v>360</v>
      </c>
      <c r="E235" s="1" t="s">
        <v>430</v>
      </c>
      <c r="F235" s="1" t="s">
        <v>531</v>
      </c>
      <c r="G235" s="1" t="s">
        <v>17</v>
      </c>
      <c r="H235" s="1" t="s">
        <v>72</v>
      </c>
      <c r="I235" s="1" t="str">
        <f t="shared" si="3"/>
        <v>d12</v>
      </c>
    </row>
    <row r="236" spans="1:9" x14ac:dyDescent="0.3">
      <c r="A236" s="1" t="s">
        <v>290</v>
      </c>
      <c r="B236" s="1" t="s">
        <v>151</v>
      </c>
      <c r="C236" s="1" t="s">
        <v>16</v>
      </c>
      <c r="D236" s="1" t="s">
        <v>360</v>
      </c>
      <c r="E236" s="1" t="s">
        <v>430</v>
      </c>
      <c r="F236" s="1" t="s">
        <v>537</v>
      </c>
      <c r="G236" s="1" t="s">
        <v>17</v>
      </c>
      <c r="H236" s="1" t="s">
        <v>72</v>
      </c>
      <c r="I236" s="1" t="str">
        <f t="shared" si="3"/>
        <v>d12</v>
      </c>
    </row>
    <row r="237" spans="1:9" x14ac:dyDescent="0.3">
      <c r="A237" s="1" t="s">
        <v>290</v>
      </c>
      <c r="B237" s="1" t="s">
        <v>151</v>
      </c>
      <c r="C237" s="1" t="s">
        <v>16</v>
      </c>
      <c r="D237" s="1" t="s">
        <v>360</v>
      </c>
      <c r="E237" s="1" t="s">
        <v>430</v>
      </c>
      <c r="F237" s="1" t="s">
        <v>671</v>
      </c>
      <c r="G237" s="1" t="s">
        <v>17</v>
      </c>
      <c r="H237" s="1" t="s">
        <v>18</v>
      </c>
      <c r="I237" s="1" t="str">
        <f t="shared" si="3"/>
        <v>d13</v>
      </c>
    </row>
    <row r="238" spans="1:9" x14ac:dyDescent="0.3">
      <c r="A238" s="1" t="s">
        <v>291</v>
      </c>
      <c r="B238" s="1" t="s">
        <v>374</v>
      </c>
      <c r="C238" s="1" t="s">
        <v>172</v>
      </c>
      <c r="D238" s="1" t="s">
        <v>328</v>
      </c>
      <c r="E238" s="1" t="s">
        <v>399</v>
      </c>
      <c r="F238" s="1" t="s">
        <v>56</v>
      </c>
      <c r="G238" s="1" t="s">
        <v>17</v>
      </c>
      <c r="H238" s="1" t="s">
        <v>56</v>
      </c>
      <c r="I238" s="1" t="str">
        <f t="shared" si="3"/>
        <v>d05</v>
      </c>
    </row>
    <row r="239" spans="1:9" x14ac:dyDescent="0.3">
      <c r="A239" s="1" t="s">
        <v>291</v>
      </c>
      <c r="B239" s="1" t="s">
        <v>374</v>
      </c>
      <c r="C239" s="1" t="s">
        <v>172</v>
      </c>
      <c r="D239" s="1" t="s">
        <v>328</v>
      </c>
      <c r="E239" s="1" t="s">
        <v>399</v>
      </c>
      <c r="F239" s="1" t="s">
        <v>67</v>
      </c>
      <c r="G239" s="1" t="s">
        <v>17</v>
      </c>
      <c r="H239" s="1" t="s">
        <v>67</v>
      </c>
      <c r="I239" s="1" t="str">
        <f t="shared" si="3"/>
        <v>d10</v>
      </c>
    </row>
    <row r="240" spans="1:9" x14ac:dyDescent="0.3">
      <c r="A240" s="1" t="s">
        <v>291</v>
      </c>
      <c r="B240" s="1" t="s">
        <v>374</v>
      </c>
      <c r="C240" s="1" t="s">
        <v>172</v>
      </c>
      <c r="D240" s="1" t="s">
        <v>328</v>
      </c>
      <c r="E240" s="1" t="s">
        <v>399</v>
      </c>
      <c r="F240" s="1" t="s">
        <v>572</v>
      </c>
      <c r="G240" s="1" t="s">
        <v>770</v>
      </c>
      <c r="H240" s="1" t="s">
        <v>84</v>
      </c>
      <c r="I240" s="1" t="str">
        <f t="shared" si="3"/>
        <v>d16</v>
      </c>
    </row>
    <row r="241" spans="1:9" x14ac:dyDescent="0.3">
      <c r="A241" s="1" t="s">
        <v>292</v>
      </c>
      <c r="B241" s="1" t="s">
        <v>374</v>
      </c>
      <c r="C241" s="1" t="s">
        <v>172</v>
      </c>
      <c r="D241" s="1" t="s">
        <v>329</v>
      </c>
      <c r="E241" s="1" t="s">
        <v>400</v>
      </c>
      <c r="F241" s="1" t="s">
        <v>672</v>
      </c>
      <c r="G241" s="1" t="s">
        <v>4</v>
      </c>
      <c r="H241" s="1" t="s">
        <v>77</v>
      </c>
      <c r="I241" s="1" t="str">
        <f t="shared" si="3"/>
        <v>d03</v>
      </c>
    </row>
    <row r="242" spans="1:9" x14ac:dyDescent="0.3">
      <c r="A242" s="1" t="s">
        <v>292</v>
      </c>
      <c r="B242" s="1" t="s">
        <v>374</v>
      </c>
      <c r="C242" s="1" t="s">
        <v>172</v>
      </c>
      <c r="D242" s="1" t="s">
        <v>329</v>
      </c>
      <c r="E242" s="1" t="s">
        <v>400</v>
      </c>
      <c r="F242" s="1" t="s">
        <v>673</v>
      </c>
      <c r="G242" s="1" t="s">
        <v>4</v>
      </c>
      <c r="H242" s="1" t="s">
        <v>77</v>
      </c>
      <c r="I242" s="1" t="str">
        <f t="shared" si="3"/>
        <v>d03</v>
      </c>
    </row>
    <row r="243" spans="1:9" x14ac:dyDescent="0.3">
      <c r="A243" s="1" t="s">
        <v>292</v>
      </c>
      <c r="B243" s="1" t="s">
        <v>374</v>
      </c>
      <c r="C243" s="1" t="s">
        <v>172</v>
      </c>
      <c r="D243" s="1" t="s">
        <v>329</v>
      </c>
      <c r="E243" s="1" t="s">
        <v>400</v>
      </c>
      <c r="F243" s="1" t="s">
        <v>610</v>
      </c>
      <c r="G243" s="1" t="s">
        <v>4</v>
      </c>
      <c r="H243" s="1" t="s">
        <v>77</v>
      </c>
      <c r="I243" s="1" t="str">
        <f t="shared" si="3"/>
        <v>d03</v>
      </c>
    </row>
    <row r="244" spans="1:9" x14ac:dyDescent="0.3">
      <c r="A244" s="1" t="s">
        <v>292</v>
      </c>
      <c r="B244" s="1" t="s">
        <v>374</v>
      </c>
      <c r="C244" s="1" t="s">
        <v>172</v>
      </c>
      <c r="D244" s="1" t="s">
        <v>329</v>
      </c>
      <c r="E244" s="1" t="s">
        <v>400</v>
      </c>
      <c r="F244" s="1" t="s">
        <v>611</v>
      </c>
      <c r="G244" s="1" t="s">
        <v>4</v>
      </c>
      <c r="H244" s="1" t="s">
        <v>77</v>
      </c>
      <c r="I244" s="1" t="str">
        <f t="shared" si="3"/>
        <v>d03</v>
      </c>
    </row>
    <row r="245" spans="1:9" x14ac:dyDescent="0.3">
      <c r="A245" s="1" t="s">
        <v>292</v>
      </c>
      <c r="B245" s="1" t="s">
        <v>374</v>
      </c>
      <c r="C245" s="1" t="s">
        <v>172</v>
      </c>
      <c r="D245" s="1" t="s">
        <v>329</v>
      </c>
      <c r="E245" s="1" t="s">
        <v>400</v>
      </c>
      <c r="F245" s="1" t="s">
        <v>674</v>
      </c>
      <c r="G245" s="1" t="s">
        <v>4</v>
      </c>
      <c r="H245" s="1" t="s">
        <v>77</v>
      </c>
      <c r="I245" s="1" t="str">
        <f t="shared" si="3"/>
        <v>d03</v>
      </c>
    </row>
    <row r="246" spans="1:9" x14ac:dyDescent="0.3">
      <c r="A246" s="1" t="s">
        <v>292</v>
      </c>
      <c r="B246" s="1" t="s">
        <v>374</v>
      </c>
      <c r="C246" s="1" t="s">
        <v>172</v>
      </c>
      <c r="D246" s="1" t="s">
        <v>329</v>
      </c>
      <c r="E246" s="1" t="s">
        <v>400</v>
      </c>
      <c r="F246" s="1" t="s">
        <v>675</v>
      </c>
      <c r="G246" s="1" t="s">
        <v>4</v>
      </c>
      <c r="H246" s="1" t="s">
        <v>77</v>
      </c>
      <c r="I246" s="1" t="str">
        <f t="shared" si="3"/>
        <v>d03</v>
      </c>
    </row>
    <row r="247" spans="1:9" x14ac:dyDescent="0.3">
      <c r="A247" s="1" t="s">
        <v>292</v>
      </c>
      <c r="B247" s="1" t="s">
        <v>374</v>
      </c>
      <c r="C247" s="1" t="s">
        <v>172</v>
      </c>
      <c r="D247" s="1" t="s">
        <v>329</v>
      </c>
      <c r="E247" s="1" t="s">
        <v>400</v>
      </c>
      <c r="F247" s="1" t="s">
        <v>656</v>
      </c>
      <c r="G247" s="1" t="s">
        <v>4</v>
      </c>
      <c r="H247" s="1" t="s">
        <v>77</v>
      </c>
      <c r="I247" s="1" t="str">
        <f t="shared" si="3"/>
        <v>d03</v>
      </c>
    </row>
    <row r="248" spans="1:9" x14ac:dyDescent="0.3">
      <c r="A248" s="1" t="s">
        <v>292</v>
      </c>
      <c r="B248" s="1" t="s">
        <v>374</v>
      </c>
      <c r="C248" s="1" t="s">
        <v>172</v>
      </c>
      <c r="D248" s="1" t="s">
        <v>329</v>
      </c>
      <c r="E248" s="1" t="s">
        <v>400</v>
      </c>
      <c r="F248" s="1" t="s">
        <v>676</v>
      </c>
      <c r="G248" s="1" t="s">
        <v>4</v>
      </c>
      <c r="H248" s="1" t="s">
        <v>77</v>
      </c>
      <c r="I248" s="1" t="str">
        <f t="shared" si="3"/>
        <v>d03</v>
      </c>
    </row>
    <row r="249" spans="1:9" x14ac:dyDescent="0.3">
      <c r="A249" s="1" t="s">
        <v>292</v>
      </c>
      <c r="B249" s="1" t="s">
        <v>374</v>
      </c>
      <c r="C249" s="1" t="s">
        <v>172</v>
      </c>
      <c r="D249" s="1" t="s">
        <v>329</v>
      </c>
      <c r="E249" s="1" t="s">
        <v>400</v>
      </c>
      <c r="F249" s="1" t="s">
        <v>677</v>
      </c>
      <c r="G249" s="1" t="s">
        <v>4</v>
      </c>
      <c r="H249" s="1" t="s">
        <v>77</v>
      </c>
      <c r="I249" s="1" t="str">
        <f t="shared" si="3"/>
        <v>d03</v>
      </c>
    </row>
    <row r="250" spans="1:9" x14ac:dyDescent="0.3">
      <c r="A250" s="1" t="s">
        <v>292</v>
      </c>
      <c r="B250" s="1" t="s">
        <v>374</v>
      </c>
      <c r="C250" s="1" t="s">
        <v>172</v>
      </c>
      <c r="D250" s="1" t="s">
        <v>329</v>
      </c>
      <c r="E250" s="1" t="s">
        <v>400</v>
      </c>
      <c r="F250" s="1" t="s">
        <v>678</v>
      </c>
      <c r="G250" s="1" t="s">
        <v>4</v>
      </c>
      <c r="H250" s="1" t="s">
        <v>77</v>
      </c>
      <c r="I250" s="1" t="str">
        <f t="shared" si="3"/>
        <v>d03</v>
      </c>
    </row>
    <row r="251" spans="1:9" x14ac:dyDescent="0.3">
      <c r="A251" s="1" t="s">
        <v>292</v>
      </c>
      <c r="B251" s="1" t="s">
        <v>374</v>
      </c>
      <c r="C251" s="1" t="s">
        <v>172</v>
      </c>
      <c r="D251" s="1" t="s">
        <v>329</v>
      </c>
      <c r="E251" s="1" t="s">
        <v>400</v>
      </c>
      <c r="F251" s="1" t="s">
        <v>613</v>
      </c>
      <c r="G251" s="1" t="s">
        <v>4</v>
      </c>
      <c r="H251" s="1" t="s">
        <v>77</v>
      </c>
      <c r="I251" s="1" t="str">
        <f t="shared" si="3"/>
        <v>d03</v>
      </c>
    </row>
    <row r="252" spans="1:9" x14ac:dyDescent="0.3">
      <c r="A252" s="1" t="s">
        <v>292</v>
      </c>
      <c r="B252" s="1" t="s">
        <v>374</v>
      </c>
      <c r="C252" s="1" t="s">
        <v>172</v>
      </c>
      <c r="D252" s="1" t="s">
        <v>329</v>
      </c>
      <c r="E252" s="1" t="s">
        <v>400</v>
      </c>
      <c r="F252" s="1" t="s">
        <v>614</v>
      </c>
      <c r="G252" s="1" t="s">
        <v>4</v>
      </c>
      <c r="H252" s="1" t="s">
        <v>77</v>
      </c>
      <c r="I252" s="1" t="str">
        <f t="shared" si="3"/>
        <v>d03</v>
      </c>
    </row>
    <row r="253" spans="1:9" x14ac:dyDescent="0.3">
      <c r="A253" s="1" t="s">
        <v>292</v>
      </c>
      <c r="B253" s="1" t="s">
        <v>374</v>
      </c>
      <c r="C253" s="1" t="s">
        <v>172</v>
      </c>
      <c r="D253" s="1" t="s">
        <v>329</v>
      </c>
      <c r="E253" s="1" t="s">
        <v>400</v>
      </c>
      <c r="F253" s="1" t="s">
        <v>56</v>
      </c>
      <c r="G253" s="1" t="s">
        <v>17</v>
      </c>
      <c r="H253" s="1" t="s">
        <v>56</v>
      </c>
      <c r="I253" s="1" t="str">
        <f t="shared" si="3"/>
        <v>d05</v>
      </c>
    </row>
    <row r="254" spans="1:9" x14ac:dyDescent="0.3">
      <c r="A254" s="1" t="s">
        <v>292</v>
      </c>
      <c r="B254" s="1" t="s">
        <v>374</v>
      </c>
      <c r="C254" s="1" t="s">
        <v>172</v>
      </c>
      <c r="D254" s="1" t="s">
        <v>329</v>
      </c>
      <c r="E254" s="1" t="s">
        <v>400</v>
      </c>
      <c r="F254" s="1" t="s">
        <v>599</v>
      </c>
      <c r="G254" s="1" t="s">
        <v>17</v>
      </c>
      <c r="H254" s="1" t="s">
        <v>3</v>
      </c>
      <c r="I254" s="1" t="str">
        <f t="shared" si="3"/>
        <v>d08</v>
      </c>
    </row>
    <row r="255" spans="1:9" x14ac:dyDescent="0.3">
      <c r="A255" s="1" t="s">
        <v>292</v>
      </c>
      <c r="B255" s="1" t="s">
        <v>374</v>
      </c>
      <c r="C255" s="1" t="s">
        <v>172</v>
      </c>
      <c r="D255" s="1" t="s">
        <v>329</v>
      </c>
      <c r="E255" s="1" t="s">
        <v>400</v>
      </c>
      <c r="F255" s="1" t="s">
        <v>541</v>
      </c>
      <c r="G255" s="1" t="s">
        <v>17</v>
      </c>
      <c r="H255" s="1" t="s">
        <v>65</v>
      </c>
      <c r="I255" s="1" t="str">
        <f t="shared" si="3"/>
        <v>d09</v>
      </c>
    </row>
    <row r="256" spans="1:9" x14ac:dyDescent="0.3">
      <c r="A256" s="1" t="s">
        <v>292</v>
      </c>
      <c r="B256" s="1" t="s">
        <v>374</v>
      </c>
      <c r="C256" s="1" t="s">
        <v>172</v>
      </c>
      <c r="D256" s="1" t="s">
        <v>329</v>
      </c>
      <c r="E256" s="1" t="s">
        <v>400</v>
      </c>
      <c r="F256" s="1" t="s">
        <v>542</v>
      </c>
      <c r="G256" s="1" t="s">
        <v>17</v>
      </c>
      <c r="H256" s="1" t="s">
        <v>65</v>
      </c>
      <c r="I256" s="1" t="str">
        <f t="shared" si="3"/>
        <v>d09</v>
      </c>
    </row>
    <row r="257" spans="1:9" x14ac:dyDescent="0.3">
      <c r="A257" s="1" t="s">
        <v>292</v>
      </c>
      <c r="B257" s="1" t="s">
        <v>374</v>
      </c>
      <c r="C257" s="1" t="s">
        <v>172</v>
      </c>
      <c r="D257" s="1" t="s">
        <v>329</v>
      </c>
      <c r="E257" s="1" t="s">
        <v>400</v>
      </c>
      <c r="F257" s="1" t="s">
        <v>679</v>
      </c>
      <c r="G257" s="1" t="s">
        <v>17</v>
      </c>
      <c r="H257" s="1" t="s">
        <v>65</v>
      </c>
      <c r="I257" s="1" t="str">
        <f t="shared" si="3"/>
        <v>d09</v>
      </c>
    </row>
    <row r="258" spans="1:9" x14ac:dyDescent="0.3">
      <c r="A258" s="1" t="s">
        <v>292</v>
      </c>
      <c r="B258" s="1" t="s">
        <v>374</v>
      </c>
      <c r="C258" s="1" t="s">
        <v>172</v>
      </c>
      <c r="D258" s="1" t="s">
        <v>329</v>
      </c>
      <c r="E258" s="1" t="s">
        <v>400</v>
      </c>
      <c r="F258" s="1" t="s">
        <v>633</v>
      </c>
      <c r="G258" s="1" t="s">
        <v>17</v>
      </c>
      <c r="H258" s="1" t="s">
        <v>65</v>
      </c>
      <c r="I258" s="1" t="str">
        <f t="shared" ref="I258:I321" si="4">VLOOKUP(H258,$M$2:$N$19,2,FALSE)</f>
        <v>d09</v>
      </c>
    </row>
    <row r="259" spans="1:9" x14ac:dyDescent="0.3">
      <c r="A259" s="1" t="s">
        <v>292</v>
      </c>
      <c r="B259" s="1" t="s">
        <v>374</v>
      </c>
      <c r="C259" s="1" t="s">
        <v>172</v>
      </c>
      <c r="D259" s="1" t="s">
        <v>329</v>
      </c>
      <c r="E259" s="1" t="s">
        <v>400</v>
      </c>
      <c r="F259" s="1" t="s">
        <v>528</v>
      </c>
      <c r="G259" s="1" t="s">
        <v>17</v>
      </c>
      <c r="H259" s="1" t="s">
        <v>67</v>
      </c>
      <c r="I259" s="1" t="str">
        <f t="shared" si="4"/>
        <v>d10</v>
      </c>
    </row>
    <row r="260" spans="1:9" x14ac:dyDescent="0.3">
      <c r="A260" s="1" t="s">
        <v>292</v>
      </c>
      <c r="B260" s="1" t="s">
        <v>374</v>
      </c>
      <c r="C260" s="1" t="s">
        <v>172</v>
      </c>
      <c r="D260" s="1" t="s">
        <v>329</v>
      </c>
      <c r="E260" s="1" t="s">
        <v>400</v>
      </c>
      <c r="F260" s="1" t="s">
        <v>680</v>
      </c>
      <c r="G260" s="1" t="s">
        <v>17</v>
      </c>
      <c r="H260" s="1" t="s">
        <v>19</v>
      </c>
      <c r="I260" s="1" t="str">
        <f t="shared" si="4"/>
        <v>d11</v>
      </c>
    </row>
    <row r="261" spans="1:9" x14ac:dyDescent="0.3">
      <c r="A261" s="1" t="s">
        <v>292</v>
      </c>
      <c r="B261" s="1" t="s">
        <v>374</v>
      </c>
      <c r="C261" s="1" t="s">
        <v>172</v>
      </c>
      <c r="D261" s="1" t="s">
        <v>329</v>
      </c>
      <c r="E261" s="1" t="s">
        <v>400</v>
      </c>
      <c r="F261" s="1" t="s">
        <v>537</v>
      </c>
      <c r="G261" s="1" t="s">
        <v>17</v>
      </c>
      <c r="H261" s="1" t="s">
        <v>72</v>
      </c>
      <c r="I261" s="1" t="str">
        <f t="shared" si="4"/>
        <v>d12</v>
      </c>
    </row>
    <row r="262" spans="1:9" x14ac:dyDescent="0.3">
      <c r="A262" s="1" t="s">
        <v>292</v>
      </c>
      <c r="B262" s="1" t="s">
        <v>374</v>
      </c>
      <c r="C262" s="1" t="s">
        <v>172</v>
      </c>
      <c r="D262" s="1" t="s">
        <v>329</v>
      </c>
      <c r="E262" s="1" t="s">
        <v>400</v>
      </c>
      <c r="F262" s="1" t="s">
        <v>547</v>
      </c>
      <c r="G262" s="1" t="s">
        <v>17</v>
      </c>
      <c r="H262" s="1" t="s">
        <v>18</v>
      </c>
      <c r="I262" s="1" t="str">
        <f t="shared" si="4"/>
        <v>d13</v>
      </c>
    </row>
    <row r="263" spans="1:9" x14ac:dyDescent="0.3">
      <c r="A263" s="1" t="s">
        <v>292</v>
      </c>
      <c r="B263" s="1" t="s">
        <v>374</v>
      </c>
      <c r="C263" s="1" t="s">
        <v>172</v>
      </c>
      <c r="D263" s="1" t="s">
        <v>329</v>
      </c>
      <c r="E263" s="1" t="s">
        <v>400</v>
      </c>
      <c r="F263" s="1" t="s">
        <v>548</v>
      </c>
      <c r="G263" s="1" t="s">
        <v>17</v>
      </c>
      <c r="H263" s="1" t="s">
        <v>18</v>
      </c>
      <c r="I263" s="1" t="str">
        <f t="shared" si="4"/>
        <v>d13</v>
      </c>
    </row>
    <row r="264" spans="1:9" x14ac:dyDescent="0.3">
      <c r="A264" s="1" t="s">
        <v>292</v>
      </c>
      <c r="B264" s="1" t="s">
        <v>374</v>
      </c>
      <c r="C264" s="1" t="s">
        <v>172</v>
      </c>
      <c r="D264" s="1" t="s">
        <v>329</v>
      </c>
      <c r="E264" s="1" t="s">
        <v>400</v>
      </c>
      <c r="F264" s="1" t="s">
        <v>681</v>
      </c>
      <c r="G264" s="1" t="s">
        <v>770</v>
      </c>
      <c r="H264" s="1" t="s">
        <v>84</v>
      </c>
      <c r="I264" s="1" t="str">
        <f t="shared" si="4"/>
        <v>d16</v>
      </c>
    </row>
    <row r="265" spans="1:9" x14ac:dyDescent="0.3">
      <c r="A265" s="1" t="s">
        <v>292</v>
      </c>
      <c r="B265" s="1" t="s">
        <v>374</v>
      </c>
      <c r="C265" s="1" t="s">
        <v>172</v>
      </c>
      <c r="D265" s="1" t="s">
        <v>329</v>
      </c>
      <c r="E265" s="1" t="s">
        <v>400</v>
      </c>
      <c r="F265" s="1" t="s">
        <v>572</v>
      </c>
      <c r="G265" s="1" t="s">
        <v>770</v>
      </c>
      <c r="H265" s="1" t="s">
        <v>84</v>
      </c>
      <c r="I265" s="1" t="str">
        <f t="shared" si="4"/>
        <v>d16</v>
      </c>
    </row>
    <row r="266" spans="1:9" x14ac:dyDescent="0.3">
      <c r="A266" s="1" t="s">
        <v>293</v>
      </c>
      <c r="B266" s="1" t="s">
        <v>373</v>
      </c>
      <c r="C266" s="1" t="s">
        <v>172</v>
      </c>
      <c r="D266" s="1" t="s">
        <v>326</v>
      </c>
      <c r="E266" s="1" t="s">
        <v>397</v>
      </c>
      <c r="F266" s="1" t="s">
        <v>530</v>
      </c>
      <c r="G266" s="1" t="s">
        <v>63</v>
      </c>
      <c r="H266" s="1" t="s">
        <v>76</v>
      </c>
      <c r="I266" s="1" t="str">
        <f t="shared" si="4"/>
        <v>d02</v>
      </c>
    </row>
    <row r="267" spans="1:9" x14ac:dyDescent="0.3">
      <c r="A267" s="1" t="s">
        <v>293</v>
      </c>
      <c r="B267" s="1" t="s">
        <v>373</v>
      </c>
      <c r="C267" s="1" t="s">
        <v>172</v>
      </c>
      <c r="D267" s="1" t="s">
        <v>326</v>
      </c>
      <c r="E267" s="1" t="s">
        <v>397</v>
      </c>
      <c r="F267" s="1" t="s">
        <v>682</v>
      </c>
      <c r="G267" s="1" t="s">
        <v>63</v>
      </c>
      <c r="H267" s="1" t="s">
        <v>76</v>
      </c>
      <c r="I267" s="1" t="str">
        <f t="shared" si="4"/>
        <v>d02</v>
      </c>
    </row>
    <row r="268" spans="1:9" x14ac:dyDescent="0.3">
      <c r="A268" s="1" t="s">
        <v>50</v>
      </c>
      <c r="B268" s="1" t="s">
        <v>165</v>
      </c>
      <c r="C268" s="1" t="s">
        <v>158</v>
      </c>
      <c r="D268" s="1" t="s">
        <v>320</v>
      </c>
      <c r="E268" s="1" t="s">
        <v>391</v>
      </c>
      <c r="F268" s="1" t="s">
        <v>595</v>
      </c>
      <c r="G268" s="1" t="s">
        <v>17</v>
      </c>
      <c r="H268" s="1" t="s">
        <v>65</v>
      </c>
      <c r="I268" s="1" t="str">
        <f t="shared" si="4"/>
        <v>d09</v>
      </c>
    </row>
    <row r="269" spans="1:9" x14ac:dyDescent="0.3">
      <c r="A269" s="1" t="s">
        <v>294</v>
      </c>
      <c r="B269" s="1" t="s">
        <v>185</v>
      </c>
      <c r="C269" s="1" t="s">
        <v>183</v>
      </c>
      <c r="D269" s="1" t="s">
        <v>352</v>
      </c>
      <c r="E269" s="1" t="s">
        <v>423</v>
      </c>
      <c r="F269" s="1" t="s">
        <v>536</v>
      </c>
      <c r="G269" s="1" t="s">
        <v>17</v>
      </c>
      <c r="H269" s="1" t="s">
        <v>81</v>
      </c>
      <c r="I269" s="1" t="str">
        <f t="shared" si="4"/>
        <v>d07</v>
      </c>
    </row>
    <row r="270" spans="1:9" x14ac:dyDescent="0.3">
      <c r="A270" s="1" t="s">
        <v>294</v>
      </c>
      <c r="B270" s="1" t="s">
        <v>185</v>
      </c>
      <c r="C270" s="1" t="s">
        <v>183</v>
      </c>
      <c r="D270" s="1" t="s">
        <v>352</v>
      </c>
      <c r="E270" s="1" t="s">
        <v>423</v>
      </c>
      <c r="F270" s="1" t="s">
        <v>539</v>
      </c>
      <c r="G270" s="1" t="s">
        <v>17</v>
      </c>
      <c r="H270" s="1" t="s">
        <v>81</v>
      </c>
      <c r="I270" s="1" t="str">
        <f t="shared" si="4"/>
        <v>d07</v>
      </c>
    </row>
    <row r="271" spans="1:9" x14ac:dyDescent="0.3">
      <c r="A271" s="1" t="s">
        <v>294</v>
      </c>
      <c r="B271" s="1" t="s">
        <v>185</v>
      </c>
      <c r="C271" s="1" t="s">
        <v>183</v>
      </c>
      <c r="D271" s="1" t="s">
        <v>352</v>
      </c>
      <c r="E271" s="1" t="s">
        <v>423</v>
      </c>
      <c r="F271" s="1" t="s">
        <v>683</v>
      </c>
      <c r="G271" s="1" t="s">
        <v>17</v>
      </c>
      <c r="H271" s="1" t="s">
        <v>81</v>
      </c>
      <c r="I271" s="1" t="str">
        <f t="shared" si="4"/>
        <v>d07</v>
      </c>
    </row>
    <row r="272" spans="1:9" x14ac:dyDescent="0.3">
      <c r="A272" s="1" t="s">
        <v>294</v>
      </c>
      <c r="B272" s="1" t="s">
        <v>185</v>
      </c>
      <c r="C272" s="1" t="s">
        <v>183</v>
      </c>
      <c r="D272" s="1" t="s">
        <v>352</v>
      </c>
      <c r="E272" s="1" t="s">
        <v>423</v>
      </c>
      <c r="F272" s="1" t="s">
        <v>684</v>
      </c>
      <c r="G272" s="1" t="s">
        <v>17</v>
      </c>
      <c r="H272" s="1" t="s">
        <v>65</v>
      </c>
      <c r="I272" s="1" t="str">
        <f t="shared" si="4"/>
        <v>d09</v>
      </c>
    </row>
    <row r="273" spans="1:9" x14ac:dyDescent="0.3">
      <c r="A273" s="1" t="s">
        <v>294</v>
      </c>
      <c r="B273" s="1" t="s">
        <v>185</v>
      </c>
      <c r="C273" s="1" t="s">
        <v>183</v>
      </c>
      <c r="D273" s="1" t="s">
        <v>352</v>
      </c>
      <c r="E273" s="1" t="s">
        <v>423</v>
      </c>
      <c r="F273" s="1" t="s">
        <v>586</v>
      </c>
      <c r="G273" s="1" t="s">
        <v>17</v>
      </c>
      <c r="H273" s="1" t="s">
        <v>65</v>
      </c>
      <c r="I273" s="1" t="str">
        <f t="shared" si="4"/>
        <v>d09</v>
      </c>
    </row>
    <row r="274" spans="1:9" x14ac:dyDescent="0.3">
      <c r="A274" s="1" t="s">
        <v>294</v>
      </c>
      <c r="B274" s="1" t="s">
        <v>185</v>
      </c>
      <c r="C274" s="1" t="s">
        <v>183</v>
      </c>
      <c r="D274" s="1" t="s">
        <v>352</v>
      </c>
      <c r="E274" s="1" t="s">
        <v>423</v>
      </c>
      <c r="F274" s="1" t="s">
        <v>67</v>
      </c>
      <c r="G274" s="1" t="s">
        <v>17</v>
      </c>
      <c r="H274" s="1" t="s">
        <v>67</v>
      </c>
      <c r="I274" s="1" t="str">
        <f t="shared" si="4"/>
        <v>d10</v>
      </c>
    </row>
    <row r="275" spans="1:9" x14ac:dyDescent="0.3">
      <c r="A275" s="1" t="s">
        <v>294</v>
      </c>
      <c r="B275" s="1" t="s">
        <v>185</v>
      </c>
      <c r="C275" s="1" t="s">
        <v>183</v>
      </c>
      <c r="D275" s="1" t="s">
        <v>352</v>
      </c>
      <c r="E275" s="1" t="s">
        <v>423</v>
      </c>
      <c r="F275" s="1" t="s">
        <v>685</v>
      </c>
      <c r="G275" s="1" t="s">
        <v>17</v>
      </c>
      <c r="H275" s="1" t="s">
        <v>67</v>
      </c>
      <c r="I275" s="1" t="str">
        <f t="shared" si="4"/>
        <v>d10</v>
      </c>
    </row>
    <row r="276" spans="1:9" x14ac:dyDescent="0.3">
      <c r="A276" s="1" t="s">
        <v>294</v>
      </c>
      <c r="B276" s="1" t="s">
        <v>185</v>
      </c>
      <c r="C276" s="1" t="s">
        <v>183</v>
      </c>
      <c r="D276" s="1" t="s">
        <v>352</v>
      </c>
      <c r="E276" s="1" t="s">
        <v>423</v>
      </c>
      <c r="F276" s="1" t="s">
        <v>591</v>
      </c>
      <c r="G276" s="1" t="s">
        <v>17</v>
      </c>
      <c r="H276" s="1" t="s">
        <v>72</v>
      </c>
      <c r="I276" s="1" t="str">
        <f t="shared" si="4"/>
        <v>d12</v>
      </c>
    </row>
    <row r="277" spans="1:9" x14ac:dyDescent="0.3">
      <c r="A277" s="1" t="s">
        <v>294</v>
      </c>
      <c r="B277" s="1" t="s">
        <v>185</v>
      </c>
      <c r="C277" s="1" t="s">
        <v>183</v>
      </c>
      <c r="D277" s="1" t="s">
        <v>352</v>
      </c>
      <c r="E277" s="1" t="s">
        <v>423</v>
      </c>
      <c r="F277" s="1" t="s">
        <v>531</v>
      </c>
      <c r="G277" s="1" t="s">
        <v>17</v>
      </c>
      <c r="H277" s="1" t="s">
        <v>72</v>
      </c>
      <c r="I277" s="1" t="str">
        <f t="shared" si="4"/>
        <v>d12</v>
      </c>
    </row>
    <row r="278" spans="1:9" x14ac:dyDescent="0.3">
      <c r="A278" s="1" t="s">
        <v>294</v>
      </c>
      <c r="B278" s="1" t="s">
        <v>185</v>
      </c>
      <c r="C278" s="1" t="s">
        <v>183</v>
      </c>
      <c r="D278" s="1" t="s">
        <v>352</v>
      </c>
      <c r="E278" s="1" t="s">
        <v>423</v>
      </c>
      <c r="F278" s="1" t="s">
        <v>547</v>
      </c>
      <c r="G278" s="1" t="s">
        <v>17</v>
      </c>
      <c r="H278" s="1" t="s">
        <v>18</v>
      </c>
      <c r="I278" s="1" t="str">
        <f t="shared" si="4"/>
        <v>d13</v>
      </c>
    </row>
    <row r="279" spans="1:9" x14ac:dyDescent="0.3">
      <c r="A279" s="1" t="s">
        <v>295</v>
      </c>
      <c r="B279" s="1" t="s">
        <v>154</v>
      </c>
      <c r="C279" s="1" t="s">
        <v>153</v>
      </c>
      <c r="D279" s="1" t="s">
        <v>362</v>
      </c>
      <c r="E279" s="1" t="s">
        <v>432</v>
      </c>
      <c r="F279" s="1" t="s">
        <v>611</v>
      </c>
      <c r="G279" s="1" t="s">
        <v>4</v>
      </c>
      <c r="H279" s="1" t="s">
        <v>77</v>
      </c>
      <c r="I279" s="1" t="str">
        <f t="shared" si="4"/>
        <v>d03</v>
      </c>
    </row>
    <row r="280" spans="1:9" x14ac:dyDescent="0.3">
      <c r="A280" s="1" t="s">
        <v>295</v>
      </c>
      <c r="B280" s="1" t="s">
        <v>154</v>
      </c>
      <c r="C280" s="1" t="s">
        <v>153</v>
      </c>
      <c r="D280" s="1" t="s">
        <v>362</v>
      </c>
      <c r="E280" s="1" t="s">
        <v>432</v>
      </c>
      <c r="F280" s="1" t="s">
        <v>656</v>
      </c>
      <c r="G280" s="1" t="s">
        <v>4</v>
      </c>
      <c r="H280" s="1" t="s">
        <v>77</v>
      </c>
      <c r="I280" s="1" t="str">
        <f t="shared" si="4"/>
        <v>d03</v>
      </c>
    </row>
    <row r="281" spans="1:9" x14ac:dyDescent="0.3">
      <c r="A281" s="1" t="s">
        <v>295</v>
      </c>
      <c r="B281" s="1" t="s">
        <v>154</v>
      </c>
      <c r="C281" s="1" t="s">
        <v>153</v>
      </c>
      <c r="D281" s="1" t="s">
        <v>362</v>
      </c>
      <c r="E281" s="1" t="s">
        <v>432</v>
      </c>
      <c r="F281" s="1" t="s">
        <v>678</v>
      </c>
      <c r="G281" s="1" t="s">
        <v>4</v>
      </c>
      <c r="H281" s="1" t="s">
        <v>77</v>
      </c>
      <c r="I281" s="1" t="str">
        <f t="shared" si="4"/>
        <v>d03</v>
      </c>
    </row>
    <row r="282" spans="1:9" x14ac:dyDescent="0.3">
      <c r="A282" s="1" t="s">
        <v>295</v>
      </c>
      <c r="B282" s="1" t="s">
        <v>154</v>
      </c>
      <c r="C282" s="1" t="s">
        <v>153</v>
      </c>
      <c r="D282" s="1" t="s">
        <v>362</v>
      </c>
      <c r="E282" s="1" t="s">
        <v>432</v>
      </c>
      <c r="F282" s="1" t="s">
        <v>613</v>
      </c>
      <c r="G282" s="1" t="s">
        <v>4</v>
      </c>
      <c r="H282" s="1" t="s">
        <v>77</v>
      </c>
      <c r="I282" s="1" t="str">
        <f t="shared" si="4"/>
        <v>d03</v>
      </c>
    </row>
    <row r="283" spans="1:9" x14ac:dyDescent="0.3">
      <c r="A283" s="1" t="s">
        <v>295</v>
      </c>
      <c r="B283" s="1" t="s">
        <v>154</v>
      </c>
      <c r="C283" s="1" t="s">
        <v>153</v>
      </c>
      <c r="D283" s="1" t="s">
        <v>362</v>
      </c>
      <c r="E283" s="1" t="s">
        <v>432</v>
      </c>
      <c r="F283" s="1" t="s">
        <v>614</v>
      </c>
      <c r="G283" s="1" t="s">
        <v>4</v>
      </c>
      <c r="H283" s="1" t="s">
        <v>77</v>
      </c>
      <c r="I283" s="1" t="str">
        <f t="shared" si="4"/>
        <v>d03</v>
      </c>
    </row>
    <row r="284" spans="1:9" x14ac:dyDescent="0.3">
      <c r="A284" s="1" t="s">
        <v>295</v>
      </c>
      <c r="B284" s="1" t="s">
        <v>154</v>
      </c>
      <c r="C284" s="1" t="s">
        <v>153</v>
      </c>
      <c r="D284" s="1" t="s">
        <v>362</v>
      </c>
      <c r="E284" s="1" t="s">
        <v>432</v>
      </c>
      <c r="F284" s="1" t="s">
        <v>582</v>
      </c>
      <c r="G284" s="1" t="s">
        <v>17</v>
      </c>
      <c r="H284" s="1" t="s">
        <v>81</v>
      </c>
      <c r="I284" s="1" t="str">
        <f t="shared" si="4"/>
        <v>d07</v>
      </c>
    </row>
    <row r="285" spans="1:9" x14ac:dyDescent="0.3">
      <c r="A285" s="1" t="s">
        <v>295</v>
      </c>
      <c r="B285" s="1" t="s">
        <v>154</v>
      </c>
      <c r="C285" s="1" t="s">
        <v>153</v>
      </c>
      <c r="D285" s="1" t="s">
        <v>362</v>
      </c>
      <c r="E285" s="1" t="s">
        <v>432</v>
      </c>
      <c r="F285" s="1" t="s">
        <v>626</v>
      </c>
      <c r="G285" s="1" t="s">
        <v>17</v>
      </c>
      <c r="H285" s="1" t="s">
        <v>81</v>
      </c>
      <c r="I285" s="1" t="str">
        <f t="shared" si="4"/>
        <v>d07</v>
      </c>
    </row>
    <row r="286" spans="1:9" x14ac:dyDescent="0.3">
      <c r="A286" s="1" t="s">
        <v>295</v>
      </c>
      <c r="B286" s="1" t="s">
        <v>154</v>
      </c>
      <c r="C286" s="1" t="s">
        <v>153</v>
      </c>
      <c r="D286" s="1" t="s">
        <v>362</v>
      </c>
      <c r="E286" s="1" t="s">
        <v>432</v>
      </c>
      <c r="F286" s="1" t="s">
        <v>536</v>
      </c>
      <c r="G286" s="1" t="s">
        <v>17</v>
      </c>
      <c r="H286" s="1" t="s">
        <v>81</v>
      </c>
      <c r="I286" s="1" t="str">
        <f t="shared" si="4"/>
        <v>d07</v>
      </c>
    </row>
    <row r="287" spans="1:9" x14ac:dyDescent="0.3">
      <c r="A287" s="1" t="s">
        <v>295</v>
      </c>
      <c r="B287" s="1" t="s">
        <v>154</v>
      </c>
      <c r="C287" s="1" t="s">
        <v>153</v>
      </c>
      <c r="D287" s="1" t="s">
        <v>362</v>
      </c>
      <c r="E287" s="1" t="s">
        <v>432</v>
      </c>
      <c r="F287" s="1" t="s">
        <v>539</v>
      </c>
      <c r="G287" s="1" t="s">
        <v>17</v>
      </c>
      <c r="H287" s="1" t="s">
        <v>81</v>
      </c>
      <c r="I287" s="1" t="str">
        <f t="shared" si="4"/>
        <v>d07</v>
      </c>
    </row>
    <row r="288" spans="1:9" x14ac:dyDescent="0.3">
      <c r="A288" s="1" t="s">
        <v>295</v>
      </c>
      <c r="B288" s="1" t="s">
        <v>154</v>
      </c>
      <c r="C288" s="1" t="s">
        <v>153</v>
      </c>
      <c r="D288" s="1" t="s">
        <v>362</v>
      </c>
      <c r="E288" s="1" t="s">
        <v>432</v>
      </c>
      <c r="F288" s="1" t="s">
        <v>528</v>
      </c>
      <c r="G288" s="1" t="s">
        <v>17</v>
      </c>
      <c r="H288" s="1" t="s">
        <v>67</v>
      </c>
      <c r="I288" s="1" t="str">
        <f t="shared" si="4"/>
        <v>d10</v>
      </c>
    </row>
    <row r="289" spans="1:9" x14ac:dyDescent="0.3">
      <c r="A289" s="1" t="s">
        <v>295</v>
      </c>
      <c r="B289" s="1" t="s">
        <v>154</v>
      </c>
      <c r="C289" s="1" t="s">
        <v>153</v>
      </c>
      <c r="D289" s="1" t="s">
        <v>362</v>
      </c>
      <c r="E289" s="1" t="s">
        <v>432</v>
      </c>
      <c r="F289" s="1" t="s">
        <v>529</v>
      </c>
      <c r="G289" s="1" t="s">
        <v>17</v>
      </c>
      <c r="H289" s="1" t="s">
        <v>18</v>
      </c>
      <c r="I289" s="1" t="str">
        <f t="shared" si="4"/>
        <v>d13</v>
      </c>
    </row>
    <row r="290" spans="1:9" x14ac:dyDescent="0.3">
      <c r="A290" s="1" t="s">
        <v>296</v>
      </c>
      <c r="B290" s="1" t="s">
        <v>155</v>
      </c>
      <c r="C290" s="1" t="s">
        <v>153</v>
      </c>
      <c r="D290" s="1" t="s">
        <v>366</v>
      </c>
      <c r="E290" s="1" t="s">
        <v>436</v>
      </c>
      <c r="F290" s="1" t="s">
        <v>597</v>
      </c>
      <c r="G290" s="1" t="s">
        <v>17</v>
      </c>
      <c r="H290" s="1" t="s">
        <v>67</v>
      </c>
      <c r="I290" s="1" t="str">
        <f t="shared" si="4"/>
        <v>d10</v>
      </c>
    </row>
    <row r="291" spans="1:9" x14ac:dyDescent="0.3">
      <c r="A291" s="1" t="s">
        <v>297</v>
      </c>
      <c r="B291" s="1" t="s">
        <v>150</v>
      </c>
      <c r="C291" s="1" t="s">
        <v>16</v>
      </c>
      <c r="D291" s="1" t="s">
        <v>359</v>
      </c>
      <c r="E291" s="1" t="s">
        <v>429</v>
      </c>
      <c r="F291" s="1" t="s">
        <v>686</v>
      </c>
      <c r="G291" s="1" t="s">
        <v>4</v>
      </c>
      <c r="H291" s="1" t="s">
        <v>86</v>
      </c>
      <c r="I291" s="1" t="str">
        <f t="shared" si="4"/>
        <v>d15</v>
      </c>
    </row>
    <row r="292" spans="1:9" x14ac:dyDescent="0.3">
      <c r="A292" s="1" t="s">
        <v>297</v>
      </c>
      <c r="B292" s="1" t="s">
        <v>150</v>
      </c>
      <c r="C292" s="1" t="s">
        <v>16</v>
      </c>
      <c r="D292" s="1" t="s">
        <v>359</v>
      </c>
      <c r="E292" s="1" t="s">
        <v>429</v>
      </c>
      <c r="F292" s="1" t="s">
        <v>599</v>
      </c>
      <c r="G292" s="1" t="s">
        <v>17</v>
      </c>
      <c r="H292" s="1" t="s">
        <v>3</v>
      </c>
      <c r="I292" s="1" t="str">
        <f t="shared" si="4"/>
        <v>d08</v>
      </c>
    </row>
    <row r="293" spans="1:9" x14ac:dyDescent="0.3">
      <c r="A293" s="1" t="s">
        <v>297</v>
      </c>
      <c r="B293" s="1" t="s">
        <v>150</v>
      </c>
      <c r="C293" s="1" t="s">
        <v>16</v>
      </c>
      <c r="D293" s="1" t="s">
        <v>359</v>
      </c>
      <c r="E293" s="1" t="s">
        <v>429</v>
      </c>
      <c r="F293" s="1" t="s">
        <v>687</v>
      </c>
      <c r="G293" s="1" t="s">
        <v>770</v>
      </c>
      <c r="H293" s="1" t="s">
        <v>86</v>
      </c>
      <c r="I293" s="1" t="str">
        <f t="shared" si="4"/>
        <v>d15</v>
      </c>
    </row>
    <row r="294" spans="1:9" x14ac:dyDescent="0.3">
      <c r="A294" s="1" t="s">
        <v>297</v>
      </c>
      <c r="B294" s="1" t="s">
        <v>150</v>
      </c>
      <c r="C294" s="1" t="s">
        <v>16</v>
      </c>
      <c r="D294" s="1" t="s">
        <v>359</v>
      </c>
      <c r="E294" s="1" t="s">
        <v>429</v>
      </c>
      <c r="F294" s="1" t="s">
        <v>688</v>
      </c>
      <c r="G294" s="1" t="s">
        <v>770</v>
      </c>
      <c r="H294" s="1" t="s">
        <v>86</v>
      </c>
      <c r="I294" s="1" t="str">
        <f t="shared" si="4"/>
        <v>d15</v>
      </c>
    </row>
    <row r="295" spans="1:9" x14ac:dyDescent="0.3">
      <c r="A295" s="1" t="s">
        <v>297</v>
      </c>
      <c r="B295" s="1" t="s">
        <v>150</v>
      </c>
      <c r="C295" s="1" t="s">
        <v>16</v>
      </c>
      <c r="D295" s="1" t="s">
        <v>359</v>
      </c>
      <c r="E295" s="1" t="s">
        <v>429</v>
      </c>
      <c r="F295" s="1" t="s">
        <v>689</v>
      </c>
      <c r="G295" s="1" t="s">
        <v>770</v>
      </c>
      <c r="H295" s="1" t="s">
        <v>86</v>
      </c>
      <c r="I295" s="1" t="str">
        <f t="shared" si="4"/>
        <v>d15</v>
      </c>
    </row>
    <row r="296" spans="1:9" x14ac:dyDescent="0.3">
      <c r="A296" s="1" t="s">
        <v>297</v>
      </c>
      <c r="B296" s="1" t="s">
        <v>150</v>
      </c>
      <c r="C296" s="1" t="s">
        <v>16</v>
      </c>
      <c r="D296" s="1" t="s">
        <v>359</v>
      </c>
      <c r="E296" s="1" t="s">
        <v>429</v>
      </c>
      <c r="F296" s="1" t="s">
        <v>690</v>
      </c>
      <c r="G296" s="1" t="s">
        <v>770</v>
      </c>
      <c r="H296" s="1" t="s">
        <v>86</v>
      </c>
      <c r="I296" s="1" t="str">
        <f t="shared" si="4"/>
        <v>d15</v>
      </c>
    </row>
    <row r="297" spans="1:9" x14ac:dyDescent="0.3">
      <c r="A297" s="1" t="s">
        <v>297</v>
      </c>
      <c r="B297" s="1" t="s">
        <v>150</v>
      </c>
      <c r="C297" s="1" t="s">
        <v>16</v>
      </c>
      <c r="D297" s="1" t="s">
        <v>359</v>
      </c>
      <c r="E297" s="1" t="s">
        <v>429</v>
      </c>
      <c r="F297" s="1" t="s">
        <v>691</v>
      </c>
      <c r="G297" s="1" t="s">
        <v>770</v>
      </c>
      <c r="H297" s="1" t="s">
        <v>86</v>
      </c>
      <c r="I297" s="1" t="str">
        <f t="shared" si="4"/>
        <v>d15</v>
      </c>
    </row>
    <row r="298" spans="1:9" x14ac:dyDescent="0.3">
      <c r="A298" s="1" t="s">
        <v>298</v>
      </c>
      <c r="B298" s="1" t="s">
        <v>173</v>
      </c>
      <c r="C298" s="1" t="s">
        <v>172</v>
      </c>
      <c r="D298" s="1" t="s">
        <v>325</v>
      </c>
      <c r="E298" s="1" t="s">
        <v>396</v>
      </c>
      <c r="F298" s="1" t="s">
        <v>610</v>
      </c>
      <c r="G298" s="1" t="s">
        <v>4</v>
      </c>
      <c r="H298" s="1" t="s">
        <v>77</v>
      </c>
      <c r="I298" s="1" t="str">
        <f t="shared" si="4"/>
        <v>d03</v>
      </c>
    </row>
    <row r="299" spans="1:9" x14ac:dyDescent="0.3">
      <c r="A299" s="1" t="s">
        <v>298</v>
      </c>
      <c r="B299" s="1" t="s">
        <v>173</v>
      </c>
      <c r="C299" s="1" t="s">
        <v>172</v>
      </c>
      <c r="D299" s="1" t="s">
        <v>325</v>
      </c>
      <c r="E299" s="1" t="s">
        <v>396</v>
      </c>
      <c r="F299" s="1" t="s">
        <v>614</v>
      </c>
      <c r="G299" s="1" t="s">
        <v>4</v>
      </c>
      <c r="H299" s="1" t="s">
        <v>77</v>
      </c>
      <c r="I299" s="1" t="str">
        <f t="shared" si="4"/>
        <v>d03</v>
      </c>
    </row>
    <row r="300" spans="1:9" x14ac:dyDescent="0.3">
      <c r="A300" s="1" t="s">
        <v>298</v>
      </c>
      <c r="B300" s="1" t="s">
        <v>173</v>
      </c>
      <c r="C300" s="1" t="s">
        <v>172</v>
      </c>
      <c r="D300" s="1" t="s">
        <v>325</v>
      </c>
      <c r="E300" s="1" t="s">
        <v>396</v>
      </c>
      <c r="F300" s="1" t="s">
        <v>692</v>
      </c>
      <c r="G300" s="1" t="s">
        <v>17</v>
      </c>
      <c r="H300" s="1" t="s">
        <v>56</v>
      </c>
      <c r="I300" s="1" t="str">
        <f t="shared" si="4"/>
        <v>d05</v>
      </c>
    </row>
    <row r="301" spans="1:9" x14ac:dyDescent="0.3">
      <c r="A301" s="1" t="s">
        <v>298</v>
      </c>
      <c r="B301" s="1" t="s">
        <v>173</v>
      </c>
      <c r="C301" s="1" t="s">
        <v>172</v>
      </c>
      <c r="D301" s="1" t="s">
        <v>325</v>
      </c>
      <c r="E301" s="1" t="s">
        <v>396</v>
      </c>
      <c r="F301" s="1" t="s">
        <v>693</v>
      </c>
      <c r="G301" s="1" t="s">
        <v>17</v>
      </c>
      <c r="H301" s="1" t="s">
        <v>56</v>
      </c>
      <c r="I301" s="1" t="str">
        <f t="shared" si="4"/>
        <v>d05</v>
      </c>
    </row>
    <row r="302" spans="1:9" x14ac:dyDescent="0.3">
      <c r="A302" s="1" t="s">
        <v>298</v>
      </c>
      <c r="B302" s="1" t="s">
        <v>173</v>
      </c>
      <c r="C302" s="1" t="s">
        <v>172</v>
      </c>
      <c r="D302" s="1" t="s">
        <v>325</v>
      </c>
      <c r="E302" s="1" t="s">
        <v>396</v>
      </c>
      <c r="F302" s="1" t="s">
        <v>539</v>
      </c>
      <c r="G302" s="1" t="s">
        <v>17</v>
      </c>
      <c r="H302" s="1" t="s">
        <v>81</v>
      </c>
      <c r="I302" s="1" t="str">
        <f t="shared" si="4"/>
        <v>d07</v>
      </c>
    </row>
    <row r="303" spans="1:9" x14ac:dyDescent="0.3">
      <c r="A303" s="1" t="s">
        <v>298</v>
      </c>
      <c r="B303" s="1" t="s">
        <v>173</v>
      </c>
      <c r="C303" s="1" t="s">
        <v>172</v>
      </c>
      <c r="D303" s="1" t="s">
        <v>325</v>
      </c>
      <c r="E303" s="1" t="s">
        <v>396</v>
      </c>
      <c r="F303" s="1" t="s">
        <v>615</v>
      </c>
      <c r="G303" s="1" t="s">
        <v>17</v>
      </c>
      <c r="H303" s="1" t="s">
        <v>86</v>
      </c>
      <c r="I303" s="1" t="str">
        <f t="shared" si="4"/>
        <v>d15</v>
      </c>
    </row>
    <row r="304" spans="1:9" x14ac:dyDescent="0.3">
      <c r="A304" s="1" t="s">
        <v>298</v>
      </c>
      <c r="B304" s="1" t="s">
        <v>173</v>
      </c>
      <c r="C304" s="1" t="s">
        <v>172</v>
      </c>
      <c r="D304" s="1" t="s">
        <v>325</v>
      </c>
      <c r="E304" s="1" t="s">
        <v>396</v>
      </c>
      <c r="F304" s="1" t="s">
        <v>616</v>
      </c>
      <c r="G304" s="1" t="s">
        <v>17</v>
      </c>
      <c r="H304" s="1" t="s">
        <v>86</v>
      </c>
      <c r="I304" s="1" t="str">
        <f t="shared" si="4"/>
        <v>d15</v>
      </c>
    </row>
    <row r="305" spans="1:9" x14ac:dyDescent="0.3">
      <c r="A305" s="1" t="s">
        <v>298</v>
      </c>
      <c r="B305" s="1" t="s">
        <v>173</v>
      </c>
      <c r="C305" s="1" t="s">
        <v>172</v>
      </c>
      <c r="D305" s="1" t="s">
        <v>325</v>
      </c>
      <c r="E305" s="1" t="s">
        <v>396</v>
      </c>
      <c r="F305" s="1" t="s">
        <v>541</v>
      </c>
      <c r="G305" s="1" t="s">
        <v>17</v>
      </c>
      <c r="H305" s="1" t="s">
        <v>65</v>
      </c>
      <c r="I305" s="1" t="str">
        <f t="shared" si="4"/>
        <v>d09</v>
      </c>
    </row>
    <row r="306" spans="1:9" x14ac:dyDescent="0.3">
      <c r="A306" s="1" t="s">
        <v>298</v>
      </c>
      <c r="B306" s="1" t="s">
        <v>173</v>
      </c>
      <c r="C306" s="1" t="s">
        <v>172</v>
      </c>
      <c r="D306" s="1" t="s">
        <v>325</v>
      </c>
      <c r="E306" s="1" t="s">
        <v>396</v>
      </c>
      <c r="F306" s="1" t="s">
        <v>679</v>
      </c>
      <c r="G306" s="1" t="s">
        <v>17</v>
      </c>
      <c r="H306" s="1" t="s">
        <v>65</v>
      </c>
      <c r="I306" s="1" t="str">
        <f t="shared" si="4"/>
        <v>d09</v>
      </c>
    </row>
    <row r="307" spans="1:9" x14ac:dyDescent="0.3">
      <c r="A307" s="1" t="s">
        <v>298</v>
      </c>
      <c r="B307" s="1" t="s">
        <v>173</v>
      </c>
      <c r="C307" s="1" t="s">
        <v>172</v>
      </c>
      <c r="D307" s="1" t="s">
        <v>325</v>
      </c>
      <c r="E307" s="1" t="s">
        <v>396</v>
      </c>
      <c r="F307" s="1" t="s">
        <v>633</v>
      </c>
      <c r="G307" s="1" t="s">
        <v>17</v>
      </c>
      <c r="H307" s="1" t="s">
        <v>65</v>
      </c>
      <c r="I307" s="1" t="str">
        <f t="shared" si="4"/>
        <v>d09</v>
      </c>
    </row>
    <row r="308" spans="1:9" x14ac:dyDescent="0.3">
      <c r="A308" s="1" t="s">
        <v>298</v>
      </c>
      <c r="B308" s="1" t="s">
        <v>173</v>
      </c>
      <c r="C308" s="1" t="s">
        <v>172</v>
      </c>
      <c r="D308" s="1" t="s">
        <v>325</v>
      </c>
      <c r="E308" s="1" t="s">
        <v>396</v>
      </c>
      <c r="F308" s="1" t="s">
        <v>528</v>
      </c>
      <c r="G308" s="1" t="s">
        <v>17</v>
      </c>
      <c r="H308" s="1" t="s">
        <v>67</v>
      </c>
      <c r="I308" s="1" t="str">
        <f t="shared" si="4"/>
        <v>d10</v>
      </c>
    </row>
    <row r="309" spans="1:9" x14ac:dyDescent="0.3">
      <c r="A309" s="1" t="s">
        <v>298</v>
      </c>
      <c r="B309" s="1" t="s">
        <v>173</v>
      </c>
      <c r="C309" s="1" t="s">
        <v>172</v>
      </c>
      <c r="D309" s="1" t="s">
        <v>325</v>
      </c>
      <c r="E309" s="1" t="s">
        <v>396</v>
      </c>
      <c r="F309" s="1" t="s">
        <v>694</v>
      </c>
      <c r="G309" s="1" t="s">
        <v>17</v>
      </c>
      <c r="H309" s="1" t="s">
        <v>19</v>
      </c>
      <c r="I309" s="1" t="str">
        <f t="shared" si="4"/>
        <v>d11</v>
      </c>
    </row>
    <row r="310" spans="1:9" x14ac:dyDescent="0.3">
      <c r="A310" s="1" t="s">
        <v>298</v>
      </c>
      <c r="B310" s="1" t="s">
        <v>173</v>
      </c>
      <c r="C310" s="1" t="s">
        <v>172</v>
      </c>
      <c r="D310" s="1" t="s">
        <v>325</v>
      </c>
      <c r="E310" s="1" t="s">
        <v>396</v>
      </c>
      <c r="F310" s="1" t="s">
        <v>545</v>
      </c>
      <c r="G310" s="1" t="s">
        <v>17</v>
      </c>
      <c r="H310" s="1" t="s">
        <v>19</v>
      </c>
      <c r="I310" s="1" t="str">
        <f t="shared" si="4"/>
        <v>d11</v>
      </c>
    </row>
    <row r="311" spans="1:9" x14ac:dyDescent="0.3">
      <c r="A311" s="1" t="s">
        <v>298</v>
      </c>
      <c r="B311" s="1" t="s">
        <v>173</v>
      </c>
      <c r="C311" s="1" t="s">
        <v>172</v>
      </c>
      <c r="D311" s="1" t="s">
        <v>325</v>
      </c>
      <c r="E311" s="1" t="s">
        <v>396</v>
      </c>
      <c r="F311" s="1" t="s">
        <v>695</v>
      </c>
      <c r="G311" s="1" t="s">
        <v>17</v>
      </c>
      <c r="H311" s="1" t="s">
        <v>19</v>
      </c>
      <c r="I311" s="1" t="str">
        <f t="shared" si="4"/>
        <v>d11</v>
      </c>
    </row>
    <row r="312" spans="1:9" x14ac:dyDescent="0.3">
      <c r="A312" s="1" t="s">
        <v>298</v>
      </c>
      <c r="B312" s="1" t="s">
        <v>173</v>
      </c>
      <c r="C312" s="1" t="s">
        <v>172</v>
      </c>
      <c r="D312" s="1" t="s">
        <v>325</v>
      </c>
      <c r="E312" s="1" t="s">
        <v>396</v>
      </c>
      <c r="F312" s="1" t="s">
        <v>696</v>
      </c>
      <c r="G312" s="1" t="s">
        <v>17</v>
      </c>
      <c r="H312" s="1" t="s">
        <v>19</v>
      </c>
      <c r="I312" s="1" t="str">
        <f t="shared" si="4"/>
        <v>d11</v>
      </c>
    </row>
    <row r="313" spans="1:9" x14ac:dyDescent="0.3">
      <c r="A313" s="1" t="s">
        <v>298</v>
      </c>
      <c r="B313" s="1" t="s">
        <v>173</v>
      </c>
      <c r="C313" s="1" t="s">
        <v>172</v>
      </c>
      <c r="D313" s="1" t="s">
        <v>325</v>
      </c>
      <c r="E313" s="1" t="s">
        <v>396</v>
      </c>
      <c r="F313" s="1" t="s">
        <v>697</v>
      </c>
      <c r="G313" s="1" t="s">
        <v>17</v>
      </c>
      <c r="H313" s="1" t="s">
        <v>19</v>
      </c>
      <c r="I313" s="1" t="str">
        <f t="shared" si="4"/>
        <v>d11</v>
      </c>
    </row>
    <row r="314" spans="1:9" x14ac:dyDescent="0.3">
      <c r="A314" s="1" t="s">
        <v>298</v>
      </c>
      <c r="B314" s="1" t="s">
        <v>173</v>
      </c>
      <c r="C314" s="1" t="s">
        <v>172</v>
      </c>
      <c r="D314" s="1" t="s">
        <v>325</v>
      </c>
      <c r="E314" s="1" t="s">
        <v>396</v>
      </c>
      <c r="F314" s="1" t="s">
        <v>698</v>
      </c>
      <c r="G314" s="1" t="s">
        <v>17</v>
      </c>
      <c r="H314" s="1" t="s">
        <v>19</v>
      </c>
      <c r="I314" s="1" t="str">
        <f t="shared" si="4"/>
        <v>d11</v>
      </c>
    </row>
    <row r="315" spans="1:9" x14ac:dyDescent="0.3">
      <c r="A315" s="1" t="s">
        <v>298</v>
      </c>
      <c r="B315" s="1" t="s">
        <v>173</v>
      </c>
      <c r="C315" s="1" t="s">
        <v>172</v>
      </c>
      <c r="D315" s="1" t="s">
        <v>325</v>
      </c>
      <c r="E315" s="1" t="s">
        <v>396</v>
      </c>
      <c r="F315" s="1" t="s">
        <v>699</v>
      </c>
      <c r="G315" s="1" t="s">
        <v>17</v>
      </c>
      <c r="H315" s="1" t="s">
        <v>19</v>
      </c>
      <c r="I315" s="1" t="str">
        <f t="shared" si="4"/>
        <v>d11</v>
      </c>
    </row>
    <row r="316" spans="1:9" x14ac:dyDescent="0.3">
      <c r="A316" s="1" t="s">
        <v>298</v>
      </c>
      <c r="B316" s="1" t="s">
        <v>173</v>
      </c>
      <c r="C316" s="1" t="s">
        <v>172</v>
      </c>
      <c r="D316" s="1" t="s">
        <v>325</v>
      </c>
      <c r="E316" s="1" t="s">
        <v>396</v>
      </c>
      <c r="F316" s="1" t="s">
        <v>700</v>
      </c>
      <c r="G316" s="1" t="s">
        <v>17</v>
      </c>
      <c r="H316" s="1" t="s">
        <v>19</v>
      </c>
      <c r="I316" s="1" t="str">
        <f t="shared" si="4"/>
        <v>d11</v>
      </c>
    </row>
    <row r="317" spans="1:9" x14ac:dyDescent="0.3">
      <c r="A317" s="1" t="s">
        <v>298</v>
      </c>
      <c r="B317" s="1" t="s">
        <v>173</v>
      </c>
      <c r="C317" s="1" t="s">
        <v>172</v>
      </c>
      <c r="D317" s="1" t="s">
        <v>325</v>
      </c>
      <c r="E317" s="1" t="s">
        <v>396</v>
      </c>
      <c r="F317" s="1" t="s">
        <v>701</v>
      </c>
      <c r="G317" s="1" t="s">
        <v>17</v>
      </c>
      <c r="H317" s="1" t="s">
        <v>19</v>
      </c>
      <c r="I317" s="1" t="str">
        <f t="shared" si="4"/>
        <v>d11</v>
      </c>
    </row>
    <row r="318" spans="1:9" x14ac:dyDescent="0.3">
      <c r="A318" s="1" t="s">
        <v>298</v>
      </c>
      <c r="B318" s="1" t="s">
        <v>173</v>
      </c>
      <c r="C318" s="1" t="s">
        <v>172</v>
      </c>
      <c r="D318" s="1" t="s">
        <v>325</v>
      </c>
      <c r="E318" s="1" t="s">
        <v>396</v>
      </c>
      <c r="F318" s="1" t="s">
        <v>702</v>
      </c>
      <c r="G318" s="1" t="s">
        <v>17</v>
      </c>
      <c r="H318" s="1" t="s">
        <v>19</v>
      </c>
      <c r="I318" s="1" t="str">
        <f t="shared" si="4"/>
        <v>d11</v>
      </c>
    </row>
    <row r="319" spans="1:9" x14ac:dyDescent="0.3">
      <c r="A319" s="1" t="s">
        <v>298</v>
      </c>
      <c r="B319" s="1" t="s">
        <v>173</v>
      </c>
      <c r="C319" s="1" t="s">
        <v>172</v>
      </c>
      <c r="D319" s="1" t="s">
        <v>325</v>
      </c>
      <c r="E319" s="1" t="s">
        <v>396</v>
      </c>
      <c r="F319" s="1" t="s">
        <v>546</v>
      </c>
      <c r="G319" s="1" t="s">
        <v>17</v>
      </c>
      <c r="H319" s="1" t="s">
        <v>19</v>
      </c>
      <c r="I319" s="1" t="str">
        <f t="shared" si="4"/>
        <v>d11</v>
      </c>
    </row>
    <row r="320" spans="1:9" x14ac:dyDescent="0.3">
      <c r="A320" s="1" t="s">
        <v>298</v>
      </c>
      <c r="B320" s="1" t="s">
        <v>173</v>
      </c>
      <c r="C320" s="1" t="s">
        <v>172</v>
      </c>
      <c r="D320" s="1" t="s">
        <v>325</v>
      </c>
      <c r="E320" s="1" t="s">
        <v>396</v>
      </c>
      <c r="F320" s="1" t="s">
        <v>617</v>
      </c>
      <c r="G320" s="1" t="s">
        <v>17</v>
      </c>
      <c r="H320" s="1" t="s">
        <v>19</v>
      </c>
      <c r="I320" s="1" t="str">
        <f t="shared" si="4"/>
        <v>d11</v>
      </c>
    </row>
    <row r="321" spans="1:9" x14ac:dyDescent="0.3">
      <c r="A321" s="1" t="s">
        <v>298</v>
      </c>
      <c r="B321" s="1" t="s">
        <v>173</v>
      </c>
      <c r="C321" s="1" t="s">
        <v>172</v>
      </c>
      <c r="D321" s="1" t="s">
        <v>325</v>
      </c>
      <c r="E321" s="1" t="s">
        <v>396</v>
      </c>
      <c r="F321" s="1" t="s">
        <v>703</v>
      </c>
      <c r="G321" s="1" t="s">
        <v>17</v>
      </c>
      <c r="H321" s="1" t="s">
        <v>19</v>
      </c>
      <c r="I321" s="1" t="str">
        <f t="shared" si="4"/>
        <v>d11</v>
      </c>
    </row>
    <row r="322" spans="1:9" x14ac:dyDescent="0.3">
      <c r="A322" s="1" t="s">
        <v>298</v>
      </c>
      <c r="B322" s="1" t="s">
        <v>173</v>
      </c>
      <c r="C322" s="1" t="s">
        <v>172</v>
      </c>
      <c r="D322" s="1" t="s">
        <v>325</v>
      </c>
      <c r="E322" s="1" t="s">
        <v>396</v>
      </c>
      <c r="F322" s="1" t="s">
        <v>547</v>
      </c>
      <c r="G322" s="1" t="s">
        <v>17</v>
      </c>
      <c r="H322" s="1" t="s">
        <v>18</v>
      </c>
      <c r="I322" s="1" t="str">
        <f t="shared" ref="I322:I385" si="5">VLOOKUP(H322,$M$2:$N$19,2,FALSE)</f>
        <v>d13</v>
      </c>
    </row>
    <row r="323" spans="1:9" x14ac:dyDescent="0.3">
      <c r="A323" s="1" t="s">
        <v>298</v>
      </c>
      <c r="B323" s="1" t="s">
        <v>173</v>
      </c>
      <c r="C323" s="1" t="s">
        <v>172</v>
      </c>
      <c r="D323" s="1" t="s">
        <v>325</v>
      </c>
      <c r="E323" s="1" t="s">
        <v>396</v>
      </c>
      <c r="F323" s="1" t="s">
        <v>548</v>
      </c>
      <c r="G323" s="1" t="s">
        <v>17</v>
      </c>
      <c r="H323" s="1" t="s">
        <v>18</v>
      </c>
      <c r="I323" s="1" t="str">
        <f t="shared" si="5"/>
        <v>d13</v>
      </c>
    </row>
    <row r="324" spans="1:9" x14ac:dyDescent="0.3">
      <c r="A324" s="1" t="s">
        <v>298</v>
      </c>
      <c r="B324" s="1" t="s">
        <v>173</v>
      </c>
      <c r="C324" s="1" t="s">
        <v>172</v>
      </c>
      <c r="D324" s="1" t="s">
        <v>325</v>
      </c>
      <c r="E324" s="1" t="s">
        <v>396</v>
      </c>
      <c r="F324" s="1" t="s">
        <v>603</v>
      </c>
      <c r="G324" s="1" t="s">
        <v>770</v>
      </c>
      <c r="H324" s="1" t="s">
        <v>61</v>
      </c>
      <c r="I324" s="1" t="str">
        <f t="shared" si="5"/>
        <v>d14</v>
      </c>
    </row>
    <row r="325" spans="1:9" x14ac:dyDescent="0.3">
      <c r="A325" s="1" t="s">
        <v>298</v>
      </c>
      <c r="B325" s="1" t="s">
        <v>173</v>
      </c>
      <c r="C325" s="1" t="s">
        <v>172</v>
      </c>
      <c r="D325" s="1" t="s">
        <v>325</v>
      </c>
      <c r="E325" s="1" t="s">
        <v>396</v>
      </c>
      <c r="F325" s="1" t="s">
        <v>604</v>
      </c>
      <c r="G325" s="1" t="s">
        <v>770</v>
      </c>
      <c r="H325" s="1" t="s">
        <v>61</v>
      </c>
      <c r="I325" s="1" t="str">
        <f t="shared" si="5"/>
        <v>d14</v>
      </c>
    </row>
    <row r="326" spans="1:9" x14ac:dyDescent="0.3">
      <c r="A326" s="1" t="s">
        <v>298</v>
      </c>
      <c r="B326" s="1" t="s">
        <v>173</v>
      </c>
      <c r="C326" s="1" t="s">
        <v>172</v>
      </c>
      <c r="D326" s="1" t="s">
        <v>325</v>
      </c>
      <c r="E326" s="1" t="s">
        <v>396</v>
      </c>
      <c r="F326" s="1" t="s">
        <v>704</v>
      </c>
      <c r="G326" s="1" t="s">
        <v>770</v>
      </c>
      <c r="H326" s="1" t="s">
        <v>86</v>
      </c>
      <c r="I326" s="1" t="str">
        <f t="shared" si="5"/>
        <v>d15</v>
      </c>
    </row>
    <row r="327" spans="1:9" x14ac:dyDescent="0.3">
      <c r="A327" s="1" t="s">
        <v>298</v>
      </c>
      <c r="B327" s="1" t="s">
        <v>173</v>
      </c>
      <c r="C327" s="1" t="s">
        <v>172</v>
      </c>
      <c r="D327" s="1" t="s">
        <v>325</v>
      </c>
      <c r="E327" s="1" t="s">
        <v>396</v>
      </c>
      <c r="F327" s="1" t="s">
        <v>705</v>
      </c>
      <c r="G327" s="1" t="s">
        <v>770</v>
      </c>
      <c r="H327" s="1" t="s">
        <v>84</v>
      </c>
      <c r="I327" s="1" t="str">
        <f t="shared" si="5"/>
        <v>d16</v>
      </c>
    </row>
    <row r="328" spans="1:9" x14ac:dyDescent="0.3">
      <c r="A328" s="1" t="s">
        <v>298</v>
      </c>
      <c r="B328" s="1" t="s">
        <v>173</v>
      </c>
      <c r="C328" s="1" t="s">
        <v>172</v>
      </c>
      <c r="D328" s="1" t="s">
        <v>325</v>
      </c>
      <c r="E328" s="1" t="s">
        <v>396</v>
      </c>
      <c r="F328" s="1" t="s">
        <v>706</v>
      </c>
      <c r="G328" s="1" t="s">
        <v>770</v>
      </c>
      <c r="H328" s="1" t="s">
        <v>84</v>
      </c>
      <c r="I328" s="1" t="str">
        <f t="shared" si="5"/>
        <v>d16</v>
      </c>
    </row>
    <row r="329" spans="1:9" x14ac:dyDescent="0.3">
      <c r="A329" s="1" t="s">
        <v>49</v>
      </c>
      <c r="B329" s="1" t="s">
        <v>167</v>
      </c>
      <c r="C329" s="1" t="s">
        <v>158</v>
      </c>
      <c r="D329" s="1" t="s">
        <v>319</v>
      </c>
      <c r="E329" s="1" t="s">
        <v>390</v>
      </c>
      <c r="F329" s="1" t="s">
        <v>604</v>
      </c>
      <c r="G329" s="1" t="s">
        <v>770</v>
      </c>
      <c r="H329" s="1" t="s">
        <v>61</v>
      </c>
      <c r="I329" s="1" t="str">
        <f t="shared" si="5"/>
        <v>d14</v>
      </c>
    </row>
    <row r="330" spans="1:9" x14ac:dyDescent="0.3">
      <c r="A330" s="1" t="s">
        <v>299</v>
      </c>
      <c r="B330" s="1" t="s">
        <v>185</v>
      </c>
      <c r="C330" s="1" t="s">
        <v>183</v>
      </c>
      <c r="D330" s="1" t="s">
        <v>355</v>
      </c>
      <c r="E330" s="1" t="s">
        <v>426</v>
      </c>
      <c r="F330" s="1" t="s">
        <v>707</v>
      </c>
      <c r="G330" s="1" t="s">
        <v>63</v>
      </c>
      <c r="H330" s="1" t="s">
        <v>75</v>
      </c>
      <c r="I330" s="1" t="str">
        <f t="shared" si="5"/>
        <v>d01</v>
      </c>
    </row>
    <row r="331" spans="1:9" x14ac:dyDescent="0.3">
      <c r="A331" s="1" t="s">
        <v>299</v>
      </c>
      <c r="B331" s="1" t="s">
        <v>185</v>
      </c>
      <c r="C331" s="1" t="s">
        <v>183</v>
      </c>
      <c r="D331" s="1" t="s">
        <v>355</v>
      </c>
      <c r="E331" s="1" t="s">
        <v>426</v>
      </c>
      <c r="F331" s="1" t="s">
        <v>557</v>
      </c>
      <c r="G331" s="1" t="s">
        <v>17</v>
      </c>
      <c r="H331" s="1" t="s">
        <v>80</v>
      </c>
      <c r="I331" s="1" t="str">
        <f t="shared" si="5"/>
        <v>d06</v>
      </c>
    </row>
    <row r="332" spans="1:9" x14ac:dyDescent="0.3">
      <c r="A332" s="1" t="s">
        <v>299</v>
      </c>
      <c r="B332" s="1" t="s">
        <v>185</v>
      </c>
      <c r="C332" s="1" t="s">
        <v>183</v>
      </c>
      <c r="D332" s="1" t="s">
        <v>355</v>
      </c>
      <c r="E332" s="1" t="s">
        <v>426</v>
      </c>
      <c r="F332" s="1" t="s">
        <v>708</v>
      </c>
      <c r="G332" s="1" t="s">
        <v>17</v>
      </c>
      <c r="H332" s="1" t="s">
        <v>80</v>
      </c>
      <c r="I332" s="1" t="str">
        <f t="shared" si="5"/>
        <v>d06</v>
      </c>
    </row>
    <row r="333" spans="1:9" x14ac:dyDescent="0.3">
      <c r="A333" s="1" t="s">
        <v>299</v>
      </c>
      <c r="B333" s="1" t="s">
        <v>185</v>
      </c>
      <c r="C333" s="1" t="s">
        <v>183</v>
      </c>
      <c r="D333" s="1" t="s">
        <v>355</v>
      </c>
      <c r="E333" s="1" t="s">
        <v>426</v>
      </c>
      <c r="F333" s="1" t="s">
        <v>586</v>
      </c>
      <c r="G333" s="1" t="s">
        <v>17</v>
      </c>
      <c r="H333" s="1" t="s">
        <v>65</v>
      </c>
      <c r="I333" s="1" t="str">
        <f t="shared" si="5"/>
        <v>d09</v>
      </c>
    </row>
    <row r="334" spans="1:9" x14ac:dyDescent="0.3">
      <c r="A334" s="1" t="s">
        <v>300</v>
      </c>
      <c r="B334" s="1" t="s">
        <v>374</v>
      </c>
      <c r="C334" s="1" t="s">
        <v>172</v>
      </c>
      <c r="D334" s="1" t="s">
        <v>330</v>
      </c>
      <c r="E334" s="1" t="s">
        <v>401</v>
      </c>
      <c r="F334" s="1" t="s">
        <v>709</v>
      </c>
      <c r="G334" s="1" t="s">
        <v>63</v>
      </c>
      <c r="H334" s="1" t="s">
        <v>76</v>
      </c>
      <c r="I334" s="1" t="str">
        <f t="shared" si="5"/>
        <v>d02</v>
      </c>
    </row>
    <row r="335" spans="1:9" x14ac:dyDescent="0.3">
      <c r="A335" s="1" t="s">
        <v>300</v>
      </c>
      <c r="B335" s="1" t="s">
        <v>374</v>
      </c>
      <c r="C335" s="1" t="s">
        <v>172</v>
      </c>
      <c r="D335" s="1" t="s">
        <v>330</v>
      </c>
      <c r="E335" s="1" t="s">
        <v>401</v>
      </c>
      <c r="F335" s="1" t="s">
        <v>710</v>
      </c>
      <c r="G335" s="1" t="s">
        <v>17</v>
      </c>
      <c r="H335" s="1" t="s">
        <v>80</v>
      </c>
      <c r="I335" s="1" t="str">
        <f t="shared" si="5"/>
        <v>d06</v>
      </c>
    </row>
    <row r="336" spans="1:9" x14ac:dyDescent="0.3">
      <c r="A336" s="1" t="s">
        <v>300</v>
      </c>
      <c r="B336" s="1" t="s">
        <v>374</v>
      </c>
      <c r="C336" s="1" t="s">
        <v>172</v>
      </c>
      <c r="D336" s="1" t="s">
        <v>330</v>
      </c>
      <c r="E336" s="1" t="s">
        <v>401</v>
      </c>
      <c r="F336" s="1" t="s">
        <v>528</v>
      </c>
      <c r="G336" s="1" t="s">
        <v>17</v>
      </c>
      <c r="H336" s="1" t="s">
        <v>67</v>
      </c>
      <c r="I336" s="1" t="str">
        <f t="shared" si="5"/>
        <v>d10</v>
      </c>
    </row>
    <row r="337" spans="1:9" x14ac:dyDescent="0.3">
      <c r="A337" s="1" t="s">
        <v>301</v>
      </c>
      <c r="B337" s="1" t="s">
        <v>149</v>
      </c>
      <c r="C337" s="1" t="s">
        <v>16</v>
      </c>
      <c r="D337" s="1" t="s">
        <v>358</v>
      </c>
      <c r="E337" s="1" t="s">
        <v>428</v>
      </c>
      <c r="F337" s="1" t="s">
        <v>711</v>
      </c>
      <c r="G337" s="1" t="s">
        <v>4</v>
      </c>
      <c r="H337" s="1" t="s">
        <v>77</v>
      </c>
      <c r="I337" s="1" t="str">
        <f t="shared" si="5"/>
        <v>d03</v>
      </c>
    </row>
    <row r="338" spans="1:9" x14ac:dyDescent="0.3">
      <c r="A338" s="1" t="s">
        <v>301</v>
      </c>
      <c r="B338" s="1" t="s">
        <v>149</v>
      </c>
      <c r="C338" s="1" t="s">
        <v>16</v>
      </c>
      <c r="D338" s="1" t="s">
        <v>358</v>
      </c>
      <c r="E338" s="1" t="s">
        <v>428</v>
      </c>
      <c r="F338" s="1" t="s">
        <v>607</v>
      </c>
      <c r="G338" s="1" t="s">
        <v>4</v>
      </c>
      <c r="H338" s="1" t="s">
        <v>77</v>
      </c>
      <c r="I338" s="1" t="str">
        <f t="shared" si="5"/>
        <v>d03</v>
      </c>
    </row>
    <row r="339" spans="1:9" x14ac:dyDescent="0.3">
      <c r="A339" s="1" t="s">
        <v>301</v>
      </c>
      <c r="B339" s="1" t="s">
        <v>149</v>
      </c>
      <c r="C339" s="1" t="s">
        <v>16</v>
      </c>
      <c r="D339" s="1" t="s">
        <v>358</v>
      </c>
      <c r="E339" s="1" t="s">
        <v>428</v>
      </c>
      <c r="F339" s="1" t="s">
        <v>712</v>
      </c>
      <c r="G339" s="1" t="s">
        <v>4</v>
      </c>
      <c r="H339" s="1" t="s">
        <v>77</v>
      </c>
      <c r="I339" s="1" t="str">
        <f t="shared" si="5"/>
        <v>d03</v>
      </c>
    </row>
    <row r="340" spans="1:9" x14ac:dyDescent="0.3">
      <c r="A340" s="1" t="s">
        <v>301</v>
      </c>
      <c r="B340" s="1" t="s">
        <v>149</v>
      </c>
      <c r="C340" s="1" t="s">
        <v>16</v>
      </c>
      <c r="D340" s="1" t="s">
        <v>358</v>
      </c>
      <c r="E340" s="1" t="s">
        <v>428</v>
      </c>
      <c r="F340" s="1" t="s">
        <v>713</v>
      </c>
      <c r="G340" s="1" t="s">
        <v>4</v>
      </c>
      <c r="H340" s="1" t="s">
        <v>77</v>
      </c>
      <c r="I340" s="1" t="str">
        <f t="shared" si="5"/>
        <v>d03</v>
      </c>
    </row>
    <row r="341" spans="1:9" x14ac:dyDescent="0.3">
      <c r="A341" s="1" t="s">
        <v>301</v>
      </c>
      <c r="B341" s="1" t="s">
        <v>149</v>
      </c>
      <c r="C341" s="1" t="s">
        <v>16</v>
      </c>
      <c r="D341" s="1" t="s">
        <v>358</v>
      </c>
      <c r="E341" s="1" t="s">
        <v>428</v>
      </c>
      <c r="F341" s="1" t="s">
        <v>714</v>
      </c>
      <c r="G341" s="1" t="s">
        <v>4</v>
      </c>
      <c r="H341" s="1" t="s">
        <v>77</v>
      </c>
      <c r="I341" s="1" t="str">
        <f t="shared" si="5"/>
        <v>d03</v>
      </c>
    </row>
    <row r="342" spans="1:9" x14ac:dyDescent="0.3">
      <c r="A342" s="1" t="s">
        <v>301</v>
      </c>
      <c r="B342" s="1" t="s">
        <v>149</v>
      </c>
      <c r="C342" s="1" t="s">
        <v>16</v>
      </c>
      <c r="D342" s="1" t="s">
        <v>358</v>
      </c>
      <c r="E342" s="1" t="s">
        <v>428</v>
      </c>
      <c r="F342" s="1" t="s">
        <v>673</v>
      </c>
      <c r="G342" s="1" t="s">
        <v>4</v>
      </c>
      <c r="H342" s="1" t="s">
        <v>77</v>
      </c>
      <c r="I342" s="1" t="str">
        <f t="shared" si="5"/>
        <v>d03</v>
      </c>
    </row>
    <row r="343" spans="1:9" x14ac:dyDescent="0.3">
      <c r="A343" s="1" t="s">
        <v>301</v>
      </c>
      <c r="B343" s="1" t="s">
        <v>149</v>
      </c>
      <c r="C343" s="1" t="s">
        <v>16</v>
      </c>
      <c r="D343" s="1" t="s">
        <v>358</v>
      </c>
      <c r="E343" s="1" t="s">
        <v>428</v>
      </c>
      <c r="F343" s="1" t="s">
        <v>715</v>
      </c>
      <c r="G343" s="1" t="s">
        <v>4</v>
      </c>
      <c r="H343" s="1" t="s">
        <v>77</v>
      </c>
      <c r="I343" s="1" t="str">
        <f t="shared" si="5"/>
        <v>d03</v>
      </c>
    </row>
    <row r="344" spans="1:9" x14ac:dyDescent="0.3">
      <c r="A344" s="1" t="s">
        <v>301</v>
      </c>
      <c r="B344" s="1" t="s">
        <v>149</v>
      </c>
      <c r="C344" s="1" t="s">
        <v>16</v>
      </c>
      <c r="D344" s="1" t="s">
        <v>358</v>
      </c>
      <c r="E344" s="1" t="s">
        <v>428</v>
      </c>
      <c r="F344" s="1" t="s">
        <v>610</v>
      </c>
      <c r="G344" s="1" t="s">
        <v>4</v>
      </c>
      <c r="H344" s="1" t="s">
        <v>77</v>
      </c>
      <c r="I344" s="1" t="str">
        <f t="shared" si="5"/>
        <v>d03</v>
      </c>
    </row>
    <row r="345" spans="1:9" x14ac:dyDescent="0.3">
      <c r="A345" s="1" t="s">
        <v>301</v>
      </c>
      <c r="B345" s="1" t="s">
        <v>149</v>
      </c>
      <c r="C345" s="1" t="s">
        <v>16</v>
      </c>
      <c r="D345" s="1" t="s">
        <v>358</v>
      </c>
      <c r="E345" s="1" t="s">
        <v>428</v>
      </c>
      <c r="F345" s="1" t="s">
        <v>611</v>
      </c>
      <c r="G345" s="1" t="s">
        <v>4</v>
      </c>
      <c r="H345" s="1" t="s">
        <v>77</v>
      </c>
      <c r="I345" s="1" t="str">
        <f t="shared" si="5"/>
        <v>d03</v>
      </c>
    </row>
    <row r="346" spans="1:9" x14ac:dyDescent="0.3">
      <c r="A346" s="1" t="s">
        <v>301</v>
      </c>
      <c r="B346" s="1" t="s">
        <v>149</v>
      </c>
      <c r="C346" s="1" t="s">
        <v>16</v>
      </c>
      <c r="D346" s="1" t="s">
        <v>358</v>
      </c>
      <c r="E346" s="1" t="s">
        <v>428</v>
      </c>
      <c r="F346" s="1" t="s">
        <v>716</v>
      </c>
      <c r="G346" s="1" t="s">
        <v>4</v>
      </c>
      <c r="H346" s="1" t="s">
        <v>77</v>
      </c>
      <c r="I346" s="1" t="str">
        <f t="shared" si="5"/>
        <v>d03</v>
      </c>
    </row>
    <row r="347" spans="1:9" x14ac:dyDescent="0.3">
      <c r="A347" s="1" t="s">
        <v>301</v>
      </c>
      <c r="B347" s="1" t="s">
        <v>149</v>
      </c>
      <c r="C347" s="1" t="s">
        <v>16</v>
      </c>
      <c r="D347" s="1" t="s">
        <v>358</v>
      </c>
      <c r="E347" s="1" t="s">
        <v>428</v>
      </c>
      <c r="F347" s="1" t="s">
        <v>717</v>
      </c>
      <c r="G347" s="1" t="s">
        <v>4</v>
      </c>
      <c r="H347" s="1" t="s">
        <v>77</v>
      </c>
      <c r="I347" s="1" t="str">
        <f t="shared" si="5"/>
        <v>d03</v>
      </c>
    </row>
    <row r="348" spans="1:9" x14ac:dyDescent="0.3">
      <c r="A348" s="1" t="s">
        <v>301</v>
      </c>
      <c r="B348" s="1" t="s">
        <v>149</v>
      </c>
      <c r="C348" s="1" t="s">
        <v>16</v>
      </c>
      <c r="D348" s="1" t="s">
        <v>358</v>
      </c>
      <c r="E348" s="1" t="s">
        <v>428</v>
      </c>
      <c r="F348" s="1" t="s">
        <v>718</v>
      </c>
      <c r="G348" s="1" t="s">
        <v>4</v>
      </c>
      <c r="H348" s="1" t="s">
        <v>77</v>
      </c>
      <c r="I348" s="1" t="str">
        <f t="shared" si="5"/>
        <v>d03</v>
      </c>
    </row>
    <row r="349" spans="1:9" x14ac:dyDescent="0.3">
      <c r="A349" s="1" t="s">
        <v>301</v>
      </c>
      <c r="B349" s="1" t="s">
        <v>149</v>
      </c>
      <c r="C349" s="1" t="s">
        <v>16</v>
      </c>
      <c r="D349" s="1" t="s">
        <v>358</v>
      </c>
      <c r="E349" s="1" t="s">
        <v>428</v>
      </c>
      <c r="F349" s="1" t="s">
        <v>719</v>
      </c>
      <c r="G349" s="1" t="s">
        <v>4</v>
      </c>
      <c r="H349" s="1" t="s">
        <v>77</v>
      </c>
      <c r="I349" s="1" t="str">
        <f t="shared" si="5"/>
        <v>d03</v>
      </c>
    </row>
    <row r="350" spans="1:9" x14ac:dyDescent="0.3">
      <c r="A350" s="1" t="s">
        <v>301</v>
      </c>
      <c r="B350" s="1" t="s">
        <v>149</v>
      </c>
      <c r="C350" s="1" t="s">
        <v>16</v>
      </c>
      <c r="D350" s="1" t="s">
        <v>358</v>
      </c>
      <c r="E350" s="1" t="s">
        <v>428</v>
      </c>
      <c r="F350" s="1" t="s">
        <v>675</v>
      </c>
      <c r="G350" s="1" t="s">
        <v>4</v>
      </c>
      <c r="H350" s="1" t="s">
        <v>77</v>
      </c>
      <c r="I350" s="1" t="str">
        <f t="shared" si="5"/>
        <v>d03</v>
      </c>
    </row>
    <row r="351" spans="1:9" x14ac:dyDescent="0.3">
      <c r="A351" s="1" t="s">
        <v>301</v>
      </c>
      <c r="B351" s="1" t="s">
        <v>149</v>
      </c>
      <c r="C351" s="1" t="s">
        <v>16</v>
      </c>
      <c r="D351" s="1" t="s">
        <v>358</v>
      </c>
      <c r="E351" s="1" t="s">
        <v>428</v>
      </c>
      <c r="F351" s="1" t="s">
        <v>720</v>
      </c>
      <c r="G351" s="1" t="s">
        <v>4</v>
      </c>
      <c r="H351" s="1" t="s">
        <v>77</v>
      </c>
      <c r="I351" s="1" t="str">
        <f t="shared" si="5"/>
        <v>d03</v>
      </c>
    </row>
    <row r="352" spans="1:9" x14ac:dyDescent="0.3">
      <c r="A352" s="1" t="s">
        <v>301</v>
      </c>
      <c r="B352" s="1" t="s">
        <v>149</v>
      </c>
      <c r="C352" s="1" t="s">
        <v>16</v>
      </c>
      <c r="D352" s="1" t="s">
        <v>358</v>
      </c>
      <c r="E352" s="1" t="s">
        <v>428</v>
      </c>
      <c r="F352" s="1" t="s">
        <v>656</v>
      </c>
      <c r="G352" s="1" t="s">
        <v>4</v>
      </c>
      <c r="H352" s="1" t="s">
        <v>77</v>
      </c>
      <c r="I352" s="1" t="str">
        <f t="shared" si="5"/>
        <v>d03</v>
      </c>
    </row>
    <row r="353" spans="1:9" x14ac:dyDescent="0.3">
      <c r="A353" s="1" t="s">
        <v>301</v>
      </c>
      <c r="B353" s="1" t="s">
        <v>149</v>
      </c>
      <c r="C353" s="1" t="s">
        <v>16</v>
      </c>
      <c r="D353" s="1" t="s">
        <v>358</v>
      </c>
      <c r="E353" s="1" t="s">
        <v>428</v>
      </c>
      <c r="F353" s="1" t="s">
        <v>677</v>
      </c>
      <c r="G353" s="1" t="s">
        <v>4</v>
      </c>
      <c r="H353" s="1" t="s">
        <v>77</v>
      </c>
      <c r="I353" s="1" t="str">
        <f t="shared" si="5"/>
        <v>d03</v>
      </c>
    </row>
    <row r="354" spans="1:9" x14ac:dyDescent="0.3">
      <c r="A354" s="1" t="s">
        <v>301</v>
      </c>
      <c r="B354" s="1" t="s">
        <v>149</v>
      </c>
      <c r="C354" s="1" t="s">
        <v>16</v>
      </c>
      <c r="D354" s="1" t="s">
        <v>358</v>
      </c>
      <c r="E354" s="1" t="s">
        <v>428</v>
      </c>
      <c r="F354" s="1" t="s">
        <v>721</v>
      </c>
      <c r="G354" s="1" t="s">
        <v>4</v>
      </c>
      <c r="H354" s="1" t="s">
        <v>77</v>
      </c>
      <c r="I354" s="1" t="str">
        <f t="shared" si="5"/>
        <v>d03</v>
      </c>
    </row>
    <row r="355" spans="1:9" x14ac:dyDescent="0.3">
      <c r="A355" s="1" t="s">
        <v>301</v>
      </c>
      <c r="B355" s="1" t="s">
        <v>149</v>
      </c>
      <c r="C355" s="1" t="s">
        <v>16</v>
      </c>
      <c r="D355" s="1" t="s">
        <v>358</v>
      </c>
      <c r="E355" s="1" t="s">
        <v>428</v>
      </c>
      <c r="F355" s="1" t="s">
        <v>722</v>
      </c>
      <c r="G355" s="1" t="s">
        <v>4</v>
      </c>
      <c r="H355" s="1" t="s">
        <v>77</v>
      </c>
      <c r="I355" s="1" t="str">
        <f t="shared" si="5"/>
        <v>d03</v>
      </c>
    </row>
    <row r="356" spans="1:9" x14ac:dyDescent="0.3">
      <c r="A356" s="1" t="s">
        <v>301</v>
      </c>
      <c r="B356" s="1" t="s">
        <v>149</v>
      </c>
      <c r="C356" s="1" t="s">
        <v>16</v>
      </c>
      <c r="D356" s="1" t="s">
        <v>358</v>
      </c>
      <c r="E356" s="1" t="s">
        <v>428</v>
      </c>
      <c r="F356" s="1" t="s">
        <v>678</v>
      </c>
      <c r="G356" s="1" t="s">
        <v>4</v>
      </c>
      <c r="H356" s="1" t="s">
        <v>77</v>
      </c>
      <c r="I356" s="1" t="str">
        <f t="shared" si="5"/>
        <v>d03</v>
      </c>
    </row>
    <row r="357" spans="1:9" x14ac:dyDescent="0.3">
      <c r="A357" s="1" t="s">
        <v>301</v>
      </c>
      <c r="B357" s="1" t="s">
        <v>149</v>
      </c>
      <c r="C357" s="1" t="s">
        <v>16</v>
      </c>
      <c r="D357" s="1" t="s">
        <v>358</v>
      </c>
      <c r="E357" s="1" t="s">
        <v>428</v>
      </c>
      <c r="F357" s="1" t="s">
        <v>665</v>
      </c>
      <c r="G357" s="1" t="s">
        <v>4</v>
      </c>
      <c r="H357" s="1" t="s">
        <v>77</v>
      </c>
      <c r="I357" s="1" t="str">
        <f t="shared" si="5"/>
        <v>d03</v>
      </c>
    </row>
    <row r="358" spans="1:9" x14ac:dyDescent="0.3">
      <c r="A358" s="1" t="s">
        <v>301</v>
      </c>
      <c r="B358" s="1" t="s">
        <v>149</v>
      </c>
      <c r="C358" s="1" t="s">
        <v>16</v>
      </c>
      <c r="D358" s="1" t="s">
        <v>358</v>
      </c>
      <c r="E358" s="1" t="s">
        <v>428</v>
      </c>
      <c r="F358" s="1" t="s">
        <v>723</v>
      </c>
      <c r="G358" s="1" t="s">
        <v>4</v>
      </c>
      <c r="H358" s="1" t="s">
        <v>77</v>
      </c>
      <c r="I358" s="1" t="str">
        <f t="shared" si="5"/>
        <v>d03</v>
      </c>
    </row>
    <row r="359" spans="1:9" x14ac:dyDescent="0.3">
      <c r="A359" s="1" t="s">
        <v>301</v>
      </c>
      <c r="B359" s="1" t="s">
        <v>149</v>
      </c>
      <c r="C359" s="1" t="s">
        <v>16</v>
      </c>
      <c r="D359" s="1" t="s">
        <v>358</v>
      </c>
      <c r="E359" s="1" t="s">
        <v>428</v>
      </c>
      <c r="F359" s="1" t="s">
        <v>724</v>
      </c>
      <c r="G359" s="1" t="s">
        <v>4</v>
      </c>
      <c r="H359" s="1" t="s">
        <v>77</v>
      </c>
      <c r="I359" s="1" t="str">
        <f t="shared" si="5"/>
        <v>d03</v>
      </c>
    </row>
    <row r="360" spans="1:9" x14ac:dyDescent="0.3">
      <c r="A360" s="1" t="s">
        <v>301</v>
      </c>
      <c r="B360" s="1" t="s">
        <v>149</v>
      </c>
      <c r="C360" s="1" t="s">
        <v>16</v>
      </c>
      <c r="D360" s="1" t="s">
        <v>358</v>
      </c>
      <c r="E360" s="1" t="s">
        <v>428</v>
      </c>
      <c r="F360" s="1" t="s">
        <v>613</v>
      </c>
      <c r="G360" s="1" t="s">
        <v>4</v>
      </c>
      <c r="H360" s="1" t="s">
        <v>77</v>
      </c>
      <c r="I360" s="1" t="str">
        <f t="shared" si="5"/>
        <v>d03</v>
      </c>
    </row>
    <row r="361" spans="1:9" x14ac:dyDescent="0.3">
      <c r="A361" s="1" t="s">
        <v>301</v>
      </c>
      <c r="B361" s="1" t="s">
        <v>149</v>
      </c>
      <c r="C361" s="1" t="s">
        <v>16</v>
      </c>
      <c r="D361" s="1" t="s">
        <v>358</v>
      </c>
      <c r="E361" s="1" t="s">
        <v>428</v>
      </c>
      <c r="F361" s="1" t="s">
        <v>614</v>
      </c>
      <c r="G361" s="1" t="s">
        <v>4</v>
      </c>
      <c r="H361" s="1" t="s">
        <v>77</v>
      </c>
      <c r="I361" s="1" t="str">
        <f t="shared" si="5"/>
        <v>d03</v>
      </c>
    </row>
    <row r="362" spans="1:9" x14ac:dyDescent="0.3">
      <c r="A362" s="1" t="s">
        <v>301</v>
      </c>
      <c r="B362" s="1" t="s">
        <v>149</v>
      </c>
      <c r="C362" s="1" t="s">
        <v>16</v>
      </c>
      <c r="D362" s="1" t="s">
        <v>358</v>
      </c>
      <c r="E362" s="1" t="s">
        <v>428</v>
      </c>
      <c r="F362" s="1" t="s">
        <v>541</v>
      </c>
      <c r="G362" s="1" t="s">
        <v>17</v>
      </c>
      <c r="H362" s="1" t="s">
        <v>65</v>
      </c>
      <c r="I362" s="1" t="str">
        <f t="shared" si="5"/>
        <v>d09</v>
      </c>
    </row>
    <row r="363" spans="1:9" x14ac:dyDescent="0.3">
      <c r="A363" s="1" t="s">
        <v>301</v>
      </c>
      <c r="B363" s="1" t="s">
        <v>149</v>
      </c>
      <c r="C363" s="1" t="s">
        <v>16</v>
      </c>
      <c r="D363" s="1" t="s">
        <v>358</v>
      </c>
      <c r="E363" s="1" t="s">
        <v>428</v>
      </c>
      <c r="F363" s="1" t="s">
        <v>542</v>
      </c>
      <c r="G363" s="1" t="s">
        <v>17</v>
      </c>
      <c r="H363" s="1" t="s">
        <v>65</v>
      </c>
      <c r="I363" s="1" t="str">
        <f t="shared" si="5"/>
        <v>d09</v>
      </c>
    </row>
    <row r="364" spans="1:9" x14ac:dyDescent="0.3">
      <c r="A364" s="1" t="s">
        <v>301</v>
      </c>
      <c r="B364" s="1" t="s">
        <v>149</v>
      </c>
      <c r="C364" s="1" t="s">
        <v>16</v>
      </c>
      <c r="D364" s="1" t="s">
        <v>358</v>
      </c>
      <c r="E364" s="1" t="s">
        <v>428</v>
      </c>
      <c r="F364" s="1" t="s">
        <v>528</v>
      </c>
      <c r="G364" s="1" t="s">
        <v>17</v>
      </c>
      <c r="H364" s="1" t="s">
        <v>67</v>
      </c>
      <c r="I364" s="1" t="str">
        <f t="shared" si="5"/>
        <v>d10</v>
      </c>
    </row>
    <row r="365" spans="1:9" x14ac:dyDescent="0.3">
      <c r="A365" s="1" t="s">
        <v>301</v>
      </c>
      <c r="B365" s="1" t="s">
        <v>149</v>
      </c>
      <c r="C365" s="1" t="s">
        <v>16</v>
      </c>
      <c r="D365" s="1" t="s">
        <v>358</v>
      </c>
      <c r="E365" s="1" t="s">
        <v>428</v>
      </c>
      <c r="F365" s="1" t="s">
        <v>537</v>
      </c>
      <c r="G365" s="1" t="s">
        <v>17</v>
      </c>
      <c r="H365" s="1" t="s">
        <v>72</v>
      </c>
      <c r="I365" s="1" t="str">
        <f t="shared" si="5"/>
        <v>d12</v>
      </c>
    </row>
    <row r="366" spans="1:9" x14ac:dyDescent="0.3">
      <c r="A366" s="1" t="s">
        <v>301</v>
      </c>
      <c r="B366" s="1" t="s">
        <v>149</v>
      </c>
      <c r="C366" s="1" t="s">
        <v>16</v>
      </c>
      <c r="D366" s="1" t="s">
        <v>358</v>
      </c>
      <c r="E366" s="1" t="s">
        <v>428</v>
      </c>
      <c r="F366" s="1" t="s">
        <v>671</v>
      </c>
      <c r="G366" s="1" t="s">
        <v>17</v>
      </c>
      <c r="H366" s="1" t="s">
        <v>18</v>
      </c>
      <c r="I366" s="1" t="str">
        <f t="shared" si="5"/>
        <v>d13</v>
      </c>
    </row>
    <row r="367" spans="1:9" x14ac:dyDescent="0.3">
      <c r="A367" s="1" t="s">
        <v>301</v>
      </c>
      <c r="B367" s="1" t="s">
        <v>149</v>
      </c>
      <c r="C367" s="1" t="s">
        <v>16</v>
      </c>
      <c r="D367" s="1" t="s">
        <v>358</v>
      </c>
      <c r="E367" s="1" t="s">
        <v>428</v>
      </c>
      <c r="F367" s="1" t="s">
        <v>529</v>
      </c>
      <c r="G367" s="1" t="s">
        <v>17</v>
      </c>
      <c r="H367" s="1" t="s">
        <v>18</v>
      </c>
      <c r="I367" s="1" t="str">
        <f t="shared" si="5"/>
        <v>d13</v>
      </c>
    </row>
    <row r="368" spans="1:9" x14ac:dyDescent="0.3">
      <c r="A368" s="1" t="s">
        <v>302</v>
      </c>
      <c r="B368" s="1" t="s">
        <v>186</v>
      </c>
      <c r="C368" s="1" t="s">
        <v>186</v>
      </c>
      <c r="D368" s="1" t="s">
        <v>357</v>
      </c>
      <c r="E368" s="1" t="s">
        <v>522</v>
      </c>
      <c r="F368" s="1" t="s">
        <v>609</v>
      </c>
      <c r="G368" s="1" t="s">
        <v>4</v>
      </c>
      <c r="H368" s="1" t="s">
        <v>77</v>
      </c>
      <c r="I368" s="1" t="str">
        <f t="shared" si="5"/>
        <v>d03</v>
      </c>
    </row>
    <row r="369" spans="1:9" x14ac:dyDescent="0.3">
      <c r="A369" s="1" t="s">
        <v>302</v>
      </c>
      <c r="B369" s="1" t="s">
        <v>186</v>
      </c>
      <c r="C369" s="1" t="s">
        <v>186</v>
      </c>
      <c r="D369" s="1" t="s">
        <v>357</v>
      </c>
      <c r="E369" s="1" t="s">
        <v>522</v>
      </c>
      <c r="F369" s="1" t="s">
        <v>611</v>
      </c>
      <c r="G369" s="1" t="s">
        <v>4</v>
      </c>
      <c r="H369" s="1" t="s">
        <v>77</v>
      </c>
      <c r="I369" s="1" t="str">
        <f t="shared" si="5"/>
        <v>d03</v>
      </c>
    </row>
    <row r="370" spans="1:9" x14ac:dyDescent="0.3">
      <c r="A370" s="1" t="s">
        <v>302</v>
      </c>
      <c r="B370" s="1" t="s">
        <v>186</v>
      </c>
      <c r="C370" s="1" t="s">
        <v>186</v>
      </c>
      <c r="D370" s="1" t="s">
        <v>357</v>
      </c>
      <c r="E370" s="1" t="s">
        <v>522</v>
      </c>
      <c r="F370" s="1" t="s">
        <v>725</v>
      </c>
      <c r="G370" s="1" t="s">
        <v>4</v>
      </c>
      <c r="H370" s="1" t="s">
        <v>77</v>
      </c>
      <c r="I370" s="1" t="str">
        <f t="shared" si="5"/>
        <v>d03</v>
      </c>
    </row>
    <row r="371" spans="1:9" x14ac:dyDescent="0.3">
      <c r="A371" s="1" t="s">
        <v>302</v>
      </c>
      <c r="B371" s="1" t="s">
        <v>186</v>
      </c>
      <c r="C371" s="1" t="s">
        <v>186</v>
      </c>
      <c r="D371" s="1" t="s">
        <v>357</v>
      </c>
      <c r="E371" s="1" t="s">
        <v>523</v>
      </c>
      <c r="F371" s="1" t="s">
        <v>67</v>
      </c>
      <c r="G371" s="1" t="s">
        <v>17</v>
      </c>
      <c r="H371" s="1" t="s">
        <v>67</v>
      </c>
      <c r="I371" s="1" t="str">
        <f t="shared" si="5"/>
        <v>d10</v>
      </c>
    </row>
    <row r="372" spans="1:9" x14ac:dyDescent="0.3">
      <c r="A372" s="1" t="s">
        <v>302</v>
      </c>
      <c r="B372" s="1" t="s">
        <v>186</v>
      </c>
      <c r="C372" s="1" t="s">
        <v>186</v>
      </c>
      <c r="D372" s="1" t="s">
        <v>357</v>
      </c>
      <c r="E372" s="1" t="s">
        <v>522</v>
      </c>
      <c r="F372" s="1" t="s">
        <v>726</v>
      </c>
      <c r="G372" s="1" t="s">
        <v>17</v>
      </c>
      <c r="H372" s="1" t="s">
        <v>19</v>
      </c>
      <c r="I372" s="1" t="str">
        <f t="shared" si="5"/>
        <v>d11</v>
      </c>
    </row>
    <row r="373" spans="1:9" x14ac:dyDescent="0.3">
      <c r="A373" s="1" t="s">
        <v>302</v>
      </c>
      <c r="B373" s="1" t="s">
        <v>186</v>
      </c>
      <c r="C373" s="1" t="s">
        <v>186</v>
      </c>
      <c r="D373" s="1" t="s">
        <v>357</v>
      </c>
      <c r="E373" s="1" t="s">
        <v>522</v>
      </c>
      <c r="F373" s="1" t="s">
        <v>546</v>
      </c>
      <c r="G373" s="1" t="s">
        <v>17</v>
      </c>
      <c r="H373" s="1" t="s">
        <v>19</v>
      </c>
      <c r="I373" s="1" t="str">
        <f t="shared" si="5"/>
        <v>d11</v>
      </c>
    </row>
    <row r="374" spans="1:9" x14ac:dyDescent="0.3">
      <c r="A374" s="1" t="s">
        <v>302</v>
      </c>
      <c r="B374" s="1" t="s">
        <v>186</v>
      </c>
      <c r="C374" s="1" t="s">
        <v>186</v>
      </c>
      <c r="D374" s="1" t="s">
        <v>357</v>
      </c>
      <c r="E374" s="1" t="s">
        <v>524</v>
      </c>
      <c r="F374" s="1" t="s">
        <v>547</v>
      </c>
      <c r="G374" s="1" t="s">
        <v>17</v>
      </c>
      <c r="H374" s="1" t="s">
        <v>18</v>
      </c>
      <c r="I374" s="1" t="str">
        <f t="shared" si="5"/>
        <v>d13</v>
      </c>
    </row>
    <row r="375" spans="1:9" x14ac:dyDescent="0.3">
      <c r="A375" s="1" t="s">
        <v>302</v>
      </c>
      <c r="B375" s="1" t="s">
        <v>186</v>
      </c>
      <c r="C375" s="1" t="s">
        <v>186</v>
      </c>
      <c r="D375" s="1" t="s">
        <v>357</v>
      </c>
      <c r="E375" s="1" t="s">
        <v>524</v>
      </c>
      <c r="F375" s="1" t="s">
        <v>548</v>
      </c>
      <c r="G375" s="1" t="s">
        <v>17</v>
      </c>
      <c r="H375" s="1" t="s">
        <v>18</v>
      </c>
      <c r="I375" s="1" t="str">
        <f t="shared" si="5"/>
        <v>d13</v>
      </c>
    </row>
    <row r="376" spans="1:9" x14ac:dyDescent="0.3">
      <c r="A376" s="1" t="s">
        <v>302</v>
      </c>
      <c r="B376" s="1" t="s">
        <v>186</v>
      </c>
      <c r="C376" s="1" t="s">
        <v>186</v>
      </c>
      <c r="D376" s="1" t="s">
        <v>357</v>
      </c>
      <c r="E376" s="1" t="s">
        <v>522</v>
      </c>
      <c r="F376" s="1" t="s">
        <v>727</v>
      </c>
      <c r="G376" s="1" t="s">
        <v>770</v>
      </c>
      <c r="H376" s="1" t="s">
        <v>19</v>
      </c>
      <c r="I376" s="1" t="str">
        <f t="shared" si="5"/>
        <v>d11</v>
      </c>
    </row>
    <row r="377" spans="1:9" x14ac:dyDescent="0.3">
      <c r="A377" s="1" t="s">
        <v>302</v>
      </c>
      <c r="B377" s="1" t="s">
        <v>186</v>
      </c>
      <c r="C377" s="1" t="s">
        <v>186</v>
      </c>
      <c r="D377" s="1" t="s">
        <v>357</v>
      </c>
      <c r="E377" s="1" t="s">
        <v>522</v>
      </c>
      <c r="F377" s="1" t="s">
        <v>604</v>
      </c>
      <c r="G377" s="1" t="s">
        <v>770</v>
      </c>
      <c r="H377" s="1" t="s">
        <v>61</v>
      </c>
      <c r="I377" s="1" t="str">
        <f t="shared" si="5"/>
        <v>d14</v>
      </c>
    </row>
    <row r="378" spans="1:9" x14ac:dyDescent="0.3">
      <c r="A378" s="1" t="s">
        <v>303</v>
      </c>
      <c r="B378" s="1" t="s">
        <v>374</v>
      </c>
      <c r="C378" s="1" t="s">
        <v>172</v>
      </c>
      <c r="D378" s="1" t="s">
        <v>331</v>
      </c>
      <c r="E378" s="1" t="s">
        <v>402</v>
      </c>
      <c r="F378" s="1" t="s">
        <v>540</v>
      </c>
      <c r="G378" s="1" t="s">
        <v>17</v>
      </c>
      <c r="H378" s="1" t="s">
        <v>81</v>
      </c>
      <c r="I378" s="1" t="str">
        <f t="shared" si="5"/>
        <v>d07</v>
      </c>
    </row>
    <row r="379" spans="1:9" x14ac:dyDescent="0.3">
      <c r="A379" s="1" t="s">
        <v>303</v>
      </c>
      <c r="B379" s="1" t="s">
        <v>374</v>
      </c>
      <c r="C379" s="1" t="s">
        <v>172</v>
      </c>
      <c r="D379" s="1" t="s">
        <v>331</v>
      </c>
      <c r="E379" s="1" t="s">
        <v>402</v>
      </c>
      <c r="F379" s="1" t="s">
        <v>599</v>
      </c>
      <c r="G379" s="1" t="s">
        <v>17</v>
      </c>
      <c r="H379" s="1" t="s">
        <v>3</v>
      </c>
      <c r="I379" s="1" t="str">
        <f t="shared" si="5"/>
        <v>d08</v>
      </c>
    </row>
    <row r="380" spans="1:9" x14ac:dyDescent="0.3">
      <c r="A380" s="1" t="s">
        <v>303</v>
      </c>
      <c r="B380" s="1" t="s">
        <v>374</v>
      </c>
      <c r="C380" s="1" t="s">
        <v>172</v>
      </c>
      <c r="D380" s="1" t="s">
        <v>331</v>
      </c>
      <c r="E380" s="1" t="s">
        <v>402</v>
      </c>
      <c r="F380" s="1" t="s">
        <v>617</v>
      </c>
      <c r="G380" s="1" t="s">
        <v>17</v>
      </c>
      <c r="H380" s="1" t="s">
        <v>19</v>
      </c>
      <c r="I380" s="1" t="str">
        <f t="shared" si="5"/>
        <v>d11</v>
      </c>
    </row>
    <row r="381" spans="1:9" x14ac:dyDescent="0.3">
      <c r="A381" s="1" t="s">
        <v>303</v>
      </c>
      <c r="B381" s="1" t="s">
        <v>374</v>
      </c>
      <c r="C381" s="1" t="s">
        <v>172</v>
      </c>
      <c r="D381" s="1" t="s">
        <v>331</v>
      </c>
      <c r="E381" s="1" t="s">
        <v>402</v>
      </c>
      <c r="F381" s="1" t="s">
        <v>547</v>
      </c>
      <c r="G381" s="1" t="s">
        <v>17</v>
      </c>
      <c r="H381" s="1" t="s">
        <v>18</v>
      </c>
      <c r="I381" s="1" t="str">
        <f t="shared" si="5"/>
        <v>d13</v>
      </c>
    </row>
    <row r="382" spans="1:9" x14ac:dyDescent="0.3">
      <c r="A382" s="1" t="s">
        <v>304</v>
      </c>
      <c r="B382" s="1" t="s">
        <v>375</v>
      </c>
      <c r="C382" s="1" t="s">
        <v>375</v>
      </c>
      <c r="D382" s="1" t="s">
        <v>340</v>
      </c>
      <c r="E382" s="1" t="s">
        <v>411</v>
      </c>
      <c r="F382" s="1" t="s">
        <v>728</v>
      </c>
      <c r="G382" s="1" t="s">
        <v>4</v>
      </c>
      <c r="H382" s="1" t="s">
        <v>77</v>
      </c>
      <c r="I382" s="1" t="str">
        <f t="shared" si="5"/>
        <v>d03</v>
      </c>
    </row>
    <row r="383" spans="1:9" x14ac:dyDescent="0.3">
      <c r="A383" s="1" t="s">
        <v>304</v>
      </c>
      <c r="B383" s="1" t="s">
        <v>375</v>
      </c>
      <c r="C383" s="1" t="s">
        <v>375</v>
      </c>
      <c r="D383" s="1" t="s">
        <v>340</v>
      </c>
      <c r="E383" s="1" t="s">
        <v>411</v>
      </c>
      <c r="F383" s="1" t="s">
        <v>729</v>
      </c>
      <c r="G383" s="1" t="s">
        <v>4</v>
      </c>
      <c r="H383" s="1" t="s">
        <v>77</v>
      </c>
      <c r="I383" s="1" t="str">
        <f t="shared" si="5"/>
        <v>d03</v>
      </c>
    </row>
    <row r="384" spans="1:9" x14ac:dyDescent="0.3">
      <c r="A384" s="1" t="s">
        <v>304</v>
      </c>
      <c r="B384" s="1" t="s">
        <v>375</v>
      </c>
      <c r="C384" s="1" t="s">
        <v>375</v>
      </c>
      <c r="D384" s="1" t="s">
        <v>340</v>
      </c>
      <c r="E384" s="1" t="s">
        <v>411</v>
      </c>
      <c r="F384" s="1" t="s">
        <v>730</v>
      </c>
      <c r="G384" s="1" t="s">
        <v>4</v>
      </c>
      <c r="H384" s="1" t="s">
        <v>77</v>
      </c>
      <c r="I384" s="1" t="str">
        <f t="shared" si="5"/>
        <v>d03</v>
      </c>
    </row>
    <row r="385" spans="1:9" x14ac:dyDescent="0.3">
      <c r="A385" s="1" t="s">
        <v>304</v>
      </c>
      <c r="B385" s="1" t="s">
        <v>375</v>
      </c>
      <c r="C385" s="1" t="s">
        <v>375</v>
      </c>
      <c r="D385" s="1" t="s">
        <v>340</v>
      </c>
      <c r="E385" s="1" t="s">
        <v>411</v>
      </c>
      <c r="F385" s="1" t="s">
        <v>731</v>
      </c>
      <c r="G385" s="1" t="s">
        <v>4</v>
      </c>
      <c r="H385" s="1" t="s">
        <v>77</v>
      </c>
      <c r="I385" s="1" t="str">
        <f t="shared" si="5"/>
        <v>d03</v>
      </c>
    </row>
    <row r="386" spans="1:9" x14ac:dyDescent="0.3">
      <c r="A386" s="1" t="s">
        <v>304</v>
      </c>
      <c r="B386" s="1" t="s">
        <v>375</v>
      </c>
      <c r="C386" s="1" t="s">
        <v>375</v>
      </c>
      <c r="D386" s="1" t="s">
        <v>340</v>
      </c>
      <c r="E386" s="1" t="s">
        <v>411</v>
      </c>
      <c r="F386" s="1" t="s">
        <v>732</v>
      </c>
      <c r="G386" s="1" t="s">
        <v>4</v>
      </c>
      <c r="H386" s="1" t="s">
        <v>77</v>
      </c>
      <c r="I386" s="1" t="str">
        <f t="shared" ref="I386:I449" si="6">VLOOKUP(H386,$M$2:$N$19,2,FALSE)</f>
        <v>d03</v>
      </c>
    </row>
    <row r="387" spans="1:9" x14ac:dyDescent="0.3">
      <c r="A387" s="1" t="s">
        <v>304</v>
      </c>
      <c r="B387" s="1" t="s">
        <v>375</v>
      </c>
      <c r="C387" s="1" t="s">
        <v>375</v>
      </c>
      <c r="D387" s="1" t="s">
        <v>340</v>
      </c>
      <c r="E387" s="1" t="s">
        <v>411</v>
      </c>
      <c r="F387" s="1" t="s">
        <v>733</v>
      </c>
      <c r="G387" s="1" t="s">
        <v>4</v>
      </c>
      <c r="H387" s="1" t="s">
        <v>77</v>
      </c>
      <c r="I387" s="1" t="str">
        <f t="shared" si="6"/>
        <v>d03</v>
      </c>
    </row>
    <row r="388" spans="1:9" x14ac:dyDescent="0.3">
      <c r="A388" s="1" t="s">
        <v>304</v>
      </c>
      <c r="B388" s="1" t="s">
        <v>375</v>
      </c>
      <c r="C388" s="1" t="s">
        <v>375</v>
      </c>
      <c r="D388" s="1" t="s">
        <v>340</v>
      </c>
      <c r="E388" s="1" t="s">
        <v>411</v>
      </c>
      <c r="F388" s="1" t="s">
        <v>734</v>
      </c>
      <c r="G388" s="1" t="s">
        <v>4</v>
      </c>
      <c r="H388" s="1" t="s">
        <v>77</v>
      </c>
      <c r="I388" s="1" t="str">
        <f t="shared" si="6"/>
        <v>d03</v>
      </c>
    </row>
    <row r="389" spans="1:9" x14ac:dyDescent="0.3">
      <c r="A389" s="1" t="s">
        <v>304</v>
      </c>
      <c r="B389" s="1" t="s">
        <v>375</v>
      </c>
      <c r="C389" s="1" t="s">
        <v>375</v>
      </c>
      <c r="D389" s="1" t="s">
        <v>340</v>
      </c>
      <c r="E389" s="1" t="s">
        <v>411</v>
      </c>
      <c r="F389" s="1" t="s">
        <v>735</v>
      </c>
      <c r="G389" s="1" t="s">
        <v>4</v>
      </c>
      <c r="H389" s="1" t="s">
        <v>77</v>
      </c>
      <c r="I389" s="1" t="str">
        <f t="shared" si="6"/>
        <v>d03</v>
      </c>
    </row>
    <row r="390" spans="1:9" x14ac:dyDescent="0.3">
      <c r="A390" s="1" t="s">
        <v>304</v>
      </c>
      <c r="B390" s="1" t="s">
        <v>375</v>
      </c>
      <c r="C390" s="1" t="s">
        <v>375</v>
      </c>
      <c r="D390" s="1" t="s">
        <v>340</v>
      </c>
      <c r="E390" s="1" t="s">
        <v>411</v>
      </c>
      <c r="F390" s="1" t="s">
        <v>736</v>
      </c>
      <c r="G390" s="1" t="s">
        <v>4</v>
      </c>
      <c r="H390" s="1" t="s">
        <v>77</v>
      </c>
      <c r="I390" s="1" t="str">
        <f t="shared" si="6"/>
        <v>d03</v>
      </c>
    </row>
    <row r="391" spans="1:9" x14ac:dyDescent="0.3">
      <c r="A391" s="1" t="s">
        <v>304</v>
      </c>
      <c r="B391" s="1" t="s">
        <v>375</v>
      </c>
      <c r="C391" s="1" t="s">
        <v>375</v>
      </c>
      <c r="D391" s="1" t="s">
        <v>340</v>
      </c>
      <c r="E391" s="1" t="s">
        <v>411</v>
      </c>
      <c r="F391" s="1" t="s">
        <v>737</v>
      </c>
      <c r="G391" s="1" t="s">
        <v>4</v>
      </c>
      <c r="H391" s="1" t="s">
        <v>77</v>
      </c>
      <c r="I391" s="1" t="str">
        <f t="shared" si="6"/>
        <v>d03</v>
      </c>
    </row>
    <row r="392" spans="1:9" x14ac:dyDescent="0.3">
      <c r="A392" s="1" t="s">
        <v>304</v>
      </c>
      <c r="B392" s="1" t="s">
        <v>375</v>
      </c>
      <c r="C392" s="1" t="s">
        <v>375</v>
      </c>
      <c r="D392" s="1" t="s">
        <v>340</v>
      </c>
      <c r="E392" s="1" t="s">
        <v>411</v>
      </c>
      <c r="F392" s="1" t="s">
        <v>738</v>
      </c>
      <c r="G392" s="1" t="s">
        <v>4</v>
      </c>
      <c r="H392" s="1" t="s">
        <v>77</v>
      </c>
      <c r="I392" s="1" t="str">
        <f t="shared" si="6"/>
        <v>d03</v>
      </c>
    </row>
    <row r="393" spans="1:9" x14ac:dyDescent="0.3">
      <c r="A393" s="1" t="s">
        <v>304</v>
      </c>
      <c r="B393" s="1" t="s">
        <v>375</v>
      </c>
      <c r="C393" s="1" t="s">
        <v>375</v>
      </c>
      <c r="D393" s="1" t="s">
        <v>340</v>
      </c>
      <c r="E393" s="1" t="s">
        <v>411</v>
      </c>
      <c r="F393" s="1" t="s">
        <v>739</v>
      </c>
      <c r="G393" s="1" t="s">
        <v>4</v>
      </c>
      <c r="H393" s="1" t="s">
        <v>77</v>
      </c>
      <c r="I393" s="1" t="str">
        <f t="shared" si="6"/>
        <v>d03</v>
      </c>
    </row>
    <row r="394" spans="1:9" x14ac:dyDescent="0.3">
      <c r="A394" s="1" t="s">
        <v>304</v>
      </c>
      <c r="B394" s="1" t="s">
        <v>375</v>
      </c>
      <c r="C394" s="1" t="s">
        <v>375</v>
      </c>
      <c r="D394" s="1" t="s">
        <v>340</v>
      </c>
      <c r="E394" s="1" t="s">
        <v>411</v>
      </c>
      <c r="F394" s="1" t="s">
        <v>740</v>
      </c>
      <c r="G394" s="1" t="s">
        <v>4</v>
      </c>
      <c r="H394" s="1" t="s">
        <v>77</v>
      </c>
      <c r="I394" s="1" t="str">
        <f t="shared" si="6"/>
        <v>d03</v>
      </c>
    </row>
    <row r="395" spans="1:9" x14ac:dyDescent="0.3">
      <c r="A395" s="1" t="s">
        <v>304</v>
      </c>
      <c r="B395" s="1" t="s">
        <v>375</v>
      </c>
      <c r="C395" s="1" t="s">
        <v>375</v>
      </c>
      <c r="D395" s="1" t="s">
        <v>340</v>
      </c>
      <c r="E395" s="1" t="s">
        <v>411</v>
      </c>
      <c r="F395" s="1" t="s">
        <v>741</v>
      </c>
      <c r="G395" s="1" t="s">
        <v>4</v>
      </c>
      <c r="H395" s="1" t="s">
        <v>77</v>
      </c>
      <c r="I395" s="1" t="str">
        <f t="shared" si="6"/>
        <v>d03</v>
      </c>
    </row>
    <row r="396" spans="1:9" x14ac:dyDescent="0.3">
      <c r="A396" s="1" t="s">
        <v>304</v>
      </c>
      <c r="B396" s="1" t="s">
        <v>375</v>
      </c>
      <c r="C396" s="1" t="s">
        <v>375</v>
      </c>
      <c r="D396" s="1" t="s">
        <v>340</v>
      </c>
      <c r="E396" s="1" t="s">
        <v>411</v>
      </c>
      <c r="F396" s="1" t="s">
        <v>742</v>
      </c>
      <c r="G396" s="1" t="s">
        <v>4</v>
      </c>
      <c r="H396" s="1" t="s">
        <v>77</v>
      </c>
      <c r="I396" s="1" t="str">
        <f t="shared" si="6"/>
        <v>d03</v>
      </c>
    </row>
    <row r="397" spans="1:9" x14ac:dyDescent="0.3">
      <c r="A397" s="1" t="s">
        <v>304</v>
      </c>
      <c r="B397" s="1" t="s">
        <v>375</v>
      </c>
      <c r="C397" s="1" t="s">
        <v>375</v>
      </c>
      <c r="D397" s="1" t="s">
        <v>340</v>
      </c>
      <c r="E397" s="1" t="s">
        <v>411</v>
      </c>
      <c r="F397" s="1" t="s">
        <v>743</v>
      </c>
      <c r="G397" s="1" t="s">
        <v>4</v>
      </c>
      <c r="H397" s="1" t="s">
        <v>77</v>
      </c>
      <c r="I397" s="1" t="str">
        <f t="shared" si="6"/>
        <v>d03</v>
      </c>
    </row>
    <row r="398" spans="1:9" x14ac:dyDescent="0.3">
      <c r="A398" s="1" t="s">
        <v>304</v>
      </c>
      <c r="B398" s="1" t="s">
        <v>375</v>
      </c>
      <c r="C398" s="1" t="s">
        <v>375</v>
      </c>
      <c r="D398" s="1" t="s">
        <v>340</v>
      </c>
      <c r="E398" s="1" t="s">
        <v>411</v>
      </c>
      <c r="F398" s="1" t="s">
        <v>647</v>
      </c>
      <c r="G398" s="1" t="s">
        <v>4</v>
      </c>
      <c r="H398" s="1" t="s">
        <v>77</v>
      </c>
      <c r="I398" s="1" t="str">
        <f t="shared" si="6"/>
        <v>d03</v>
      </c>
    </row>
    <row r="399" spans="1:9" x14ac:dyDescent="0.3">
      <c r="A399" s="1" t="s">
        <v>304</v>
      </c>
      <c r="B399" s="1" t="s">
        <v>375</v>
      </c>
      <c r="C399" s="1" t="s">
        <v>375</v>
      </c>
      <c r="D399" s="1" t="s">
        <v>340</v>
      </c>
      <c r="E399" s="1" t="s">
        <v>411</v>
      </c>
      <c r="F399" s="1" t="s">
        <v>744</v>
      </c>
      <c r="G399" s="1" t="s">
        <v>4</v>
      </c>
      <c r="H399" s="1" t="s">
        <v>77</v>
      </c>
      <c r="I399" s="1" t="str">
        <f t="shared" si="6"/>
        <v>d03</v>
      </c>
    </row>
    <row r="400" spans="1:9" x14ac:dyDescent="0.3">
      <c r="A400" s="1" t="s">
        <v>304</v>
      </c>
      <c r="B400" s="1" t="s">
        <v>375</v>
      </c>
      <c r="C400" s="1" t="s">
        <v>375</v>
      </c>
      <c r="D400" s="1" t="s">
        <v>340</v>
      </c>
      <c r="E400" s="1" t="s">
        <v>411</v>
      </c>
      <c r="F400" s="1" t="s">
        <v>745</v>
      </c>
      <c r="G400" s="1" t="s">
        <v>4</v>
      </c>
      <c r="H400" s="1" t="s">
        <v>77</v>
      </c>
      <c r="I400" s="1" t="str">
        <f t="shared" si="6"/>
        <v>d03</v>
      </c>
    </row>
    <row r="401" spans="1:9" x14ac:dyDescent="0.3">
      <c r="A401" s="1" t="s">
        <v>304</v>
      </c>
      <c r="B401" s="1" t="s">
        <v>375</v>
      </c>
      <c r="C401" s="1" t="s">
        <v>375</v>
      </c>
      <c r="D401" s="1" t="s">
        <v>340</v>
      </c>
      <c r="E401" s="1" t="s">
        <v>411</v>
      </c>
      <c r="F401" s="1" t="s">
        <v>746</v>
      </c>
      <c r="G401" s="1" t="s">
        <v>4</v>
      </c>
      <c r="H401" s="1" t="s">
        <v>77</v>
      </c>
      <c r="I401" s="1" t="str">
        <f t="shared" si="6"/>
        <v>d03</v>
      </c>
    </row>
    <row r="402" spans="1:9" x14ac:dyDescent="0.3">
      <c r="A402" s="1" t="s">
        <v>304</v>
      </c>
      <c r="B402" s="1" t="s">
        <v>375</v>
      </c>
      <c r="C402" s="1" t="s">
        <v>375</v>
      </c>
      <c r="D402" s="1" t="s">
        <v>340</v>
      </c>
      <c r="E402" s="1" t="s">
        <v>411</v>
      </c>
      <c r="F402" s="1" t="s">
        <v>747</v>
      </c>
      <c r="G402" s="1" t="s">
        <v>4</v>
      </c>
      <c r="H402" s="1" t="s">
        <v>77</v>
      </c>
      <c r="I402" s="1" t="str">
        <f t="shared" si="6"/>
        <v>d03</v>
      </c>
    </row>
    <row r="403" spans="1:9" x14ac:dyDescent="0.3">
      <c r="A403" s="1" t="s">
        <v>304</v>
      </c>
      <c r="B403" s="1" t="s">
        <v>375</v>
      </c>
      <c r="C403" s="1" t="s">
        <v>375</v>
      </c>
      <c r="D403" s="1" t="s">
        <v>340</v>
      </c>
      <c r="E403" s="1" t="s">
        <v>411</v>
      </c>
      <c r="F403" s="1" t="s">
        <v>748</v>
      </c>
      <c r="G403" s="1" t="s">
        <v>4</v>
      </c>
      <c r="H403" s="1" t="s">
        <v>77</v>
      </c>
      <c r="I403" s="1" t="str">
        <f t="shared" si="6"/>
        <v>d03</v>
      </c>
    </row>
    <row r="404" spans="1:9" x14ac:dyDescent="0.3">
      <c r="A404" s="1" t="s">
        <v>304</v>
      </c>
      <c r="B404" s="1" t="s">
        <v>375</v>
      </c>
      <c r="C404" s="1" t="s">
        <v>375</v>
      </c>
      <c r="D404" s="1" t="s">
        <v>340</v>
      </c>
      <c r="E404" s="1" t="s">
        <v>411</v>
      </c>
      <c r="F404" s="1" t="s">
        <v>749</v>
      </c>
      <c r="G404" s="1" t="s">
        <v>4</v>
      </c>
      <c r="H404" s="1" t="s">
        <v>77</v>
      </c>
      <c r="I404" s="1" t="str">
        <f t="shared" si="6"/>
        <v>d03</v>
      </c>
    </row>
    <row r="405" spans="1:9" x14ac:dyDescent="0.3">
      <c r="A405" s="1" t="s">
        <v>304</v>
      </c>
      <c r="B405" s="1" t="s">
        <v>375</v>
      </c>
      <c r="C405" s="1" t="s">
        <v>375</v>
      </c>
      <c r="D405" s="1" t="s">
        <v>340</v>
      </c>
      <c r="E405" s="1" t="s">
        <v>411</v>
      </c>
      <c r="F405" s="1" t="s">
        <v>750</v>
      </c>
      <c r="G405" s="1" t="s">
        <v>4</v>
      </c>
      <c r="H405" s="1" t="s">
        <v>77</v>
      </c>
      <c r="I405" s="1" t="str">
        <f t="shared" si="6"/>
        <v>d03</v>
      </c>
    </row>
    <row r="406" spans="1:9" x14ac:dyDescent="0.3">
      <c r="A406" s="1" t="s">
        <v>304</v>
      </c>
      <c r="B406" s="1" t="s">
        <v>375</v>
      </c>
      <c r="C406" s="1" t="s">
        <v>375</v>
      </c>
      <c r="D406" s="1" t="s">
        <v>340</v>
      </c>
      <c r="E406" s="1" t="s">
        <v>411</v>
      </c>
      <c r="F406" s="1" t="s">
        <v>751</v>
      </c>
      <c r="G406" s="1" t="s">
        <v>4</v>
      </c>
      <c r="H406" s="1" t="s">
        <v>77</v>
      </c>
      <c r="I406" s="1" t="str">
        <f t="shared" si="6"/>
        <v>d03</v>
      </c>
    </row>
    <row r="407" spans="1:9" x14ac:dyDescent="0.3">
      <c r="A407" s="1" t="s">
        <v>304</v>
      </c>
      <c r="B407" s="1" t="s">
        <v>375</v>
      </c>
      <c r="C407" s="1" t="s">
        <v>375</v>
      </c>
      <c r="D407" s="1" t="s">
        <v>340</v>
      </c>
      <c r="E407" s="1" t="s">
        <v>411</v>
      </c>
      <c r="F407" s="1" t="s">
        <v>752</v>
      </c>
      <c r="G407" s="1" t="s">
        <v>4</v>
      </c>
      <c r="H407" s="1" t="s">
        <v>77</v>
      </c>
      <c r="I407" s="1" t="str">
        <f t="shared" si="6"/>
        <v>d03</v>
      </c>
    </row>
    <row r="408" spans="1:9" x14ac:dyDescent="0.3">
      <c r="A408" s="1" t="s">
        <v>304</v>
      </c>
      <c r="B408" s="1" t="s">
        <v>375</v>
      </c>
      <c r="C408" s="1" t="s">
        <v>375</v>
      </c>
      <c r="D408" s="1" t="s">
        <v>340</v>
      </c>
      <c r="E408" s="1" t="s">
        <v>411</v>
      </c>
      <c r="F408" s="1" t="s">
        <v>753</v>
      </c>
      <c r="G408" s="1" t="s">
        <v>4</v>
      </c>
      <c r="H408" s="1" t="s">
        <v>77</v>
      </c>
      <c r="I408" s="1" t="str">
        <f t="shared" si="6"/>
        <v>d03</v>
      </c>
    </row>
    <row r="409" spans="1:9" x14ac:dyDescent="0.3">
      <c r="A409" s="1" t="s">
        <v>304</v>
      </c>
      <c r="B409" s="1" t="s">
        <v>375</v>
      </c>
      <c r="C409" s="1" t="s">
        <v>375</v>
      </c>
      <c r="D409" s="1" t="s">
        <v>340</v>
      </c>
      <c r="E409" s="1" t="s">
        <v>411</v>
      </c>
      <c r="F409" s="1" t="s">
        <v>754</v>
      </c>
      <c r="G409" s="1" t="s">
        <v>4</v>
      </c>
      <c r="H409" s="1" t="s">
        <v>77</v>
      </c>
      <c r="I409" s="1" t="str">
        <f t="shared" si="6"/>
        <v>d03</v>
      </c>
    </row>
    <row r="410" spans="1:9" x14ac:dyDescent="0.3">
      <c r="A410" s="1" t="s">
        <v>304</v>
      </c>
      <c r="B410" s="1" t="s">
        <v>375</v>
      </c>
      <c r="C410" s="1" t="s">
        <v>375</v>
      </c>
      <c r="D410" s="1" t="s">
        <v>340</v>
      </c>
      <c r="E410" s="1" t="s">
        <v>411</v>
      </c>
      <c r="F410" s="1" t="s">
        <v>755</v>
      </c>
      <c r="G410" s="1" t="s">
        <v>4</v>
      </c>
      <c r="H410" s="1" t="s">
        <v>77</v>
      </c>
      <c r="I410" s="1" t="str">
        <f t="shared" si="6"/>
        <v>d03</v>
      </c>
    </row>
    <row r="411" spans="1:9" x14ac:dyDescent="0.3">
      <c r="A411" s="1" t="s">
        <v>304</v>
      </c>
      <c r="B411" s="1" t="s">
        <v>375</v>
      </c>
      <c r="C411" s="1" t="s">
        <v>375</v>
      </c>
      <c r="D411" s="1" t="s">
        <v>340</v>
      </c>
      <c r="E411" s="1" t="s">
        <v>411</v>
      </c>
      <c r="F411" s="1" t="s">
        <v>756</v>
      </c>
      <c r="G411" s="1" t="s">
        <v>4</v>
      </c>
      <c r="H411" s="1" t="s">
        <v>77</v>
      </c>
      <c r="I411" s="1" t="str">
        <f t="shared" si="6"/>
        <v>d03</v>
      </c>
    </row>
    <row r="412" spans="1:9" x14ac:dyDescent="0.3">
      <c r="A412" s="1" t="s">
        <v>304</v>
      </c>
      <c r="B412" s="1" t="s">
        <v>375</v>
      </c>
      <c r="C412" s="1" t="s">
        <v>375</v>
      </c>
      <c r="D412" s="1" t="s">
        <v>340</v>
      </c>
      <c r="E412" s="1" t="s">
        <v>411</v>
      </c>
      <c r="F412" s="1" t="s">
        <v>757</v>
      </c>
      <c r="G412" s="1" t="s">
        <v>4</v>
      </c>
      <c r="H412" s="1" t="s">
        <v>77</v>
      </c>
      <c r="I412" s="1" t="str">
        <f t="shared" si="6"/>
        <v>d03</v>
      </c>
    </row>
    <row r="413" spans="1:9" x14ac:dyDescent="0.3">
      <c r="A413" s="1" t="s">
        <v>304</v>
      </c>
      <c r="B413" s="1" t="s">
        <v>375</v>
      </c>
      <c r="C413" s="1" t="s">
        <v>375</v>
      </c>
      <c r="D413" s="1" t="s">
        <v>340</v>
      </c>
      <c r="E413" s="1" t="s">
        <v>411</v>
      </c>
      <c r="F413" s="1" t="s">
        <v>758</v>
      </c>
      <c r="G413" s="1" t="s">
        <v>4</v>
      </c>
      <c r="H413" s="1" t="s">
        <v>77</v>
      </c>
      <c r="I413" s="1" t="str">
        <f t="shared" si="6"/>
        <v>d03</v>
      </c>
    </row>
    <row r="414" spans="1:9" x14ac:dyDescent="0.3">
      <c r="A414" s="1" t="s">
        <v>304</v>
      </c>
      <c r="B414" s="1" t="s">
        <v>375</v>
      </c>
      <c r="C414" s="1" t="s">
        <v>375</v>
      </c>
      <c r="D414" s="1" t="s">
        <v>340</v>
      </c>
      <c r="E414" s="1" t="s">
        <v>411</v>
      </c>
      <c r="F414" s="1" t="s">
        <v>759</v>
      </c>
      <c r="G414" s="1" t="s">
        <v>4</v>
      </c>
      <c r="H414" s="1" t="s">
        <v>77</v>
      </c>
      <c r="I414" s="1" t="str">
        <f t="shared" si="6"/>
        <v>d03</v>
      </c>
    </row>
    <row r="415" spans="1:9" x14ac:dyDescent="0.3">
      <c r="A415" s="1" t="s">
        <v>305</v>
      </c>
      <c r="B415" s="1" t="s">
        <v>374</v>
      </c>
      <c r="C415" s="1" t="s">
        <v>172</v>
      </c>
      <c r="D415" s="1" t="s">
        <v>332</v>
      </c>
      <c r="E415" s="1" t="s">
        <v>403</v>
      </c>
      <c r="F415" s="1" t="s">
        <v>672</v>
      </c>
      <c r="G415" s="1" t="s">
        <v>4</v>
      </c>
      <c r="H415" s="1" t="s">
        <v>77</v>
      </c>
      <c r="I415" s="1" t="str">
        <f t="shared" si="6"/>
        <v>d03</v>
      </c>
    </row>
    <row r="416" spans="1:9" x14ac:dyDescent="0.3">
      <c r="A416" s="1" t="s">
        <v>305</v>
      </c>
      <c r="B416" s="1" t="s">
        <v>374</v>
      </c>
      <c r="C416" s="1" t="s">
        <v>172</v>
      </c>
      <c r="D416" s="1" t="s">
        <v>332</v>
      </c>
      <c r="E416" s="1" t="s">
        <v>403</v>
      </c>
      <c r="F416" s="1" t="s">
        <v>673</v>
      </c>
      <c r="G416" s="1" t="s">
        <v>4</v>
      </c>
      <c r="H416" s="1" t="s">
        <v>77</v>
      </c>
      <c r="I416" s="1" t="str">
        <f t="shared" si="6"/>
        <v>d03</v>
      </c>
    </row>
    <row r="417" spans="1:9" x14ac:dyDescent="0.3">
      <c r="A417" s="1" t="s">
        <v>305</v>
      </c>
      <c r="B417" s="1" t="s">
        <v>374</v>
      </c>
      <c r="C417" s="1" t="s">
        <v>172</v>
      </c>
      <c r="D417" s="1" t="s">
        <v>332</v>
      </c>
      <c r="E417" s="1" t="s">
        <v>403</v>
      </c>
      <c r="F417" s="1" t="s">
        <v>610</v>
      </c>
      <c r="G417" s="1" t="s">
        <v>4</v>
      </c>
      <c r="H417" s="1" t="s">
        <v>77</v>
      </c>
      <c r="I417" s="1" t="str">
        <f t="shared" si="6"/>
        <v>d03</v>
      </c>
    </row>
    <row r="418" spans="1:9" x14ac:dyDescent="0.3">
      <c r="A418" s="1" t="s">
        <v>305</v>
      </c>
      <c r="B418" s="1" t="s">
        <v>374</v>
      </c>
      <c r="C418" s="1" t="s">
        <v>172</v>
      </c>
      <c r="D418" s="1" t="s">
        <v>332</v>
      </c>
      <c r="E418" s="1" t="s">
        <v>403</v>
      </c>
      <c r="F418" s="1" t="s">
        <v>611</v>
      </c>
      <c r="G418" s="1" t="s">
        <v>4</v>
      </c>
      <c r="H418" s="1" t="s">
        <v>77</v>
      </c>
      <c r="I418" s="1" t="str">
        <f t="shared" si="6"/>
        <v>d03</v>
      </c>
    </row>
    <row r="419" spans="1:9" x14ac:dyDescent="0.3">
      <c r="A419" s="1" t="s">
        <v>305</v>
      </c>
      <c r="B419" s="1" t="s">
        <v>374</v>
      </c>
      <c r="C419" s="1" t="s">
        <v>172</v>
      </c>
      <c r="D419" s="1" t="s">
        <v>332</v>
      </c>
      <c r="E419" s="1" t="s">
        <v>403</v>
      </c>
      <c r="F419" s="1" t="s">
        <v>674</v>
      </c>
      <c r="G419" s="1" t="s">
        <v>4</v>
      </c>
      <c r="H419" s="1" t="s">
        <v>77</v>
      </c>
      <c r="I419" s="1" t="str">
        <f t="shared" si="6"/>
        <v>d03</v>
      </c>
    </row>
    <row r="420" spans="1:9" x14ac:dyDescent="0.3">
      <c r="A420" s="1" t="s">
        <v>305</v>
      </c>
      <c r="B420" s="1" t="s">
        <v>374</v>
      </c>
      <c r="C420" s="1" t="s">
        <v>172</v>
      </c>
      <c r="D420" s="1" t="s">
        <v>332</v>
      </c>
      <c r="E420" s="1" t="s">
        <v>403</v>
      </c>
      <c r="F420" s="1" t="s">
        <v>675</v>
      </c>
      <c r="G420" s="1" t="s">
        <v>4</v>
      </c>
      <c r="H420" s="1" t="s">
        <v>77</v>
      </c>
      <c r="I420" s="1" t="str">
        <f t="shared" si="6"/>
        <v>d03</v>
      </c>
    </row>
    <row r="421" spans="1:9" x14ac:dyDescent="0.3">
      <c r="A421" s="1" t="s">
        <v>305</v>
      </c>
      <c r="B421" s="1" t="s">
        <v>374</v>
      </c>
      <c r="C421" s="1" t="s">
        <v>172</v>
      </c>
      <c r="D421" s="1" t="s">
        <v>332</v>
      </c>
      <c r="E421" s="1" t="s">
        <v>403</v>
      </c>
      <c r="F421" s="1" t="s">
        <v>656</v>
      </c>
      <c r="G421" s="1" t="s">
        <v>4</v>
      </c>
      <c r="H421" s="1" t="s">
        <v>77</v>
      </c>
      <c r="I421" s="1" t="str">
        <f t="shared" si="6"/>
        <v>d03</v>
      </c>
    </row>
    <row r="422" spans="1:9" x14ac:dyDescent="0.3">
      <c r="A422" s="1" t="s">
        <v>305</v>
      </c>
      <c r="B422" s="1" t="s">
        <v>374</v>
      </c>
      <c r="C422" s="1" t="s">
        <v>172</v>
      </c>
      <c r="D422" s="1" t="s">
        <v>332</v>
      </c>
      <c r="E422" s="1" t="s">
        <v>403</v>
      </c>
      <c r="F422" s="1" t="s">
        <v>676</v>
      </c>
      <c r="G422" s="1" t="s">
        <v>4</v>
      </c>
      <c r="H422" s="1" t="s">
        <v>77</v>
      </c>
      <c r="I422" s="1" t="str">
        <f t="shared" si="6"/>
        <v>d03</v>
      </c>
    </row>
    <row r="423" spans="1:9" x14ac:dyDescent="0.3">
      <c r="A423" s="1" t="s">
        <v>305</v>
      </c>
      <c r="B423" s="1" t="s">
        <v>374</v>
      </c>
      <c r="C423" s="1" t="s">
        <v>172</v>
      </c>
      <c r="D423" s="1" t="s">
        <v>332</v>
      </c>
      <c r="E423" s="1" t="s">
        <v>403</v>
      </c>
      <c r="F423" s="1" t="s">
        <v>677</v>
      </c>
      <c r="G423" s="1" t="s">
        <v>4</v>
      </c>
      <c r="H423" s="1" t="s">
        <v>77</v>
      </c>
      <c r="I423" s="1" t="str">
        <f t="shared" si="6"/>
        <v>d03</v>
      </c>
    </row>
    <row r="424" spans="1:9" x14ac:dyDescent="0.3">
      <c r="A424" s="1" t="s">
        <v>305</v>
      </c>
      <c r="B424" s="1" t="s">
        <v>374</v>
      </c>
      <c r="C424" s="1" t="s">
        <v>172</v>
      </c>
      <c r="D424" s="1" t="s">
        <v>332</v>
      </c>
      <c r="E424" s="1" t="s">
        <v>403</v>
      </c>
      <c r="F424" s="1" t="s">
        <v>678</v>
      </c>
      <c r="G424" s="1" t="s">
        <v>4</v>
      </c>
      <c r="H424" s="1" t="s">
        <v>77</v>
      </c>
      <c r="I424" s="1" t="str">
        <f t="shared" si="6"/>
        <v>d03</v>
      </c>
    </row>
    <row r="425" spans="1:9" x14ac:dyDescent="0.3">
      <c r="A425" s="1" t="s">
        <v>305</v>
      </c>
      <c r="B425" s="1" t="s">
        <v>374</v>
      </c>
      <c r="C425" s="1" t="s">
        <v>172</v>
      </c>
      <c r="D425" s="1" t="s">
        <v>332</v>
      </c>
      <c r="E425" s="1" t="s">
        <v>403</v>
      </c>
      <c r="F425" s="1" t="s">
        <v>613</v>
      </c>
      <c r="G425" s="1" t="s">
        <v>4</v>
      </c>
      <c r="H425" s="1" t="s">
        <v>77</v>
      </c>
      <c r="I425" s="1" t="str">
        <f t="shared" si="6"/>
        <v>d03</v>
      </c>
    </row>
    <row r="426" spans="1:9" x14ac:dyDescent="0.3">
      <c r="A426" s="1" t="s">
        <v>305</v>
      </c>
      <c r="B426" s="1" t="s">
        <v>374</v>
      </c>
      <c r="C426" s="1" t="s">
        <v>172</v>
      </c>
      <c r="D426" s="1" t="s">
        <v>332</v>
      </c>
      <c r="E426" s="1" t="s">
        <v>403</v>
      </c>
      <c r="F426" s="1" t="s">
        <v>614</v>
      </c>
      <c r="G426" s="1" t="s">
        <v>4</v>
      </c>
      <c r="H426" s="1" t="s">
        <v>77</v>
      </c>
      <c r="I426" s="1" t="str">
        <f t="shared" si="6"/>
        <v>d03</v>
      </c>
    </row>
    <row r="427" spans="1:9" x14ac:dyDescent="0.3">
      <c r="A427" s="1" t="s">
        <v>305</v>
      </c>
      <c r="B427" s="1" t="s">
        <v>374</v>
      </c>
      <c r="C427" s="1" t="s">
        <v>172</v>
      </c>
      <c r="D427" s="1" t="s">
        <v>332</v>
      </c>
      <c r="E427" s="1" t="s">
        <v>403</v>
      </c>
      <c r="F427" s="1" t="s">
        <v>56</v>
      </c>
      <c r="G427" s="1" t="s">
        <v>17</v>
      </c>
      <c r="H427" s="1" t="s">
        <v>56</v>
      </c>
      <c r="I427" s="1" t="str">
        <f t="shared" si="6"/>
        <v>d05</v>
      </c>
    </row>
    <row r="428" spans="1:9" x14ac:dyDescent="0.3">
      <c r="A428" s="1" t="s">
        <v>305</v>
      </c>
      <c r="B428" s="1" t="s">
        <v>374</v>
      </c>
      <c r="C428" s="1" t="s">
        <v>172</v>
      </c>
      <c r="D428" s="1" t="s">
        <v>332</v>
      </c>
      <c r="E428" s="1" t="s">
        <v>403</v>
      </c>
      <c r="F428" s="1" t="s">
        <v>599</v>
      </c>
      <c r="G428" s="1" t="s">
        <v>17</v>
      </c>
      <c r="H428" s="1" t="s">
        <v>3</v>
      </c>
      <c r="I428" s="1" t="str">
        <f t="shared" si="6"/>
        <v>d08</v>
      </c>
    </row>
    <row r="429" spans="1:9" x14ac:dyDescent="0.3">
      <c r="A429" s="1" t="s">
        <v>305</v>
      </c>
      <c r="B429" s="1" t="s">
        <v>374</v>
      </c>
      <c r="C429" s="1" t="s">
        <v>172</v>
      </c>
      <c r="D429" s="1" t="s">
        <v>332</v>
      </c>
      <c r="E429" s="1" t="s">
        <v>403</v>
      </c>
      <c r="F429" s="1" t="s">
        <v>541</v>
      </c>
      <c r="G429" s="1" t="s">
        <v>17</v>
      </c>
      <c r="H429" s="1" t="s">
        <v>65</v>
      </c>
      <c r="I429" s="1" t="str">
        <f t="shared" si="6"/>
        <v>d09</v>
      </c>
    </row>
    <row r="430" spans="1:9" x14ac:dyDescent="0.3">
      <c r="A430" s="1" t="s">
        <v>305</v>
      </c>
      <c r="B430" s="1" t="s">
        <v>374</v>
      </c>
      <c r="C430" s="1" t="s">
        <v>172</v>
      </c>
      <c r="D430" s="1" t="s">
        <v>332</v>
      </c>
      <c r="E430" s="1" t="s">
        <v>403</v>
      </c>
      <c r="F430" s="1" t="s">
        <v>542</v>
      </c>
      <c r="G430" s="1" t="s">
        <v>17</v>
      </c>
      <c r="H430" s="1" t="s">
        <v>65</v>
      </c>
      <c r="I430" s="1" t="str">
        <f t="shared" si="6"/>
        <v>d09</v>
      </c>
    </row>
    <row r="431" spans="1:9" x14ac:dyDescent="0.3">
      <c r="A431" s="1" t="s">
        <v>305</v>
      </c>
      <c r="B431" s="1" t="s">
        <v>374</v>
      </c>
      <c r="C431" s="1" t="s">
        <v>172</v>
      </c>
      <c r="D431" s="1" t="s">
        <v>332</v>
      </c>
      <c r="E431" s="1" t="s">
        <v>403</v>
      </c>
      <c r="F431" s="1" t="s">
        <v>679</v>
      </c>
      <c r="G431" s="1" t="s">
        <v>17</v>
      </c>
      <c r="H431" s="1" t="s">
        <v>65</v>
      </c>
      <c r="I431" s="1" t="str">
        <f t="shared" si="6"/>
        <v>d09</v>
      </c>
    </row>
    <row r="432" spans="1:9" x14ac:dyDescent="0.3">
      <c r="A432" s="1" t="s">
        <v>305</v>
      </c>
      <c r="B432" s="1" t="s">
        <v>374</v>
      </c>
      <c r="C432" s="1" t="s">
        <v>172</v>
      </c>
      <c r="D432" s="1" t="s">
        <v>332</v>
      </c>
      <c r="E432" s="1" t="s">
        <v>403</v>
      </c>
      <c r="F432" s="1" t="s">
        <v>633</v>
      </c>
      <c r="G432" s="1" t="s">
        <v>17</v>
      </c>
      <c r="H432" s="1" t="s">
        <v>65</v>
      </c>
      <c r="I432" s="1" t="str">
        <f t="shared" si="6"/>
        <v>d09</v>
      </c>
    </row>
    <row r="433" spans="1:9" x14ac:dyDescent="0.3">
      <c r="A433" s="1" t="s">
        <v>305</v>
      </c>
      <c r="B433" s="1" t="s">
        <v>374</v>
      </c>
      <c r="C433" s="1" t="s">
        <v>172</v>
      </c>
      <c r="D433" s="1" t="s">
        <v>332</v>
      </c>
      <c r="E433" s="1" t="s">
        <v>403</v>
      </c>
      <c r="F433" s="1" t="s">
        <v>528</v>
      </c>
      <c r="G433" s="1" t="s">
        <v>17</v>
      </c>
      <c r="H433" s="1" t="s">
        <v>67</v>
      </c>
      <c r="I433" s="1" t="str">
        <f t="shared" si="6"/>
        <v>d10</v>
      </c>
    </row>
    <row r="434" spans="1:9" x14ac:dyDescent="0.3">
      <c r="A434" s="1" t="s">
        <v>305</v>
      </c>
      <c r="B434" s="1" t="s">
        <v>374</v>
      </c>
      <c r="C434" s="1" t="s">
        <v>172</v>
      </c>
      <c r="D434" s="1" t="s">
        <v>332</v>
      </c>
      <c r="E434" s="1" t="s">
        <v>403</v>
      </c>
      <c r="F434" s="1" t="s">
        <v>680</v>
      </c>
      <c r="G434" s="1" t="s">
        <v>17</v>
      </c>
      <c r="H434" s="1" t="s">
        <v>19</v>
      </c>
      <c r="I434" s="1" t="str">
        <f t="shared" si="6"/>
        <v>d11</v>
      </c>
    </row>
    <row r="435" spans="1:9" x14ac:dyDescent="0.3">
      <c r="A435" s="1" t="s">
        <v>305</v>
      </c>
      <c r="B435" s="1" t="s">
        <v>374</v>
      </c>
      <c r="C435" s="1" t="s">
        <v>172</v>
      </c>
      <c r="D435" s="1" t="s">
        <v>332</v>
      </c>
      <c r="E435" s="1" t="s">
        <v>403</v>
      </c>
      <c r="F435" s="1" t="s">
        <v>537</v>
      </c>
      <c r="G435" s="1" t="s">
        <v>17</v>
      </c>
      <c r="H435" s="1" t="s">
        <v>72</v>
      </c>
      <c r="I435" s="1" t="str">
        <f t="shared" si="6"/>
        <v>d12</v>
      </c>
    </row>
    <row r="436" spans="1:9" x14ac:dyDescent="0.3">
      <c r="A436" s="1" t="s">
        <v>305</v>
      </c>
      <c r="B436" s="1" t="s">
        <v>374</v>
      </c>
      <c r="C436" s="1" t="s">
        <v>172</v>
      </c>
      <c r="D436" s="1" t="s">
        <v>332</v>
      </c>
      <c r="E436" s="1" t="s">
        <v>403</v>
      </c>
      <c r="F436" s="1" t="s">
        <v>547</v>
      </c>
      <c r="G436" s="1" t="s">
        <v>17</v>
      </c>
      <c r="H436" s="1" t="s">
        <v>18</v>
      </c>
      <c r="I436" s="1" t="str">
        <f t="shared" si="6"/>
        <v>d13</v>
      </c>
    </row>
    <row r="437" spans="1:9" x14ac:dyDescent="0.3">
      <c r="A437" s="1" t="s">
        <v>305</v>
      </c>
      <c r="B437" s="1" t="s">
        <v>374</v>
      </c>
      <c r="C437" s="1" t="s">
        <v>172</v>
      </c>
      <c r="D437" s="1" t="s">
        <v>332</v>
      </c>
      <c r="E437" s="1" t="s">
        <v>403</v>
      </c>
      <c r="F437" s="1" t="s">
        <v>548</v>
      </c>
      <c r="G437" s="1" t="s">
        <v>17</v>
      </c>
      <c r="H437" s="1" t="s">
        <v>18</v>
      </c>
      <c r="I437" s="1" t="str">
        <f t="shared" si="6"/>
        <v>d13</v>
      </c>
    </row>
    <row r="438" spans="1:9" x14ac:dyDescent="0.3">
      <c r="A438" s="1" t="s">
        <v>306</v>
      </c>
      <c r="B438" s="1" t="s">
        <v>374</v>
      </c>
      <c r="C438" s="1" t="s">
        <v>172</v>
      </c>
      <c r="D438" s="1" t="s">
        <v>333</v>
      </c>
      <c r="E438" s="1" t="s">
        <v>404</v>
      </c>
      <c r="F438" s="1" t="s">
        <v>609</v>
      </c>
      <c r="G438" s="1" t="s">
        <v>4</v>
      </c>
      <c r="H438" s="1" t="s">
        <v>77</v>
      </c>
      <c r="I438" s="1" t="str">
        <f t="shared" si="6"/>
        <v>d03</v>
      </c>
    </row>
    <row r="439" spans="1:9" x14ac:dyDescent="0.3">
      <c r="A439" s="1" t="s">
        <v>306</v>
      </c>
      <c r="B439" s="1" t="s">
        <v>374</v>
      </c>
      <c r="C439" s="1" t="s">
        <v>172</v>
      </c>
      <c r="D439" s="1" t="s">
        <v>333</v>
      </c>
      <c r="E439" s="1" t="s">
        <v>404</v>
      </c>
      <c r="F439" s="1" t="s">
        <v>610</v>
      </c>
      <c r="G439" s="1" t="s">
        <v>4</v>
      </c>
      <c r="H439" s="1" t="s">
        <v>77</v>
      </c>
      <c r="I439" s="1" t="str">
        <f t="shared" si="6"/>
        <v>d03</v>
      </c>
    </row>
    <row r="440" spans="1:9" x14ac:dyDescent="0.3">
      <c r="A440" s="1" t="s">
        <v>306</v>
      </c>
      <c r="B440" s="1" t="s">
        <v>374</v>
      </c>
      <c r="C440" s="1" t="s">
        <v>172</v>
      </c>
      <c r="D440" s="1" t="s">
        <v>333</v>
      </c>
      <c r="E440" s="1" t="s">
        <v>404</v>
      </c>
      <c r="F440" s="1" t="s">
        <v>611</v>
      </c>
      <c r="G440" s="1" t="s">
        <v>4</v>
      </c>
      <c r="H440" s="1" t="s">
        <v>77</v>
      </c>
      <c r="I440" s="1" t="str">
        <f t="shared" si="6"/>
        <v>d03</v>
      </c>
    </row>
    <row r="441" spans="1:9" x14ac:dyDescent="0.3">
      <c r="A441" s="1" t="s">
        <v>306</v>
      </c>
      <c r="B441" s="1" t="s">
        <v>374</v>
      </c>
      <c r="C441" s="1" t="s">
        <v>172</v>
      </c>
      <c r="D441" s="1" t="s">
        <v>333</v>
      </c>
      <c r="E441" s="1" t="s">
        <v>404</v>
      </c>
      <c r="F441" s="1" t="s">
        <v>719</v>
      </c>
      <c r="G441" s="1" t="s">
        <v>4</v>
      </c>
      <c r="H441" s="1" t="s">
        <v>77</v>
      </c>
      <c r="I441" s="1" t="str">
        <f t="shared" si="6"/>
        <v>d03</v>
      </c>
    </row>
    <row r="442" spans="1:9" x14ac:dyDescent="0.3">
      <c r="A442" s="1" t="s">
        <v>306</v>
      </c>
      <c r="B442" s="1" t="s">
        <v>374</v>
      </c>
      <c r="C442" s="1" t="s">
        <v>172</v>
      </c>
      <c r="D442" s="1" t="s">
        <v>333</v>
      </c>
      <c r="E442" s="1" t="s">
        <v>404</v>
      </c>
      <c r="F442" s="1" t="s">
        <v>656</v>
      </c>
      <c r="G442" s="1" t="s">
        <v>4</v>
      </c>
      <c r="H442" s="1" t="s">
        <v>77</v>
      </c>
      <c r="I442" s="1" t="str">
        <f t="shared" si="6"/>
        <v>d03</v>
      </c>
    </row>
    <row r="443" spans="1:9" x14ac:dyDescent="0.3">
      <c r="A443" s="1" t="s">
        <v>306</v>
      </c>
      <c r="B443" s="1" t="s">
        <v>374</v>
      </c>
      <c r="C443" s="1" t="s">
        <v>172</v>
      </c>
      <c r="D443" s="1" t="s">
        <v>333</v>
      </c>
      <c r="E443" s="1" t="s">
        <v>404</v>
      </c>
      <c r="F443" s="1" t="s">
        <v>613</v>
      </c>
      <c r="G443" s="1" t="s">
        <v>4</v>
      </c>
      <c r="H443" s="1" t="s">
        <v>77</v>
      </c>
      <c r="I443" s="1" t="str">
        <f t="shared" si="6"/>
        <v>d03</v>
      </c>
    </row>
    <row r="444" spans="1:9" x14ac:dyDescent="0.3">
      <c r="A444" s="1" t="s">
        <v>306</v>
      </c>
      <c r="B444" s="1" t="s">
        <v>374</v>
      </c>
      <c r="C444" s="1" t="s">
        <v>172</v>
      </c>
      <c r="D444" s="1" t="s">
        <v>333</v>
      </c>
      <c r="E444" s="1" t="s">
        <v>404</v>
      </c>
      <c r="F444" s="1" t="s">
        <v>614</v>
      </c>
      <c r="G444" s="1" t="s">
        <v>4</v>
      </c>
      <c r="H444" s="1" t="s">
        <v>77</v>
      </c>
      <c r="I444" s="1" t="str">
        <f t="shared" si="6"/>
        <v>d03</v>
      </c>
    </row>
    <row r="445" spans="1:9" x14ac:dyDescent="0.3">
      <c r="A445" s="1" t="s">
        <v>306</v>
      </c>
      <c r="B445" s="1" t="s">
        <v>374</v>
      </c>
      <c r="C445" s="1" t="s">
        <v>172</v>
      </c>
      <c r="D445" s="1" t="s">
        <v>333</v>
      </c>
      <c r="E445" s="1" t="s">
        <v>404</v>
      </c>
      <c r="F445" s="1" t="s">
        <v>547</v>
      </c>
      <c r="G445" s="1" t="s">
        <v>17</v>
      </c>
      <c r="H445" s="1" t="s">
        <v>18</v>
      </c>
      <c r="I445" s="1" t="str">
        <f t="shared" si="6"/>
        <v>d13</v>
      </c>
    </row>
    <row r="446" spans="1:9" x14ac:dyDescent="0.3">
      <c r="A446" s="1" t="s">
        <v>307</v>
      </c>
      <c r="B446" s="1" t="s">
        <v>374</v>
      </c>
      <c r="C446" s="1" t="s">
        <v>172</v>
      </c>
      <c r="D446" s="1" t="s">
        <v>334</v>
      </c>
      <c r="E446" s="1" t="s">
        <v>405</v>
      </c>
      <c r="F446" s="1" t="s">
        <v>760</v>
      </c>
      <c r="G446" s="1" t="s">
        <v>17</v>
      </c>
      <c r="H446" s="1" t="s">
        <v>80</v>
      </c>
      <c r="I446" s="1" t="str">
        <f t="shared" si="6"/>
        <v>d06</v>
      </c>
    </row>
    <row r="447" spans="1:9" x14ac:dyDescent="0.3">
      <c r="A447" s="1" t="s">
        <v>307</v>
      </c>
      <c r="B447" s="1" t="s">
        <v>374</v>
      </c>
      <c r="C447" s="1" t="s">
        <v>172</v>
      </c>
      <c r="D447" s="1" t="s">
        <v>334</v>
      </c>
      <c r="E447" s="1" t="s">
        <v>405</v>
      </c>
      <c r="F447" s="1" t="s">
        <v>614</v>
      </c>
      <c r="G447" s="1" t="s">
        <v>4</v>
      </c>
      <c r="H447" s="1" t="s">
        <v>77</v>
      </c>
      <c r="I447" s="1" t="str">
        <f t="shared" si="6"/>
        <v>d03</v>
      </c>
    </row>
    <row r="448" spans="1:9" x14ac:dyDescent="0.3">
      <c r="A448" s="1" t="s">
        <v>307</v>
      </c>
      <c r="B448" s="1" t="s">
        <v>374</v>
      </c>
      <c r="C448" s="1" t="s">
        <v>172</v>
      </c>
      <c r="D448" s="1" t="s">
        <v>334</v>
      </c>
      <c r="E448" s="1" t="s">
        <v>405</v>
      </c>
      <c r="F448" s="1" t="s">
        <v>547</v>
      </c>
      <c r="G448" s="1" t="s">
        <v>17</v>
      </c>
      <c r="H448" s="1" t="s">
        <v>18</v>
      </c>
      <c r="I448" s="1" t="str">
        <f t="shared" si="6"/>
        <v>d13</v>
      </c>
    </row>
    <row r="449" spans="1:9" x14ac:dyDescent="0.3">
      <c r="A449" s="1" t="s">
        <v>307</v>
      </c>
      <c r="B449" s="1" t="s">
        <v>374</v>
      </c>
      <c r="C449" s="1" t="s">
        <v>172</v>
      </c>
      <c r="D449" s="1" t="s">
        <v>334</v>
      </c>
      <c r="E449" s="1" t="s">
        <v>405</v>
      </c>
      <c r="F449" s="1" t="s">
        <v>548</v>
      </c>
      <c r="G449" s="1" t="s">
        <v>17</v>
      </c>
      <c r="H449" s="1" t="s">
        <v>18</v>
      </c>
      <c r="I449" s="1" t="str">
        <f t="shared" si="6"/>
        <v>d13</v>
      </c>
    </row>
    <row r="450" spans="1:9" x14ac:dyDescent="0.3">
      <c r="A450" s="1" t="s">
        <v>47</v>
      </c>
      <c r="B450" s="1" t="s">
        <v>371</v>
      </c>
      <c r="C450" s="1" t="s">
        <v>156</v>
      </c>
      <c r="D450" s="1" t="s">
        <v>317</v>
      </c>
      <c r="E450" s="1" t="s">
        <v>388</v>
      </c>
      <c r="F450" s="1" t="s">
        <v>761</v>
      </c>
      <c r="G450" s="1" t="s">
        <v>63</v>
      </c>
      <c r="H450" s="1" t="s">
        <v>75</v>
      </c>
      <c r="I450" s="1" t="str">
        <f t="shared" ref="I450:I463" si="7">VLOOKUP(H450,$M$2:$N$19,2,FALSE)</f>
        <v>d01</v>
      </c>
    </row>
    <row r="451" spans="1:9" x14ac:dyDescent="0.3">
      <c r="A451" s="1" t="s">
        <v>43</v>
      </c>
      <c r="B451" s="1" t="s">
        <v>171</v>
      </c>
      <c r="C451" s="1" t="s">
        <v>168</v>
      </c>
      <c r="D451" s="1" t="s">
        <v>313</v>
      </c>
      <c r="G451" s="1" t="s">
        <v>63</v>
      </c>
      <c r="H451" s="1" t="s">
        <v>75</v>
      </c>
      <c r="I451" s="1" t="str">
        <f t="shared" si="7"/>
        <v>d01</v>
      </c>
    </row>
    <row r="452" spans="1:9" x14ac:dyDescent="0.3">
      <c r="A452" s="1" t="s">
        <v>308</v>
      </c>
      <c r="B452" s="1" t="s">
        <v>173</v>
      </c>
      <c r="C452" s="1" t="s">
        <v>172</v>
      </c>
      <c r="D452" s="1" t="s">
        <v>324</v>
      </c>
      <c r="E452" s="1" t="s">
        <v>525</v>
      </c>
      <c r="F452" s="1" t="s">
        <v>56</v>
      </c>
      <c r="G452" s="1" t="s">
        <v>17</v>
      </c>
      <c r="H452" s="1" t="s">
        <v>56</v>
      </c>
      <c r="I452" s="1" t="str">
        <f t="shared" si="7"/>
        <v>d05</v>
      </c>
    </row>
    <row r="453" spans="1:9" x14ac:dyDescent="0.3">
      <c r="A453" s="1" t="s">
        <v>308</v>
      </c>
      <c r="B453" s="1" t="s">
        <v>173</v>
      </c>
      <c r="C453" s="1" t="s">
        <v>172</v>
      </c>
      <c r="D453" s="1" t="s">
        <v>324</v>
      </c>
      <c r="E453" s="1" t="s">
        <v>525</v>
      </c>
      <c r="F453" s="1" t="s">
        <v>762</v>
      </c>
      <c r="G453" s="1" t="s">
        <v>17</v>
      </c>
      <c r="H453" s="1" t="s">
        <v>65</v>
      </c>
      <c r="I453" s="1" t="str">
        <f t="shared" si="7"/>
        <v>d09</v>
      </c>
    </row>
    <row r="454" spans="1:9" x14ac:dyDescent="0.3">
      <c r="A454" s="1" t="s">
        <v>308</v>
      </c>
      <c r="B454" s="1" t="s">
        <v>173</v>
      </c>
      <c r="C454" s="1" t="s">
        <v>172</v>
      </c>
      <c r="D454" s="1" t="s">
        <v>324</v>
      </c>
      <c r="E454" s="1" t="s">
        <v>525</v>
      </c>
      <c r="F454" s="1" t="s">
        <v>763</v>
      </c>
      <c r="G454" s="1" t="s">
        <v>770</v>
      </c>
      <c r="H454" s="1" t="s">
        <v>86</v>
      </c>
      <c r="I454" s="1" t="str">
        <f t="shared" si="7"/>
        <v>d15</v>
      </c>
    </row>
    <row r="455" spans="1:9" x14ac:dyDescent="0.3">
      <c r="A455" s="1" t="s">
        <v>309</v>
      </c>
      <c r="B455" s="1" t="s">
        <v>374</v>
      </c>
      <c r="C455" s="1" t="s">
        <v>172</v>
      </c>
      <c r="D455" s="1" t="s">
        <v>335</v>
      </c>
      <c r="E455" s="1" t="s">
        <v>526</v>
      </c>
      <c r="F455" s="1" t="s">
        <v>764</v>
      </c>
      <c r="G455" s="1" t="s">
        <v>63</v>
      </c>
      <c r="H455" s="1" t="s">
        <v>76</v>
      </c>
      <c r="I455" s="1" t="str">
        <f t="shared" si="7"/>
        <v>d02</v>
      </c>
    </row>
    <row r="456" spans="1:9" x14ac:dyDescent="0.3">
      <c r="A456" s="1" t="s">
        <v>309</v>
      </c>
      <c r="B456" s="1" t="s">
        <v>374</v>
      </c>
      <c r="C456" s="1" t="s">
        <v>172</v>
      </c>
      <c r="D456" s="1" t="s">
        <v>335</v>
      </c>
      <c r="E456" s="1" t="s">
        <v>526</v>
      </c>
      <c r="F456" s="1" t="s">
        <v>765</v>
      </c>
      <c r="G456" s="1" t="s">
        <v>63</v>
      </c>
      <c r="H456" s="1" t="s">
        <v>75</v>
      </c>
      <c r="I456" s="1" t="str">
        <f t="shared" si="7"/>
        <v>d01</v>
      </c>
    </row>
    <row r="457" spans="1:9" x14ac:dyDescent="0.3">
      <c r="A457" s="1" t="s">
        <v>310</v>
      </c>
      <c r="B457" s="1" t="s">
        <v>154</v>
      </c>
      <c r="C457" s="1" t="s">
        <v>153</v>
      </c>
      <c r="D457" s="1" t="s">
        <v>367</v>
      </c>
      <c r="E457" s="1" t="s">
        <v>437</v>
      </c>
      <c r="F457" s="1" t="s">
        <v>88</v>
      </c>
      <c r="G457" s="1" t="s">
        <v>17</v>
      </c>
      <c r="H457" s="1" t="s">
        <v>18</v>
      </c>
      <c r="I457" s="1" t="str">
        <f t="shared" si="7"/>
        <v>d13</v>
      </c>
    </row>
    <row r="458" spans="1:9" x14ac:dyDescent="0.3">
      <c r="A458" s="1" t="s">
        <v>310</v>
      </c>
      <c r="B458" s="1" t="s">
        <v>154</v>
      </c>
      <c r="C458" s="1" t="s">
        <v>153</v>
      </c>
      <c r="D458" s="1" t="s">
        <v>367</v>
      </c>
      <c r="E458" s="1" t="s">
        <v>437</v>
      </c>
      <c r="F458" s="1" t="s">
        <v>72</v>
      </c>
      <c r="G458" s="1" t="s">
        <v>17</v>
      </c>
      <c r="H458" s="1" t="s">
        <v>72</v>
      </c>
      <c r="I458" s="1" t="str">
        <f t="shared" si="7"/>
        <v>d12</v>
      </c>
    </row>
    <row r="459" spans="1:9" x14ac:dyDescent="0.3">
      <c r="A459" s="1" t="s">
        <v>310</v>
      </c>
      <c r="B459" s="1" t="s">
        <v>154</v>
      </c>
      <c r="C459" s="1" t="s">
        <v>153</v>
      </c>
      <c r="D459" s="1" t="s">
        <v>367</v>
      </c>
      <c r="E459" s="1" t="s">
        <v>437</v>
      </c>
      <c r="F459" s="1" t="s">
        <v>67</v>
      </c>
      <c r="G459" s="1" t="s">
        <v>17</v>
      </c>
      <c r="H459" s="1" t="s">
        <v>67</v>
      </c>
      <c r="I459" s="1" t="str">
        <f t="shared" si="7"/>
        <v>d10</v>
      </c>
    </row>
    <row r="460" spans="1:9" x14ac:dyDescent="0.3">
      <c r="A460" s="1" t="s">
        <v>310</v>
      </c>
      <c r="B460" s="1" t="s">
        <v>154</v>
      </c>
      <c r="C460" s="1" t="s">
        <v>153</v>
      </c>
      <c r="D460" s="1" t="s">
        <v>367</v>
      </c>
      <c r="E460" s="1" t="s">
        <v>437</v>
      </c>
      <c r="F460" s="1" t="s">
        <v>766</v>
      </c>
      <c r="G460" s="1" t="s">
        <v>17</v>
      </c>
      <c r="H460" s="1" t="s">
        <v>81</v>
      </c>
      <c r="I460" s="1" t="str">
        <f t="shared" si="7"/>
        <v>d07</v>
      </c>
    </row>
    <row r="461" spans="1:9" x14ac:dyDescent="0.3">
      <c r="A461" s="1" t="s">
        <v>310</v>
      </c>
      <c r="B461" s="1" t="s">
        <v>154</v>
      </c>
      <c r="C461" s="1" t="s">
        <v>153</v>
      </c>
      <c r="D461" s="1" t="s">
        <v>367</v>
      </c>
      <c r="E461" s="1" t="s">
        <v>437</v>
      </c>
      <c r="F461" s="1" t="s">
        <v>767</v>
      </c>
      <c r="G461" s="1" t="s">
        <v>63</v>
      </c>
      <c r="H461" s="1" t="s">
        <v>76</v>
      </c>
      <c r="I461" s="1" t="str">
        <f t="shared" si="7"/>
        <v>d02</v>
      </c>
    </row>
    <row r="462" spans="1:9" x14ac:dyDescent="0.3">
      <c r="A462" s="1" t="s">
        <v>312</v>
      </c>
      <c r="B462" s="1" t="s">
        <v>180</v>
      </c>
      <c r="C462" s="1" t="s">
        <v>180</v>
      </c>
      <c r="D462" s="1" t="s">
        <v>368</v>
      </c>
      <c r="E462" s="1" t="s">
        <v>527</v>
      </c>
      <c r="F462" s="1" t="s">
        <v>768</v>
      </c>
      <c r="G462" s="1" t="s">
        <v>4</v>
      </c>
      <c r="H462" s="1" t="s">
        <v>42</v>
      </c>
      <c r="I462" s="1" t="str">
        <f t="shared" si="7"/>
        <v>d17</v>
      </c>
    </row>
    <row r="463" spans="1:9" x14ac:dyDescent="0.3">
      <c r="A463" s="1" t="s">
        <v>312</v>
      </c>
      <c r="B463" s="1" t="s">
        <v>180</v>
      </c>
      <c r="C463" s="1" t="s">
        <v>180</v>
      </c>
      <c r="D463" s="1" t="s">
        <v>368</v>
      </c>
      <c r="E463" s="1" t="s">
        <v>527</v>
      </c>
      <c r="F463" s="1" t="s">
        <v>769</v>
      </c>
      <c r="G463" s="1" t="s">
        <v>4</v>
      </c>
      <c r="H463" s="1" t="s">
        <v>69</v>
      </c>
      <c r="I463" s="1" t="str">
        <f t="shared" si="7"/>
        <v>d04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63"/>
  <sheetViews>
    <sheetView workbookViewId="0">
      <selection activeCell="A12" sqref="A12"/>
    </sheetView>
  </sheetViews>
  <sheetFormatPr defaultRowHeight="15.6" x14ac:dyDescent="0.3"/>
  <cols>
    <col min="1" max="16384" width="8.796875" style="1"/>
  </cols>
  <sheetData>
    <row r="1" spans="1:2" x14ac:dyDescent="0.3">
      <c r="A1" s="6" t="s">
        <v>40</v>
      </c>
      <c r="B1" s="6" t="s">
        <v>41</v>
      </c>
    </row>
    <row r="2" spans="1:2" x14ac:dyDescent="0.3">
      <c r="A2" s="1" t="s">
        <v>268</v>
      </c>
      <c r="B2" s="1" t="s">
        <v>64</v>
      </c>
    </row>
    <row r="3" spans="1:2" x14ac:dyDescent="0.3">
      <c r="A3" s="1" t="s">
        <v>268</v>
      </c>
      <c r="B3" s="1" t="s">
        <v>70</v>
      </c>
    </row>
    <row r="4" spans="1:2" x14ac:dyDescent="0.3">
      <c r="A4" s="1" t="s">
        <v>269</v>
      </c>
      <c r="B4" s="1" t="s">
        <v>55</v>
      </c>
    </row>
    <row r="5" spans="1:2" x14ac:dyDescent="0.3">
      <c r="A5" s="1" t="s">
        <v>269</v>
      </c>
      <c r="B5" s="1" t="s">
        <v>68</v>
      </c>
    </row>
    <row r="6" spans="1:2" x14ac:dyDescent="0.3">
      <c r="A6" s="1" t="s">
        <v>270</v>
      </c>
      <c r="B6" s="1" t="s">
        <v>78</v>
      </c>
    </row>
    <row r="7" spans="1:2" x14ac:dyDescent="0.3">
      <c r="A7" s="1" t="s">
        <v>270</v>
      </c>
      <c r="B7" s="1" t="s">
        <v>71</v>
      </c>
    </row>
    <row r="8" spans="1:2" x14ac:dyDescent="0.3">
      <c r="A8" s="1" t="s">
        <v>48</v>
      </c>
      <c r="B8" s="1" t="s">
        <v>60</v>
      </c>
    </row>
    <row r="9" spans="1:2" x14ac:dyDescent="0.3">
      <c r="A9" s="1" t="s">
        <v>48</v>
      </c>
      <c r="B9" s="1" t="s">
        <v>64</v>
      </c>
    </row>
    <row r="10" spans="1:2" x14ac:dyDescent="0.3">
      <c r="A10" s="1" t="s">
        <v>48</v>
      </c>
      <c r="B10" s="1" t="s">
        <v>68</v>
      </c>
    </row>
    <row r="11" spans="1:2" x14ac:dyDescent="0.3">
      <c r="A11" s="1" t="s">
        <v>271</v>
      </c>
      <c r="B11" s="1" t="s">
        <v>58</v>
      </c>
    </row>
    <row r="12" spans="1:2" x14ac:dyDescent="0.3">
      <c r="A12" s="1" t="s">
        <v>271</v>
      </c>
      <c r="B12" s="1" t="s">
        <v>60</v>
      </c>
    </row>
    <row r="13" spans="1:2" x14ac:dyDescent="0.3">
      <c r="A13" s="1" t="s">
        <v>271</v>
      </c>
      <c r="B13" s="1" t="s">
        <v>82</v>
      </c>
    </row>
    <row r="14" spans="1:2" x14ac:dyDescent="0.3">
      <c r="A14" s="1" t="s">
        <v>271</v>
      </c>
      <c r="B14" s="1" t="s">
        <v>64</v>
      </c>
    </row>
    <row r="15" spans="1:2" x14ac:dyDescent="0.3">
      <c r="A15" s="1" t="s">
        <v>271</v>
      </c>
      <c r="B15" s="1" t="s">
        <v>68</v>
      </c>
    </row>
    <row r="16" spans="1:2" x14ac:dyDescent="0.3">
      <c r="A16" s="1" t="s">
        <v>272</v>
      </c>
      <c r="B16" s="1" t="s">
        <v>82</v>
      </c>
    </row>
    <row r="17" spans="1:2" x14ac:dyDescent="0.3">
      <c r="A17" s="1" t="s">
        <v>272</v>
      </c>
      <c r="B17" s="1" t="s">
        <v>64</v>
      </c>
    </row>
    <row r="18" spans="1:2" x14ac:dyDescent="0.3">
      <c r="A18" s="1" t="s">
        <v>272</v>
      </c>
      <c r="B18" s="1" t="s">
        <v>68</v>
      </c>
    </row>
    <row r="19" spans="1:2" x14ac:dyDescent="0.3">
      <c r="A19" s="1" t="s">
        <v>47</v>
      </c>
      <c r="B19" s="1" t="s">
        <v>54</v>
      </c>
    </row>
    <row r="20" spans="1:2" x14ac:dyDescent="0.3">
      <c r="A20" s="1" t="s">
        <v>47</v>
      </c>
      <c r="B20" s="1" t="s">
        <v>55</v>
      </c>
    </row>
    <row r="21" spans="1:2" x14ac:dyDescent="0.3">
      <c r="A21" s="1" t="s">
        <v>47</v>
      </c>
      <c r="B21" s="1" t="s">
        <v>64</v>
      </c>
    </row>
    <row r="22" spans="1:2" x14ac:dyDescent="0.3">
      <c r="A22" s="1" t="s">
        <v>47</v>
      </c>
      <c r="B22" s="1" t="s">
        <v>66</v>
      </c>
    </row>
    <row r="23" spans="1:2" x14ac:dyDescent="0.3">
      <c r="A23" s="1" t="s">
        <v>47</v>
      </c>
      <c r="B23" s="1" t="s">
        <v>70</v>
      </c>
    </row>
    <row r="24" spans="1:2" x14ac:dyDescent="0.3">
      <c r="A24" s="1" t="s">
        <v>273</v>
      </c>
      <c r="B24" s="1" t="s">
        <v>60</v>
      </c>
    </row>
    <row r="25" spans="1:2" x14ac:dyDescent="0.3">
      <c r="A25" s="1" t="s">
        <v>273</v>
      </c>
      <c r="B25" s="1" t="s">
        <v>64</v>
      </c>
    </row>
    <row r="26" spans="1:2" x14ac:dyDescent="0.3">
      <c r="A26" s="1" t="s">
        <v>273</v>
      </c>
      <c r="B26" s="1" t="s">
        <v>82</v>
      </c>
    </row>
    <row r="27" spans="1:2" x14ac:dyDescent="0.3">
      <c r="A27" s="1" t="s">
        <v>273</v>
      </c>
      <c r="B27" s="1" t="s">
        <v>85</v>
      </c>
    </row>
    <row r="28" spans="1:2" x14ac:dyDescent="0.3">
      <c r="A28" s="1" t="s">
        <v>273</v>
      </c>
      <c r="B28" s="1" t="s">
        <v>57</v>
      </c>
    </row>
    <row r="29" spans="1:2" x14ac:dyDescent="0.3">
      <c r="A29" s="1" t="s">
        <v>273</v>
      </c>
      <c r="B29" s="1" t="s">
        <v>70</v>
      </c>
    </row>
    <row r="30" spans="1:2" x14ac:dyDescent="0.3">
      <c r="A30" s="1" t="s">
        <v>274</v>
      </c>
      <c r="B30" s="1" t="s">
        <v>60</v>
      </c>
    </row>
    <row r="31" spans="1:2" x14ac:dyDescent="0.3">
      <c r="A31" s="1" t="s">
        <v>275</v>
      </c>
      <c r="B31" s="1" t="s">
        <v>59</v>
      </c>
    </row>
    <row r="32" spans="1:2" x14ac:dyDescent="0.3">
      <c r="A32" s="1" t="s">
        <v>311</v>
      </c>
      <c r="B32" s="1" t="s">
        <v>57</v>
      </c>
    </row>
    <row r="33" spans="1:2" x14ac:dyDescent="0.3">
      <c r="A33" s="1" t="s">
        <v>276</v>
      </c>
      <c r="B33" s="1" t="s">
        <v>78</v>
      </c>
    </row>
    <row r="34" spans="1:2" x14ac:dyDescent="0.3">
      <c r="A34" s="1" t="s">
        <v>277</v>
      </c>
      <c r="B34" s="1" t="s">
        <v>55</v>
      </c>
    </row>
    <row r="35" spans="1:2" x14ac:dyDescent="0.3">
      <c r="A35" s="1" t="s">
        <v>277</v>
      </c>
      <c r="B35" s="1" t="s">
        <v>78</v>
      </c>
    </row>
    <row r="36" spans="1:2" x14ac:dyDescent="0.3">
      <c r="A36" s="1" t="s">
        <v>277</v>
      </c>
      <c r="B36" s="1" t="s">
        <v>85</v>
      </c>
    </row>
    <row r="37" spans="1:2" x14ac:dyDescent="0.3">
      <c r="A37" s="1" t="s">
        <v>277</v>
      </c>
      <c r="B37" s="1" t="s">
        <v>68</v>
      </c>
    </row>
    <row r="38" spans="1:2" x14ac:dyDescent="0.3">
      <c r="A38" s="1" t="s">
        <v>277</v>
      </c>
      <c r="B38" s="1" t="s">
        <v>70</v>
      </c>
    </row>
    <row r="39" spans="1:2" x14ac:dyDescent="0.3">
      <c r="A39" s="1" t="s">
        <v>277</v>
      </c>
      <c r="B39" s="1" t="s">
        <v>71</v>
      </c>
    </row>
    <row r="40" spans="1:2" x14ac:dyDescent="0.3">
      <c r="A40" s="1" t="s">
        <v>44</v>
      </c>
      <c r="B40" s="1" t="s">
        <v>59</v>
      </c>
    </row>
    <row r="41" spans="1:2" x14ac:dyDescent="0.3">
      <c r="A41" s="1" t="s">
        <v>278</v>
      </c>
      <c r="B41" s="1" t="s">
        <v>78</v>
      </c>
    </row>
    <row r="42" spans="1:2" x14ac:dyDescent="0.3">
      <c r="A42" s="1" t="s">
        <v>278</v>
      </c>
      <c r="B42" s="1" t="s">
        <v>82</v>
      </c>
    </row>
    <row r="43" spans="1:2" x14ac:dyDescent="0.3">
      <c r="A43" s="1" t="s">
        <v>278</v>
      </c>
      <c r="B43" s="1" t="s">
        <v>64</v>
      </c>
    </row>
    <row r="44" spans="1:2" x14ac:dyDescent="0.3">
      <c r="A44" s="1" t="s">
        <v>278</v>
      </c>
      <c r="B44" s="1" t="s">
        <v>57</v>
      </c>
    </row>
    <row r="45" spans="1:2" x14ac:dyDescent="0.3">
      <c r="A45" s="1" t="s">
        <v>278</v>
      </c>
      <c r="B45" s="1" t="s">
        <v>70</v>
      </c>
    </row>
    <row r="46" spans="1:2" x14ac:dyDescent="0.3">
      <c r="A46" s="1" t="s">
        <v>279</v>
      </c>
      <c r="B46" s="1" t="s">
        <v>60</v>
      </c>
    </row>
    <row r="47" spans="1:2" x14ac:dyDescent="0.3">
      <c r="A47" s="1" t="s">
        <v>279</v>
      </c>
      <c r="B47" s="1" t="s">
        <v>62</v>
      </c>
    </row>
    <row r="48" spans="1:2" x14ac:dyDescent="0.3">
      <c r="A48" s="1" t="s">
        <v>279</v>
      </c>
      <c r="B48" s="1" t="s">
        <v>82</v>
      </c>
    </row>
    <row r="49" spans="1:2" x14ac:dyDescent="0.3">
      <c r="A49" s="1" t="s">
        <v>279</v>
      </c>
      <c r="B49" s="1" t="s">
        <v>64</v>
      </c>
    </row>
    <row r="50" spans="1:2" x14ac:dyDescent="0.3">
      <c r="A50" s="1" t="s">
        <v>279</v>
      </c>
      <c r="B50" s="1" t="s">
        <v>68</v>
      </c>
    </row>
    <row r="51" spans="1:2" x14ac:dyDescent="0.3">
      <c r="A51" s="1" t="s">
        <v>279</v>
      </c>
      <c r="B51" s="1" t="s">
        <v>70</v>
      </c>
    </row>
    <row r="52" spans="1:2" x14ac:dyDescent="0.3">
      <c r="A52" s="1" t="s">
        <v>280</v>
      </c>
      <c r="B52" s="1" t="s">
        <v>59</v>
      </c>
    </row>
    <row r="53" spans="1:2" x14ac:dyDescent="0.3">
      <c r="A53" s="1" t="s">
        <v>280</v>
      </c>
      <c r="B53" s="1" t="s">
        <v>60</v>
      </c>
    </row>
    <row r="54" spans="1:2" x14ac:dyDescent="0.3">
      <c r="A54" s="1" t="s">
        <v>280</v>
      </c>
      <c r="B54" s="1" t="s">
        <v>82</v>
      </c>
    </row>
    <row r="55" spans="1:2" x14ac:dyDescent="0.3">
      <c r="A55" s="1" t="s">
        <v>280</v>
      </c>
      <c r="B55" s="1" t="s">
        <v>64</v>
      </c>
    </row>
    <row r="56" spans="1:2" x14ac:dyDescent="0.3">
      <c r="A56" s="1" t="s">
        <v>281</v>
      </c>
      <c r="B56" s="1" t="s">
        <v>60</v>
      </c>
    </row>
    <row r="57" spans="1:2" x14ac:dyDescent="0.3">
      <c r="A57" s="1" t="s">
        <v>281</v>
      </c>
      <c r="B57" s="1" t="s">
        <v>82</v>
      </c>
    </row>
    <row r="58" spans="1:2" x14ac:dyDescent="0.3">
      <c r="A58" s="1" t="s">
        <v>281</v>
      </c>
      <c r="B58" s="1" t="s">
        <v>64</v>
      </c>
    </row>
    <row r="59" spans="1:2" x14ac:dyDescent="0.3">
      <c r="A59" s="1" t="s">
        <v>281</v>
      </c>
      <c r="B59" s="1" t="s">
        <v>68</v>
      </c>
    </row>
    <row r="60" spans="1:2" x14ac:dyDescent="0.3">
      <c r="A60" s="1" t="s">
        <v>282</v>
      </c>
      <c r="B60" s="1" t="s">
        <v>60</v>
      </c>
    </row>
    <row r="61" spans="1:2" x14ac:dyDescent="0.3">
      <c r="A61" s="1" t="s">
        <v>282</v>
      </c>
      <c r="B61" s="1" t="s">
        <v>82</v>
      </c>
    </row>
    <row r="62" spans="1:2" x14ac:dyDescent="0.3">
      <c r="A62" s="1" t="s">
        <v>282</v>
      </c>
      <c r="B62" s="1" t="s">
        <v>64</v>
      </c>
    </row>
    <row r="63" spans="1:2" x14ac:dyDescent="0.3">
      <c r="A63" s="1" t="s">
        <v>283</v>
      </c>
      <c r="B63" s="1" t="s">
        <v>62</v>
      </c>
    </row>
    <row r="64" spans="1:2" x14ac:dyDescent="0.3">
      <c r="A64" s="1" t="s">
        <v>284</v>
      </c>
      <c r="B64" s="1" t="s">
        <v>57</v>
      </c>
    </row>
    <row r="65" spans="1:2" x14ac:dyDescent="0.3">
      <c r="A65" s="1" t="s">
        <v>43</v>
      </c>
      <c r="B65" s="1" t="s">
        <v>54</v>
      </c>
    </row>
    <row r="66" spans="1:2" x14ac:dyDescent="0.3">
      <c r="A66" s="1" t="s">
        <v>51</v>
      </c>
      <c r="B66" s="1" t="s">
        <v>54</v>
      </c>
    </row>
    <row r="67" spans="1:2" x14ac:dyDescent="0.3">
      <c r="A67" s="1" t="s">
        <v>51</v>
      </c>
      <c r="B67" s="1" t="s">
        <v>83</v>
      </c>
    </row>
    <row r="68" spans="1:2" x14ac:dyDescent="0.3">
      <c r="A68" s="1" t="s">
        <v>53</v>
      </c>
      <c r="B68" s="1" t="s">
        <v>57</v>
      </c>
    </row>
    <row r="69" spans="1:2" x14ac:dyDescent="0.3">
      <c r="A69" s="1" t="s">
        <v>53</v>
      </c>
      <c r="B69" s="1" t="s">
        <v>85</v>
      </c>
    </row>
    <row r="70" spans="1:2" x14ac:dyDescent="0.3">
      <c r="A70" s="1" t="s">
        <v>53</v>
      </c>
      <c r="B70" s="1" t="s">
        <v>82</v>
      </c>
    </row>
    <row r="71" spans="1:2" x14ac:dyDescent="0.3">
      <c r="A71" s="1" t="s">
        <v>53</v>
      </c>
      <c r="B71" s="1" t="s">
        <v>64</v>
      </c>
    </row>
    <row r="72" spans="1:2" x14ac:dyDescent="0.3">
      <c r="A72" s="1" t="s">
        <v>53</v>
      </c>
      <c r="B72" s="1" t="s">
        <v>66</v>
      </c>
    </row>
    <row r="73" spans="1:2" x14ac:dyDescent="0.3">
      <c r="A73" s="1" t="s">
        <v>53</v>
      </c>
      <c r="B73" s="1" t="s">
        <v>70</v>
      </c>
    </row>
    <row r="74" spans="1:2" x14ac:dyDescent="0.3">
      <c r="A74" s="1" t="s">
        <v>45</v>
      </c>
      <c r="B74" s="1" t="s">
        <v>54</v>
      </c>
    </row>
    <row r="75" spans="1:2" x14ac:dyDescent="0.3">
      <c r="A75" s="1" t="s">
        <v>285</v>
      </c>
      <c r="B75" s="1" t="s">
        <v>59</v>
      </c>
    </row>
    <row r="76" spans="1:2" x14ac:dyDescent="0.3">
      <c r="A76" s="1" t="s">
        <v>285</v>
      </c>
      <c r="B76" s="1" t="s">
        <v>82</v>
      </c>
    </row>
    <row r="77" spans="1:2" x14ac:dyDescent="0.3">
      <c r="A77" s="1" t="s">
        <v>285</v>
      </c>
      <c r="B77" s="1" t="s">
        <v>64</v>
      </c>
    </row>
    <row r="78" spans="1:2" x14ac:dyDescent="0.3">
      <c r="A78" s="1" t="s">
        <v>285</v>
      </c>
      <c r="B78" s="1" t="s">
        <v>68</v>
      </c>
    </row>
    <row r="79" spans="1:2" x14ac:dyDescent="0.3">
      <c r="A79" s="1" t="s">
        <v>286</v>
      </c>
      <c r="B79" s="1" t="s">
        <v>58</v>
      </c>
    </row>
    <row r="80" spans="1:2" x14ac:dyDescent="0.3">
      <c r="A80" s="1" t="s">
        <v>287</v>
      </c>
      <c r="B80" s="1" t="s">
        <v>78</v>
      </c>
    </row>
    <row r="81" spans="1:2" x14ac:dyDescent="0.3">
      <c r="A81" s="1" t="s">
        <v>288</v>
      </c>
      <c r="B81" s="1" t="s">
        <v>60</v>
      </c>
    </row>
    <row r="82" spans="1:2" x14ac:dyDescent="0.3">
      <c r="A82" s="1" t="s">
        <v>288</v>
      </c>
      <c r="B82" s="1" t="s">
        <v>82</v>
      </c>
    </row>
    <row r="83" spans="1:2" x14ac:dyDescent="0.3">
      <c r="A83" s="1" t="s">
        <v>288</v>
      </c>
      <c r="B83" s="1" t="s">
        <v>64</v>
      </c>
    </row>
    <row r="84" spans="1:2" x14ac:dyDescent="0.3">
      <c r="A84" s="1" t="s">
        <v>288</v>
      </c>
      <c r="B84" s="1" t="s">
        <v>68</v>
      </c>
    </row>
    <row r="85" spans="1:2" x14ac:dyDescent="0.3">
      <c r="A85" s="1" t="s">
        <v>52</v>
      </c>
      <c r="B85" s="1" t="s">
        <v>57</v>
      </c>
    </row>
    <row r="86" spans="1:2" x14ac:dyDescent="0.3">
      <c r="A86" s="1" t="s">
        <v>52</v>
      </c>
      <c r="B86" s="1" t="s">
        <v>62</v>
      </c>
    </row>
    <row r="87" spans="1:2" x14ac:dyDescent="0.3">
      <c r="A87" s="1" t="s">
        <v>289</v>
      </c>
      <c r="B87" s="1" t="s">
        <v>60</v>
      </c>
    </row>
    <row r="88" spans="1:2" x14ac:dyDescent="0.3">
      <c r="A88" s="1" t="s">
        <v>289</v>
      </c>
      <c r="B88" s="1" t="s">
        <v>64</v>
      </c>
    </row>
    <row r="89" spans="1:2" x14ac:dyDescent="0.3">
      <c r="A89" s="1" t="s">
        <v>290</v>
      </c>
      <c r="B89" s="1" t="s">
        <v>60</v>
      </c>
    </row>
    <row r="90" spans="1:2" x14ac:dyDescent="0.3">
      <c r="A90" s="1" t="s">
        <v>290</v>
      </c>
      <c r="B90" s="1" t="s">
        <v>82</v>
      </c>
    </row>
    <row r="91" spans="1:2" x14ac:dyDescent="0.3">
      <c r="A91" s="1" t="s">
        <v>290</v>
      </c>
      <c r="B91" s="1" t="s">
        <v>64</v>
      </c>
    </row>
    <row r="92" spans="1:2" x14ac:dyDescent="0.3">
      <c r="A92" s="1" t="s">
        <v>290</v>
      </c>
      <c r="B92" s="1" t="s">
        <v>66</v>
      </c>
    </row>
    <row r="93" spans="1:2" x14ac:dyDescent="0.3">
      <c r="A93" s="1" t="s">
        <v>290</v>
      </c>
      <c r="B93" s="1" t="s">
        <v>68</v>
      </c>
    </row>
    <row r="94" spans="1:2" x14ac:dyDescent="0.3">
      <c r="A94" s="1" t="s">
        <v>290</v>
      </c>
      <c r="B94" s="1" t="s">
        <v>70</v>
      </c>
    </row>
    <row r="95" spans="1:2" x14ac:dyDescent="0.3">
      <c r="A95" s="1" t="s">
        <v>291</v>
      </c>
      <c r="B95" s="1" t="s">
        <v>58</v>
      </c>
    </row>
    <row r="96" spans="1:2" x14ac:dyDescent="0.3">
      <c r="A96" s="1" t="s">
        <v>291</v>
      </c>
      <c r="B96" s="1" t="s">
        <v>64</v>
      </c>
    </row>
    <row r="97" spans="1:2" x14ac:dyDescent="0.3">
      <c r="A97" s="1" t="s">
        <v>291</v>
      </c>
      <c r="B97" s="1" t="s">
        <v>71</v>
      </c>
    </row>
    <row r="98" spans="1:2" x14ac:dyDescent="0.3">
      <c r="A98" s="1" t="s">
        <v>292</v>
      </c>
      <c r="B98" s="1" t="s">
        <v>57</v>
      </c>
    </row>
    <row r="99" spans="1:2" x14ac:dyDescent="0.3">
      <c r="A99" s="1" t="s">
        <v>292</v>
      </c>
      <c r="B99" s="1" t="s">
        <v>58</v>
      </c>
    </row>
    <row r="100" spans="1:2" x14ac:dyDescent="0.3">
      <c r="A100" s="1" t="s">
        <v>292</v>
      </c>
      <c r="B100" s="1" t="s">
        <v>62</v>
      </c>
    </row>
    <row r="101" spans="1:2" x14ac:dyDescent="0.3">
      <c r="A101" s="1" t="s">
        <v>292</v>
      </c>
      <c r="B101" s="1" t="s">
        <v>82</v>
      </c>
    </row>
    <row r="102" spans="1:2" x14ac:dyDescent="0.3">
      <c r="A102" s="1" t="s">
        <v>292</v>
      </c>
      <c r="B102" s="1" t="s">
        <v>64</v>
      </c>
    </row>
    <row r="103" spans="1:2" x14ac:dyDescent="0.3">
      <c r="A103" s="1" t="s">
        <v>292</v>
      </c>
      <c r="B103" s="1" t="s">
        <v>66</v>
      </c>
    </row>
    <row r="104" spans="1:2" x14ac:dyDescent="0.3">
      <c r="A104" s="1" t="s">
        <v>292</v>
      </c>
      <c r="B104" s="1" t="s">
        <v>68</v>
      </c>
    </row>
    <row r="105" spans="1:2" x14ac:dyDescent="0.3">
      <c r="A105" s="1" t="s">
        <v>292</v>
      </c>
      <c r="B105" s="1" t="s">
        <v>70</v>
      </c>
    </row>
    <row r="106" spans="1:2" x14ac:dyDescent="0.3">
      <c r="A106" s="1" t="s">
        <v>292</v>
      </c>
      <c r="B106" s="1" t="s">
        <v>71</v>
      </c>
    </row>
    <row r="107" spans="1:2" x14ac:dyDescent="0.3">
      <c r="A107" s="1" t="s">
        <v>293</v>
      </c>
      <c r="B107" s="1" t="s">
        <v>55</v>
      </c>
    </row>
    <row r="108" spans="1:2" x14ac:dyDescent="0.3">
      <c r="A108" s="1" t="s">
        <v>50</v>
      </c>
      <c r="B108" s="1" t="s">
        <v>82</v>
      </c>
    </row>
    <row r="109" spans="1:2" x14ac:dyDescent="0.3">
      <c r="A109" s="1" t="s">
        <v>294</v>
      </c>
      <c r="B109" s="1" t="s">
        <v>60</v>
      </c>
    </row>
    <row r="110" spans="1:2" x14ac:dyDescent="0.3">
      <c r="A110" s="1" t="s">
        <v>294</v>
      </c>
      <c r="B110" s="1" t="s">
        <v>82</v>
      </c>
    </row>
    <row r="111" spans="1:2" x14ac:dyDescent="0.3">
      <c r="A111" s="1" t="s">
        <v>294</v>
      </c>
      <c r="B111" s="1" t="s">
        <v>64</v>
      </c>
    </row>
    <row r="112" spans="1:2" x14ac:dyDescent="0.3">
      <c r="A112" s="1" t="s">
        <v>294</v>
      </c>
      <c r="B112" s="1" t="s">
        <v>68</v>
      </c>
    </row>
    <row r="113" spans="1:2" x14ac:dyDescent="0.3">
      <c r="A113" s="1" t="s">
        <v>294</v>
      </c>
      <c r="B113" s="1" t="s">
        <v>70</v>
      </c>
    </row>
    <row r="114" spans="1:2" x14ac:dyDescent="0.3">
      <c r="A114" s="1" t="s">
        <v>295</v>
      </c>
      <c r="B114" s="1" t="s">
        <v>57</v>
      </c>
    </row>
    <row r="115" spans="1:2" x14ac:dyDescent="0.3">
      <c r="A115" s="1" t="s">
        <v>295</v>
      </c>
      <c r="B115" s="1" t="s">
        <v>60</v>
      </c>
    </row>
    <row r="116" spans="1:2" x14ac:dyDescent="0.3">
      <c r="A116" s="1" t="s">
        <v>295</v>
      </c>
      <c r="B116" s="1" t="s">
        <v>64</v>
      </c>
    </row>
    <row r="117" spans="1:2" x14ac:dyDescent="0.3">
      <c r="A117" s="1" t="s">
        <v>295</v>
      </c>
      <c r="B117" s="1" t="s">
        <v>70</v>
      </c>
    </row>
    <row r="118" spans="1:2" x14ac:dyDescent="0.3">
      <c r="A118" s="1" t="s">
        <v>296</v>
      </c>
      <c r="B118" s="1" t="s">
        <v>64</v>
      </c>
    </row>
    <row r="119" spans="1:2" x14ac:dyDescent="0.3">
      <c r="A119" s="1" t="s">
        <v>297</v>
      </c>
      <c r="B119" s="1" t="s">
        <v>85</v>
      </c>
    </row>
    <row r="120" spans="1:2" x14ac:dyDescent="0.3">
      <c r="A120" s="1" t="s">
        <v>297</v>
      </c>
      <c r="B120" s="1" t="s">
        <v>62</v>
      </c>
    </row>
    <row r="121" spans="1:2" x14ac:dyDescent="0.3">
      <c r="A121" s="1" t="s">
        <v>298</v>
      </c>
      <c r="B121" s="1" t="s">
        <v>57</v>
      </c>
    </row>
    <row r="122" spans="1:2" x14ac:dyDescent="0.3">
      <c r="A122" s="1" t="s">
        <v>298</v>
      </c>
      <c r="B122" s="1" t="s">
        <v>58</v>
      </c>
    </row>
    <row r="123" spans="1:2" x14ac:dyDescent="0.3">
      <c r="A123" s="1" t="s">
        <v>298</v>
      </c>
      <c r="B123" s="1" t="s">
        <v>60</v>
      </c>
    </row>
    <row r="124" spans="1:2" x14ac:dyDescent="0.3">
      <c r="A124" s="1" t="s">
        <v>298</v>
      </c>
      <c r="B124" s="1" t="s">
        <v>85</v>
      </c>
    </row>
    <row r="125" spans="1:2" x14ac:dyDescent="0.3">
      <c r="A125" s="1" t="s">
        <v>298</v>
      </c>
      <c r="B125" s="1" t="s">
        <v>82</v>
      </c>
    </row>
    <row r="126" spans="1:2" x14ac:dyDescent="0.3">
      <c r="A126" s="1" t="s">
        <v>298</v>
      </c>
      <c r="B126" s="1" t="s">
        <v>64</v>
      </c>
    </row>
    <row r="127" spans="1:2" x14ac:dyDescent="0.3">
      <c r="A127" s="1" t="s">
        <v>298</v>
      </c>
      <c r="B127" s="1" t="s">
        <v>66</v>
      </c>
    </row>
    <row r="128" spans="1:2" x14ac:dyDescent="0.3">
      <c r="A128" s="1" t="s">
        <v>298</v>
      </c>
      <c r="B128" s="1" t="s">
        <v>70</v>
      </c>
    </row>
    <row r="129" spans="1:2" x14ac:dyDescent="0.3">
      <c r="A129" s="1" t="s">
        <v>298</v>
      </c>
      <c r="B129" s="1" t="s">
        <v>83</v>
      </c>
    </row>
    <row r="130" spans="1:2" x14ac:dyDescent="0.3">
      <c r="A130" s="1" t="s">
        <v>298</v>
      </c>
      <c r="B130" s="1" t="s">
        <v>71</v>
      </c>
    </row>
    <row r="131" spans="1:2" x14ac:dyDescent="0.3">
      <c r="A131" s="1" t="s">
        <v>49</v>
      </c>
      <c r="B131" s="1" t="s">
        <v>83</v>
      </c>
    </row>
    <row r="132" spans="1:2" x14ac:dyDescent="0.3">
      <c r="A132" s="1" t="s">
        <v>299</v>
      </c>
      <c r="B132" s="1" t="s">
        <v>54</v>
      </c>
    </row>
    <row r="133" spans="1:2" x14ac:dyDescent="0.3">
      <c r="A133" s="1" t="s">
        <v>299</v>
      </c>
      <c r="B133" s="1" t="s">
        <v>59</v>
      </c>
    </row>
    <row r="134" spans="1:2" x14ac:dyDescent="0.3">
      <c r="A134" s="1" t="s">
        <v>299</v>
      </c>
      <c r="B134" s="1" t="s">
        <v>82</v>
      </c>
    </row>
    <row r="135" spans="1:2" x14ac:dyDescent="0.3">
      <c r="A135" s="1" t="s">
        <v>300</v>
      </c>
      <c r="B135" s="1" t="s">
        <v>55</v>
      </c>
    </row>
    <row r="136" spans="1:2" x14ac:dyDescent="0.3">
      <c r="A136" s="1" t="s">
        <v>300</v>
      </c>
      <c r="B136" s="1" t="s">
        <v>59</v>
      </c>
    </row>
    <row r="137" spans="1:2" x14ac:dyDescent="0.3">
      <c r="A137" s="1" t="s">
        <v>300</v>
      </c>
      <c r="B137" s="1" t="s">
        <v>64</v>
      </c>
    </row>
    <row r="138" spans="1:2" x14ac:dyDescent="0.3">
      <c r="A138" s="1" t="s">
        <v>301</v>
      </c>
      <c r="B138" s="1" t="s">
        <v>57</v>
      </c>
    </row>
    <row r="139" spans="1:2" x14ac:dyDescent="0.3">
      <c r="A139" s="1" t="s">
        <v>301</v>
      </c>
      <c r="B139" s="1" t="s">
        <v>82</v>
      </c>
    </row>
    <row r="140" spans="1:2" x14ac:dyDescent="0.3">
      <c r="A140" s="1" t="s">
        <v>301</v>
      </c>
      <c r="B140" s="1" t="s">
        <v>64</v>
      </c>
    </row>
    <row r="141" spans="1:2" x14ac:dyDescent="0.3">
      <c r="A141" s="1" t="s">
        <v>301</v>
      </c>
      <c r="B141" s="1" t="s">
        <v>68</v>
      </c>
    </row>
    <row r="142" spans="1:2" x14ac:dyDescent="0.3">
      <c r="A142" s="1" t="s">
        <v>301</v>
      </c>
      <c r="B142" s="1" t="s">
        <v>70</v>
      </c>
    </row>
    <row r="143" spans="1:2" x14ac:dyDescent="0.3">
      <c r="A143" s="1" t="s">
        <v>302</v>
      </c>
      <c r="B143" s="1" t="s">
        <v>57</v>
      </c>
    </row>
    <row r="144" spans="1:2" x14ac:dyDescent="0.3">
      <c r="A144" s="1" t="s">
        <v>302</v>
      </c>
      <c r="B144" s="1" t="s">
        <v>64</v>
      </c>
    </row>
    <row r="145" spans="1:2" x14ac:dyDescent="0.3">
      <c r="A145" s="1" t="s">
        <v>302</v>
      </c>
      <c r="B145" s="1" t="s">
        <v>66</v>
      </c>
    </row>
    <row r="146" spans="1:2" x14ac:dyDescent="0.3">
      <c r="A146" s="1" t="s">
        <v>302</v>
      </c>
      <c r="B146" s="1" t="s">
        <v>70</v>
      </c>
    </row>
    <row r="147" spans="1:2" x14ac:dyDescent="0.3">
      <c r="A147" s="1" t="s">
        <v>302</v>
      </c>
      <c r="B147" s="1" t="s">
        <v>83</v>
      </c>
    </row>
    <row r="148" spans="1:2" x14ac:dyDescent="0.3">
      <c r="A148" s="1" t="s">
        <v>303</v>
      </c>
      <c r="B148" s="1" t="s">
        <v>60</v>
      </c>
    </row>
    <row r="149" spans="1:2" x14ac:dyDescent="0.3">
      <c r="A149" s="1" t="s">
        <v>303</v>
      </c>
      <c r="B149" s="1" t="s">
        <v>62</v>
      </c>
    </row>
    <row r="150" spans="1:2" x14ac:dyDescent="0.3">
      <c r="A150" s="1" t="s">
        <v>303</v>
      </c>
      <c r="B150" s="1" t="s">
        <v>66</v>
      </c>
    </row>
    <row r="151" spans="1:2" x14ac:dyDescent="0.3">
      <c r="A151" s="1" t="s">
        <v>303</v>
      </c>
      <c r="B151" s="1" t="s">
        <v>70</v>
      </c>
    </row>
    <row r="152" spans="1:2" x14ac:dyDescent="0.3">
      <c r="A152" s="1" t="s">
        <v>304</v>
      </c>
      <c r="B152" s="1" t="s">
        <v>57</v>
      </c>
    </row>
    <row r="153" spans="1:2" x14ac:dyDescent="0.3">
      <c r="A153" s="1" t="s">
        <v>305</v>
      </c>
      <c r="B153" s="1" t="s">
        <v>57</v>
      </c>
    </row>
    <row r="154" spans="1:2" x14ac:dyDescent="0.3">
      <c r="A154" s="1" t="s">
        <v>305</v>
      </c>
      <c r="B154" s="1" t="s">
        <v>58</v>
      </c>
    </row>
    <row r="155" spans="1:2" x14ac:dyDescent="0.3">
      <c r="A155" s="1" t="s">
        <v>305</v>
      </c>
      <c r="B155" s="1" t="s">
        <v>62</v>
      </c>
    </row>
    <row r="156" spans="1:2" x14ac:dyDescent="0.3">
      <c r="A156" s="1" t="s">
        <v>305</v>
      </c>
      <c r="B156" s="1" t="s">
        <v>82</v>
      </c>
    </row>
    <row r="157" spans="1:2" x14ac:dyDescent="0.3">
      <c r="A157" s="1" t="s">
        <v>305</v>
      </c>
      <c r="B157" s="1" t="s">
        <v>64</v>
      </c>
    </row>
    <row r="158" spans="1:2" x14ac:dyDescent="0.3">
      <c r="A158" s="1" t="s">
        <v>305</v>
      </c>
      <c r="B158" s="1" t="s">
        <v>66</v>
      </c>
    </row>
    <row r="159" spans="1:2" x14ac:dyDescent="0.3">
      <c r="A159" s="1" t="s">
        <v>305</v>
      </c>
      <c r="B159" s="1" t="s">
        <v>68</v>
      </c>
    </row>
    <row r="160" spans="1:2" x14ac:dyDescent="0.3">
      <c r="A160" s="1" t="s">
        <v>305</v>
      </c>
      <c r="B160" s="1" t="s">
        <v>70</v>
      </c>
    </row>
    <row r="161" spans="1:2" x14ac:dyDescent="0.3">
      <c r="A161" s="1" t="s">
        <v>306</v>
      </c>
      <c r="B161" s="1" t="s">
        <v>57</v>
      </c>
    </row>
    <row r="162" spans="1:2" x14ac:dyDescent="0.3">
      <c r="A162" s="1" t="s">
        <v>306</v>
      </c>
      <c r="B162" s="1" t="s">
        <v>70</v>
      </c>
    </row>
    <row r="163" spans="1:2" x14ac:dyDescent="0.3">
      <c r="A163" s="1" t="s">
        <v>307</v>
      </c>
      <c r="B163" s="1" t="s">
        <v>59</v>
      </c>
    </row>
    <row r="164" spans="1:2" x14ac:dyDescent="0.3">
      <c r="A164" s="1" t="s">
        <v>307</v>
      </c>
      <c r="B164" s="1" t="s">
        <v>57</v>
      </c>
    </row>
    <row r="165" spans="1:2" x14ac:dyDescent="0.3">
      <c r="A165" s="1" t="s">
        <v>307</v>
      </c>
      <c r="B165" s="1" t="s">
        <v>70</v>
      </c>
    </row>
    <row r="166" spans="1:2" x14ac:dyDescent="0.3">
      <c r="A166" s="1" t="s">
        <v>308</v>
      </c>
      <c r="B166" s="1" t="s">
        <v>58</v>
      </c>
    </row>
    <row r="167" spans="1:2" x14ac:dyDescent="0.3">
      <c r="A167" s="1" t="s">
        <v>308</v>
      </c>
      <c r="B167" s="1" t="s">
        <v>82</v>
      </c>
    </row>
    <row r="168" spans="1:2" x14ac:dyDescent="0.3">
      <c r="A168" s="1" t="s">
        <v>308</v>
      </c>
      <c r="B168" s="1" t="s">
        <v>85</v>
      </c>
    </row>
    <row r="169" spans="1:2" x14ac:dyDescent="0.3">
      <c r="A169" s="1" t="s">
        <v>309</v>
      </c>
      <c r="B169" s="1" t="s">
        <v>55</v>
      </c>
    </row>
    <row r="170" spans="1:2" x14ac:dyDescent="0.3">
      <c r="A170" s="1" t="s">
        <v>309</v>
      </c>
      <c r="B170" s="1" t="s">
        <v>54</v>
      </c>
    </row>
    <row r="171" spans="1:2" x14ac:dyDescent="0.3">
      <c r="A171" s="1" t="s">
        <v>310</v>
      </c>
      <c r="B171" s="1" t="s">
        <v>70</v>
      </c>
    </row>
    <row r="172" spans="1:2" x14ac:dyDescent="0.3">
      <c r="A172" s="1" t="s">
        <v>310</v>
      </c>
      <c r="B172" s="1" t="s">
        <v>68</v>
      </c>
    </row>
    <row r="173" spans="1:2" x14ac:dyDescent="0.3">
      <c r="A173" s="1" t="s">
        <v>310</v>
      </c>
      <c r="B173" s="1" t="s">
        <v>64</v>
      </c>
    </row>
    <row r="174" spans="1:2" x14ac:dyDescent="0.3">
      <c r="A174" s="1" t="s">
        <v>310</v>
      </c>
      <c r="B174" s="1" t="s">
        <v>60</v>
      </c>
    </row>
    <row r="175" spans="1:2" x14ac:dyDescent="0.3">
      <c r="A175" s="1" t="s">
        <v>310</v>
      </c>
      <c r="B175" s="1" t="s">
        <v>55</v>
      </c>
    </row>
    <row r="176" spans="1:2" x14ac:dyDescent="0.3">
      <c r="A176" s="1" t="s">
        <v>312</v>
      </c>
      <c r="B176" s="1" t="s">
        <v>73</v>
      </c>
    </row>
    <row r="177" spans="1:2" x14ac:dyDescent="0.3">
      <c r="A177" s="1" t="s">
        <v>312</v>
      </c>
      <c r="B177" s="1" t="s">
        <v>78</v>
      </c>
    </row>
    <row r="178" spans="1:2" x14ac:dyDescent="0.3">
      <c r="A178"/>
      <c r="B178"/>
    </row>
    <row r="179" spans="1:2" x14ac:dyDescent="0.3">
      <c r="A179"/>
      <c r="B179"/>
    </row>
    <row r="180" spans="1:2" x14ac:dyDescent="0.3">
      <c r="A180"/>
      <c r="B180"/>
    </row>
    <row r="181" spans="1:2" x14ac:dyDescent="0.3">
      <c r="A181"/>
      <c r="B181"/>
    </row>
    <row r="182" spans="1:2" x14ac:dyDescent="0.3">
      <c r="A182"/>
      <c r="B182"/>
    </row>
    <row r="183" spans="1:2" x14ac:dyDescent="0.3">
      <c r="A183"/>
      <c r="B183"/>
    </row>
    <row r="184" spans="1:2" x14ac:dyDescent="0.3">
      <c r="A184"/>
      <c r="B184"/>
    </row>
    <row r="185" spans="1:2" x14ac:dyDescent="0.3">
      <c r="A185"/>
      <c r="B185"/>
    </row>
    <row r="186" spans="1:2" x14ac:dyDescent="0.3">
      <c r="A186"/>
      <c r="B186"/>
    </row>
    <row r="187" spans="1:2" x14ac:dyDescent="0.3">
      <c r="A187"/>
      <c r="B187"/>
    </row>
    <row r="188" spans="1:2" x14ac:dyDescent="0.3">
      <c r="A188"/>
      <c r="B188"/>
    </row>
    <row r="189" spans="1:2" x14ac:dyDescent="0.3">
      <c r="A189"/>
      <c r="B189"/>
    </row>
    <row r="190" spans="1:2" x14ac:dyDescent="0.3">
      <c r="A190"/>
      <c r="B190"/>
    </row>
    <row r="191" spans="1:2" x14ac:dyDescent="0.3">
      <c r="A191"/>
      <c r="B191"/>
    </row>
    <row r="192" spans="1:2" x14ac:dyDescent="0.3">
      <c r="A192"/>
      <c r="B192"/>
    </row>
    <row r="193" spans="1:2" x14ac:dyDescent="0.3">
      <c r="A193"/>
      <c r="B193"/>
    </row>
    <row r="194" spans="1:2" x14ac:dyDescent="0.3">
      <c r="A194"/>
      <c r="B194"/>
    </row>
    <row r="195" spans="1:2" x14ac:dyDescent="0.3">
      <c r="A195"/>
      <c r="B195"/>
    </row>
    <row r="196" spans="1:2" x14ac:dyDescent="0.3">
      <c r="A196"/>
      <c r="B196"/>
    </row>
    <row r="197" spans="1:2" x14ac:dyDescent="0.3">
      <c r="A197"/>
      <c r="B197"/>
    </row>
    <row r="198" spans="1:2" x14ac:dyDescent="0.3">
      <c r="A198"/>
      <c r="B198"/>
    </row>
    <row r="199" spans="1:2" x14ac:dyDescent="0.3">
      <c r="A199"/>
      <c r="B199"/>
    </row>
    <row r="200" spans="1:2" x14ac:dyDescent="0.3">
      <c r="A200"/>
      <c r="B200"/>
    </row>
    <row r="201" spans="1:2" x14ac:dyDescent="0.3">
      <c r="A201"/>
      <c r="B201"/>
    </row>
    <row r="202" spans="1:2" x14ac:dyDescent="0.3">
      <c r="A202"/>
      <c r="B202"/>
    </row>
    <row r="203" spans="1:2" x14ac:dyDescent="0.3">
      <c r="A203"/>
      <c r="B203"/>
    </row>
    <row r="204" spans="1:2" x14ac:dyDescent="0.3">
      <c r="A204"/>
      <c r="B204"/>
    </row>
    <row r="205" spans="1:2" x14ac:dyDescent="0.3">
      <c r="A205"/>
      <c r="B205"/>
    </row>
    <row r="206" spans="1:2" x14ac:dyDescent="0.3">
      <c r="A206"/>
      <c r="B206"/>
    </row>
    <row r="207" spans="1:2" x14ac:dyDescent="0.3">
      <c r="A207"/>
      <c r="B207"/>
    </row>
    <row r="208" spans="1:2" x14ac:dyDescent="0.3">
      <c r="A208"/>
      <c r="B208"/>
    </row>
    <row r="209" spans="1:2" x14ac:dyDescent="0.3">
      <c r="A209"/>
      <c r="B209"/>
    </row>
    <row r="210" spans="1:2" x14ac:dyDescent="0.3">
      <c r="A210"/>
      <c r="B210"/>
    </row>
    <row r="211" spans="1:2" x14ac:dyDescent="0.3">
      <c r="A211"/>
      <c r="B211"/>
    </row>
    <row r="212" spans="1:2" x14ac:dyDescent="0.3">
      <c r="A212"/>
      <c r="B212"/>
    </row>
    <row r="213" spans="1:2" x14ac:dyDescent="0.3">
      <c r="A213"/>
      <c r="B213"/>
    </row>
    <row r="214" spans="1:2" x14ac:dyDescent="0.3">
      <c r="A214"/>
      <c r="B214"/>
    </row>
    <row r="215" spans="1:2" x14ac:dyDescent="0.3">
      <c r="A215"/>
      <c r="B215"/>
    </row>
    <row r="216" spans="1:2" x14ac:dyDescent="0.3">
      <c r="A216"/>
      <c r="B216"/>
    </row>
    <row r="217" spans="1:2" x14ac:dyDescent="0.3">
      <c r="A217"/>
      <c r="B217"/>
    </row>
    <row r="218" spans="1:2" x14ac:dyDescent="0.3">
      <c r="A218"/>
      <c r="B218"/>
    </row>
    <row r="219" spans="1:2" x14ac:dyDescent="0.3">
      <c r="A219"/>
      <c r="B219"/>
    </row>
    <row r="220" spans="1:2" x14ac:dyDescent="0.3">
      <c r="A220"/>
      <c r="B220"/>
    </row>
    <row r="221" spans="1:2" x14ac:dyDescent="0.3">
      <c r="A221"/>
      <c r="B221"/>
    </row>
    <row r="222" spans="1:2" x14ac:dyDescent="0.3">
      <c r="A222"/>
      <c r="B222"/>
    </row>
    <row r="223" spans="1:2" x14ac:dyDescent="0.3">
      <c r="A223"/>
      <c r="B223"/>
    </row>
    <row r="224" spans="1:2" x14ac:dyDescent="0.3">
      <c r="A224"/>
      <c r="B224"/>
    </row>
    <row r="225" spans="1:2" x14ac:dyDescent="0.3">
      <c r="A225"/>
      <c r="B225"/>
    </row>
    <row r="226" spans="1:2" x14ac:dyDescent="0.3">
      <c r="A226"/>
      <c r="B226"/>
    </row>
    <row r="227" spans="1:2" x14ac:dyDescent="0.3">
      <c r="A227"/>
      <c r="B227"/>
    </row>
    <row r="228" spans="1:2" x14ac:dyDescent="0.3">
      <c r="A228"/>
      <c r="B228"/>
    </row>
    <row r="229" spans="1:2" x14ac:dyDescent="0.3">
      <c r="A229"/>
      <c r="B229"/>
    </row>
    <row r="230" spans="1:2" x14ac:dyDescent="0.3">
      <c r="A230"/>
      <c r="B230"/>
    </row>
    <row r="231" spans="1:2" x14ac:dyDescent="0.3">
      <c r="A231"/>
      <c r="B231"/>
    </row>
    <row r="232" spans="1:2" x14ac:dyDescent="0.3">
      <c r="A232"/>
      <c r="B232"/>
    </row>
    <row r="233" spans="1:2" x14ac:dyDescent="0.3">
      <c r="A233"/>
      <c r="B233"/>
    </row>
    <row r="234" spans="1:2" x14ac:dyDescent="0.3">
      <c r="A234"/>
      <c r="B234"/>
    </row>
    <row r="235" spans="1:2" x14ac:dyDescent="0.3">
      <c r="A235"/>
      <c r="B235"/>
    </row>
    <row r="236" spans="1:2" x14ac:dyDescent="0.3">
      <c r="A236"/>
      <c r="B236"/>
    </row>
    <row r="237" spans="1:2" x14ac:dyDescent="0.3">
      <c r="A237"/>
      <c r="B237"/>
    </row>
    <row r="238" spans="1:2" x14ac:dyDescent="0.3">
      <c r="A238"/>
      <c r="B238"/>
    </row>
    <row r="239" spans="1:2" x14ac:dyDescent="0.3">
      <c r="A239"/>
      <c r="B239"/>
    </row>
    <row r="240" spans="1:2" x14ac:dyDescent="0.3">
      <c r="A240"/>
      <c r="B240"/>
    </row>
    <row r="241" spans="1:2" x14ac:dyDescent="0.3">
      <c r="A241"/>
      <c r="B241"/>
    </row>
    <row r="242" spans="1:2" x14ac:dyDescent="0.3">
      <c r="A242"/>
      <c r="B242"/>
    </row>
    <row r="243" spans="1:2" x14ac:dyDescent="0.3">
      <c r="A243"/>
      <c r="B243"/>
    </row>
    <row r="244" spans="1:2" x14ac:dyDescent="0.3">
      <c r="A244"/>
      <c r="B244"/>
    </row>
    <row r="245" spans="1:2" x14ac:dyDescent="0.3">
      <c r="A245"/>
      <c r="B245"/>
    </row>
    <row r="246" spans="1:2" x14ac:dyDescent="0.3">
      <c r="A246"/>
      <c r="B246"/>
    </row>
    <row r="247" spans="1:2" x14ac:dyDescent="0.3">
      <c r="A247"/>
      <c r="B247"/>
    </row>
    <row r="248" spans="1:2" x14ac:dyDescent="0.3">
      <c r="A248"/>
      <c r="B248"/>
    </row>
    <row r="249" spans="1:2" x14ac:dyDescent="0.3">
      <c r="A249"/>
      <c r="B249"/>
    </row>
    <row r="250" spans="1:2" x14ac:dyDescent="0.3">
      <c r="A250"/>
      <c r="B250"/>
    </row>
    <row r="251" spans="1:2" x14ac:dyDescent="0.3">
      <c r="A251"/>
      <c r="B251"/>
    </row>
    <row r="252" spans="1:2" x14ac:dyDescent="0.3">
      <c r="A252"/>
      <c r="B252"/>
    </row>
    <row r="253" spans="1:2" x14ac:dyDescent="0.3">
      <c r="A253"/>
      <c r="B253"/>
    </row>
    <row r="254" spans="1:2" x14ac:dyDescent="0.3">
      <c r="A254"/>
      <c r="B254"/>
    </row>
    <row r="255" spans="1:2" x14ac:dyDescent="0.3">
      <c r="A255"/>
      <c r="B255"/>
    </row>
    <row r="256" spans="1:2" x14ac:dyDescent="0.3">
      <c r="A256"/>
      <c r="B256"/>
    </row>
    <row r="257" spans="1:2" x14ac:dyDescent="0.3">
      <c r="A257"/>
      <c r="B257"/>
    </row>
    <row r="258" spans="1:2" x14ac:dyDescent="0.3">
      <c r="A258"/>
      <c r="B258"/>
    </row>
    <row r="259" spans="1:2" x14ac:dyDescent="0.3">
      <c r="A259"/>
      <c r="B259"/>
    </row>
    <row r="260" spans="1:2" x14ac:dyDescent="0.3">
      <c r="A260"/>
      <c r="B260"/>
    </row>
    <row r="261" spans="1:2" x14ac:dyDescent="0.3">
      <c r="A261"/>
      <c r="B261"/>
    </row>
    <row r="262" spans="1:2" x14ac:dyDescent="0.3">
      <c r="A262"/>
      <c r="B262"/>
    </row>
    <row r="263" spans="1:2" x14ac:dyDescent="0.3">
      <c r="A263"/>
      <c r="B263"/>
    </row>
    <row r="264" spans="1:2" x14ac:dyDescent="0.3">
      <c r="A264"/>
      <c r="B264"/>
    </row>
    <row r="265" spans="1:2" x14ac:dyDescent="0.3">
      <c r="A265"/>
      <c r="B265"/>
    </row>
    <row r="266" spans="1:2" x14ac:dyDescent="0.3">
      <c r="A266"/>
      <c r="B266"/>
    </row>
    <row r="267" spans="1:2" x14ac:dyDescent="0.3">
      <c r="A267"/>
      <c r="B267"/>
    </row>
    <row r="268" spans="1:2" x14ac:dyDescent="0.3">
      <c r="A268"/>
      <c r="B268"/>
    </row>
    <row r="269" spans="1:2" x14ac:dyDescent="0.3">
      <c r="A269"/>
      <c r="B269"/>
    </row>
    <row r="270" spans="1:2" x14ac:dyDescent="0.3">
      <c r="A270"/>
      <c r="B270"/>
    </row>
    <row r="271" spans="1:2" x14ac:dyDescent="0.3">
      <c r="A271"/>
      <c r="B271"/>
    </row>
    <row r="272" spans="1:2" x14ac:dyDescent="0.3">
      <c r="A272"/>
      <c r="B272"/>
    </row>
    <row r="273" spans="1:2" x14ac:dyDescent="0.3">
      <c r="A273"/>
      <c r="B273"/>
    </row>
    <row r="274" spans="1:2" x14ac:dyDescent="0.3">
      <c r="A274"/>
      <c r="B274"/>
    </row>
    <row r="275" spans="1:2" x14ac:dyDescent="0.3">
      <c r="A275"/>
      <c r="B275"/>
    </row>
    <row r="276" spans="1:2" x14ac:dyDescent="0.3">
      <c r="A276"/>
      <c r="B276"/>
    </row>
    <row r="277" spans="1:2" x14ac:dyDescent="0.3">
      <c r="A277"/>
      <c r="B277"/>
    </row>
    <row r="278" spans="1:2" x14ac:dyDescent="0.3">
      <c r="A278"/>
      <c r="B278"/>
    </row>
    <row r="279" spans="1:2" x14ac:dyDescent="0.3">
      <c r="A279"/>
      <c r="B279"/>
    </row>
    <row r="280" spans="1:2" x14ac:dyDescent="0.3">
      <c r="A280"/>
      <c r="B280"/>
    </row>
    <row r="281" spans="1:2" x14ac:dyDescent="0.3">
      <c r="A281"/>
      <c r="B281"/>
    </row>
    <row r="282" spans="1:2" x14ac:dyDescent="0.3">
      <c r="A282"/>
      <c r="B282"/>
    </row>
    <row r="283" spans="1:2" x14ac:dyDescent="0.3">
      <c r="A283"/>
      <c r="B283"/>
    </row>
    <row r="284" spans="1:2" x14ac:dyDescent="0.3">
      <c r="A284"/>
      <c r="B284"/>
    </row>
    <row r="285" spans="1:2" x14ac:dyDescent="0.3">
      <c r="A285"/>
      <c r="B285"/>
    </row>
    <row r="286" spans="1:2" x14ac:dyDescent="0.3">
      <c r="A286"/>
      <c r="B286"/>
    </row>
    <row r="287" spans="1:2" x14ac:dyDescent="0.3">
      <c r="A287"/>
      <c r="B287"/>
    </row>
    <row r="288" spans="1:2" x14ac:dyDescent="0.3">
      <c r="A288"/>
      <c r="B288"/>
    </row>
    <row r="289" spans="1:2" x14ac:dyDescent="0.3">
      <c r="A289"/>
      <c r="B289"/>
    </row>
    <row r="290" spans="1:2" x14ac:dyDescent="0.3">
      <c r="A290"/>
      <c r="B290"/>
    </row>
    <row r="291" spans="1:2" x14ac:dyDescent="0.3">
      <c r="A291"/>
      <c r="B291"/>
    </row>
    <row r="292" spans="1:2" x14ac:dyDescent="0.3">
      <c r="A292"/>
      <c r="B292"/>
    </row>
    <row r="293" spans="1:2" x14ac:dyDescent="0.3">
      <c r="A293"/>
      <c r="B293"/>
    </row>
    <row r="294" spans="1:2" x14ac:dyDescent="0.3">
      <c r="A294"/>
      <c r="B294"/>
    </row>
    <row r="295" spans="1:2" x14ac:dyDescent="0.3">
      <c r="A295"/>
      <c r="B295"/>
    </row>
    <row r="296" spans="1:2" x14ac:dyDescent="0.3">
      <c r="A296"/>
      <c r="B296"/>
    </row>
    <row r="297" spans="1:2" x14ac:dyDescent="0.3">
      <c r="A297"/>
      <c r="B297"/>
    </row>
    <row r="298" spans="1:2" x14ac:dyDescent="0.3">
      <c r="A298"/>
      <c r="B298"/>
    </row>
    <row r="299" spans="1:2" x14ac:dyDescent="0.3">
      <c r="A299"/>
      <c r="B299"/>
    </row>
    <row r="300" spans="1:2" x14ac:dyDescent="0.3">
      <c r="A300"/>
      <c r="B300"/>
    </row>
    <row r="301" spans="1:2" x14ac:dyDescent="0.3">
      <c r="A301"/>
      <c r="B301"/>
    </row>
    <row r="302" spans="1:2" x14ac:dyDescent="0.3">
      <c r="A302"/>
      <c r="B302"/>
    </row>
    <row r="303" spans="1:2" x14ac:dyDescent="0.3">
      <c r="A303"/>
      <c r="B303"/>
    </row>
    <row r="304" spans="1:2" x14ac:dyDescent="0.3">
      <c r="A304"/>
      <c r="B304"/>
    </row>
    <row r="305" spans="1:2" x14ac:dyDescent="0.3">
      <c r="A305"/>
      <c r="B305"/>
    </row>
    <row r="306" spans="1:2" x14ac:dyDescent="0.3">
      <c r="A306"/>
      <c r="B306"/>
    </row>
    <row r="307" spans="1:2" x14ac:dyDescent="0.3">
      <c r="A307"/>
      <c r="B307"/>
    </row>
    <row r="308" spans="1:2" x14ac:dyDescent="0.3">
      <c r="A308"/>
      <c r="B308"/>
    </row>
    <row r="309" spans="1:2" x14ac:dyDescent="0.3">
      <c r="A309"/>
      <c r="B309"/>
    </row>
    <row r="310" spans="1:2" x14ac:dyDescent="0.3">
      <c r="A310"/>
      <c r="B310"/>
    </row>
    <row r="311" spans="1:2" x14ac:dyDescent="0.3">
      <c r="A311"/>
      <c r="B311"/>
    </row>
    <row r="312" spans="1:2" x14ac:dyDescent="0.3">
      <c r="A312"/>
      <c r="B312"/>
    </row>
    <row r="313" spans="1:2" x14ac:dyDescent="0.3">
      <c r="A313"/>
      <c r="B313"/>
    </row>
    <row r="314" spans="1:2" x14ac:dyDescent="0.3">
      <c r="A314"/>
      <c r="B314"/>
    </row>
    <row r="315" spans="1:2" x14ac:dyDescent="0.3">
      <c r="A315"/>
      <c r="B315"/>
    </row>
    <row r="316" spans="1:2" x14ac:dyDescent="0.3">
      <c r="A316"/>
      <c r="B316"/>
    </row>
    <row r="317" spans="1:2" x14ac:dyDescent="0.3">
      <c r="A317"/>
      <c r="B317"/>
    </row>
    <row r="318" spans="1:2" x14ac:dyDescent="0.3">
      <c r="A318"/>
      <c r="B318"/>
    </row>
    <row r="319" spans="1:2" x14ac:dyDescent="0.3">
      <c r="A319"/>
      <c r="B319"/>
    </row>
    <row r="320" spans="1:2" x14ac:dyDescent="0.3">
      <c r="A320"/>
      <c r="B320"/>
    </row>
    <row r="321" spans="1:2" x14ac:dyDescent="0.3">
      <c r="A321"/>
      <c r="B321"/>
    </row>
    <row r="322" spans="1:2" x14ac:dyDescent="0.3">
      <c r="A322"/>
      <c r="B322"/>
    </row>
    <row r="323" spans="1:2" x14ac:dyDescent="0.3">
      <c r="A323"/>
      <c r="B323"/>
    </row>
    <row r="324" spans="1:2" x14ac:dyDescent="0.3">
      <c r="A324"/>
      <c r="B324"/>
    </row>
    <row r="325" spans="1:2" x14ac:dyDescent="0.3">
      <c r="A325"/>
      <c r="B325"/>
    </row>
    <row r="326" spans="1:2" x14ac:dyDescent="0.3">
      <c r="A326"/>
      <c r="B326"/>
    </row>
    <row r="327" spans="1:2" x14ac:dyDescent="0.3">
      <c r="A327"/>
      <c r="B327"/>
    </row>
    <row r="328" spans="1:2" x14ac:dyDescent="0.3">
      <c r="A328"/>
      <c r="B328"/>
    </row>
    <row r="329" spans="1:2" x14ac:dyDescent="0.3">
      <c r="A329"/>
      <c r="B329"/>
    </row>
    <row r="330" spans="1:2" x14ac:dyDescent="0.3">
      <c r="A330"/>
      <c r="B330"/>
    </row>
    <row r="331" spans="1:2" x14ac:dyDescent="0.3">
      <c r="A331"/>
      <c r="B331"/>
    </row>
    <row r="332" spans="1:2" x14ac:dyDescent="0.3">
      <c r="A332"/>
      <c r="B332"/>
    </row>
    <row r="333" spans="1:2" x14ac:dyDescent="0.3">
      <c r="A333"/>
      <c r="B333"/>
    </row>
    <row r="334" spans="1:2" x14ac:dyDescent="0.3">
      <c r="A334"/>
      <c r="B334"/>
    </row>
    <row r="335" spans="1:2" x14ac:dyDescent="0.3">
      <c r="A335"/>
      <c r="B335"/>
    </row>
    <row r="336" spans="1:2" x14ac:dyDescent="0.3">
      <c r="A336"/>
      <c r="B336"/>
    </row>
    <row r="337" spans="1:2" x14ac:dyDescent="0.3">
      <c r="A337"/>
      <c r="B337"/>
    </row>
    <row r="338" spans="1:2" x14ac:dyDescent="0.3">
      <c r="A338"/>
      <c r="B338"/>
    </row>
    <row r="339" spans="1:2" x14ac:dyDescent="0.3">
      <c r="A339"/>
      <c r="B339"/>
    </row>
    <row r="340" spans="1:2" x14ac:dyDescent="0.3">
      <c r="A340"/>
      <c r="B340"/>
    </row>
    <row r="341" spans="1:2" x14ac:dyDescent="0.3">
      <c r="A341"/>
      <c r="B341"/>
    </row>
    <row r="342" spans="1:2" x14ac:dyDescent="0.3">
      <c r="A342"/>
      <c r="B342"/>
    </row>
    <row r="343" spans="1:2" x14ac:dyDescent="0.3">
      <c r="A343"/>
      <c r="B343"/>
    </row>
    <row r="344" spans="1:2" x14ac:dyDescent="0.3">
      <c r="A344"/>
      <c r="B344"/>
    </row>
    <row r="345" spans="1:2" x14ac:dyDescent="0.3">
      <c r="A345"/>
      <c r="B345"/>
    </row>
    <row r="346" spans="1:2" x14ac:dyDescent="0.3">
      <c r="A346"/>
      <c r="B346"/>
    </row>
    <row r="347" spans="1:2" x14ac:dyDescent="0.3">
      <c r="A347"/>
      <c r="B347"/>
    </row>
    <row r="348" spans="1:2" x14ac:dyDescent="0.3">
      <c r="A348"/>
      <c r="B348"/>
    </row>
    <row r="349" spans="1:2" x14ac:dyDescent="0.3">
      <c r="A349"/>
      <c r="B349"/>
    </row>
    <row r="350" spans="1:2" x14ac:dyDescent="0.3">
      <c r="A350"/>
      <c r="B350"/>
    </row>
    <row r="351" spans="1:2" x14ac:dyDescent="0.3">
      <c r="A351"/>
      <c r="B351"/>
    </row>
    <row r="352" spans="1:2" x14ac:dyDescent="0.3">
      <c r="A352"/>
      <c r="B352"/>
    </row>
    <row r="353" spans="1:2" x14ac:dyDescent="0.3">
      <c r="A353"/>
      <c r="B353"/>
    </row>
    <row r="354" spans="1:2" x14ac:dyDescent="0.3">
      <c r="A354"/>
      <c r="B354"/>
    </row>
    <row r="355" spans="1:2" x14ac:dyDescent="0.3">
      <c r="A355"/>
      <c r="B355"/>
    </row>
    <row r="356" spans="1:2" x14ac:dyDescent="0.3">
      <c r="A356"/>
      <c r="B356"/>
    </row>
    <row r="357" spans="1:2" x14ac:dyDescent="0.3">
      <c r="A357"/>
      <c r="B357"/>
    </row>
    <row r="358" spans="1:2" x14ac:dyDescent="0.3">
      <c r="A358"/>
      <c r="B358"/>
    </row>
    <row r="359" spans="1:2" x14ac:dyDescent="0.3">
      <c r="A359"/>
      <c r="B359"/>
    </row>
    <row r="360" spans="1:2" x14ac:dyDescent="0.3">
      <c r="A360"/>
      <c r="B360"/>
    </row>
    <row r="361" spans="1:2" x14ac:dyDescent="0.3">
      <c r="A361"/>
      <c r="B361"/>
    </row>
    <row r="362" spans="1:2" x14ac:dyDescent="0.3">
      <c r="A362"/>
      <c r="B362"/>
    </row>
    <row r="363" spans="1:2" x14ac:dyDescent="0.3">
      <c r="A363"/>
      <c r="B363"/>
    </row>
    <row r="364" spans="1:2" x14ac:dyDescent="0.3">
      <c r="A364"/>
      <c r="B364"/>
    </row>
    <row r="365" spans="1:2" x14ac:dyDescent="0.3">
      <c r="A365"/>
      <c r="B365"/>
    </row>
    <row r="366" spans="1:2" x14ac:dyDescent="0.3">
      <c r="A366"/>
      <c r="B366"/>
    </row>
    <row r="367" spans="1:2" x14ac:dyDescent="0.3">
      <c r="A367"/>
      <c r="B367"/>
    </row>
    <row r="368" spans="1:2" x14ac:dyDescent="0.3">
      <c r="A368"/>
      <c r="B368"/>
    </row>
    <row r="369" spans="1:2" x14ac:dyDescent="0.3">
      <c r="A369"/>
      <c r="B369"/>
    </row>
    <row r="370" spans="1:2" x14ac:dyDescent="0.3">
      <c r="A370"/>
      <c r="B370"/>
    </row>
    <row r="371" spans="1:2" x14ac:dyDescent="0.3">
      <c r="A371"/>
      <c r="B371"/>
    </row>
    <row r="372" spans="1:2" x14ac:dyDescent="0.3">
      <c r="A372"/>
      <c r="B372"/>
    </row>
    <row r="373" spans="1:2" x14ac:dyDescent="0.3">
      <c r="A373"/>
      <c r="B373"/>
    </row>
    <row r="374" spans="1:2" x14ac:dyDescent="0.3">
      <c r="A374"/>
      <c r="B374"/>
    </row>
    <row r="375" spans="1:2" x14ac:dyDescent="0.3">
      <c r="A375"/>
      <c r="B375"/>
    </row>
    <row r="376" spans="1:2" x14ac:dyDescent="0.3">
      <c r="A376"/>
      <c r="B376"/>
    </row>
    <row r="377" spans="1:2" x14ac:dyDescent="0.3">
      <c r="A377"/>
      <c r="B377"/>
    </row>
    <row r="378" spans="1:2" x14ac:dyDescent="0.3">
      <c r="A378"/>
      <c r="B378"/>
    </row>
    <row r="379" spans="1:2" x14ac:dyDescent="0.3">
      <c r="A379"/>
      <c r="B379"/>
    </row>
    <row r="380" spans="1:2" x14ac:dyDescent="0.3">
      <c r="A380"/>
      <c r="B380"/>
    </row>
    <row r="381" spans="1:2" x14ac:dyDescent="0.3">
      <c r="A381"/>
      <c r="B381"/>
    </row>
    <row r="382" spans="1:2" x14ac:dyDescent="0.3">
      <c r="A382"/>
      <c r="B382"/>
    </row>
    <row r="383" spans="1:2" x14ac:dyDescent="0.3">
      <c r="A383"/>
      <c r="B383"/>
    </row>
    <row r="384" spans="1:2" x14ac:dyDescent="0.3">
      <c r="A384"/>
      <c r="B384"/>
    </row>
    <row r="385" spans="1:2" x14ac:dyDescent="0.3">
      <c r="A385"/>
      <c r="B385"/>
    </row>
    <row r="386" spans="1:2" x14ac:dyDescent="0.3">
      <c r="A386"/>
      <c r="B386"/>
    </row>
    <row r="387" spans="1:2" x14ac:dyDescent="0.3">
      <c r="A387"/>
      <c r="B387"/>
    </row>
    <row r="388" spans="1:2" x14ac:dyDescent="0.3">
      <c r="A388"/>
      <c r="B388"/>
    </row>
    <row r="389" spans="1:2" x14ac:dyDescent="0.3">
      <c r="A389"/>
      <c r="B389"/>
    </row>
    <row r="390" spans="1:2" x14ac:dyDescent="0.3">
      <c r="A390"/>
      <c r="B390"/>
    </row>
    <row r="391" spans="1:2" x14ac:dyDescent="0.3">
      <c r="A391"/>
      <c r="B391"/>
    </row>
    <row r="392" spans="1:2" x14ac:dyDescent="0.3">
      <c r="A392"/>
      <c r="B392"/>
    </row>
    <row r="393" spans="1:2" x14ac:dyDescent="0.3">
      <c r="A393"/>
      <c r="B393"/>
    </row>
    <row r="394" spans="1:2" x14ac:dyDescent="0.3">
      <c r="A394"/>
      <c r="B394"/>
    </row>
    <row r="395" spans="1:2" x14ac:dyDescent="0.3">
      <c r="A395"/>
      <c r="B395"/>
    </row>
    <row r="396" spans="1:2" x14ac:dyDescent="0.3">
      <c r="A396"/>
      <c r="B396"/>
    </row>
    <row r="397" spans="1:2" x14ac:dyDescent="0.3">
      <c r="A397"/>
      <c r="B397"/>
    </row>
    <row r="398" spans="1:2" x14ac:dyDescent="0.3">
      <c r="A398"/>
      <c r="B398"/>
    </row>
    <row r="399" spans="1:2" x14ac:dyDescent="0.3">
      <c r="A399"/>
      <c r="B399"/>
    </row>
    <row r="400" spans="1:2" x14ac:dyDescent="0.3">
      <c r="A400"/>
      <c r="B400"/>
    </row>
    <row r="401" spans="1:2" x14ac:dyDescent="0.3">
      <c r="A401"/>
      <c r="B401"/>
    </row>
    <row r="402" spans="1:2" x14ac:dyDescent="0.3">
      <c r="A402"/>
      <c r="B402"/>
    </row>
    <row r="403" spans="1:2" x14ac:dyDescent="0.3">
      <c r="A403"/>
      <c r="B403"/>
    </row>
    <row r="404" spans="1:2" x14ac:dyDescent="0.3">
      <c r="A404"/>
      <c r="B404"/>
    </row>
    <row r="405" spans="1:2" x14ac:dyDescent="0.3">
      <c r="A405"/>
      <c r="B405"/>
    </row>
    <row r="406" spans="1:2" x14ac:dyDescent="0.3">
      <c r="A406"/>
      <c r="B406"/>
    </row>
    <row r="407" spans="1:2" x14ac:dyDescent="0.3">
      <c r="A407"/>
      <c r="B407"/>
    </row>
    <row r="408" spans="1:2" x14ac:dyDescent="0.3">
      <c r="A408"/>
      <c r="B408"/>
    </row>
    <row r="409" spans="1:2" x14ac:dyDescent="0.3">
      <c r="A409"/>
      <c r="B409"/>
    </row>
    <row r="410" spans="1:2" x14ac:dyDescent="0.3">
      <c r="A410"/>
      <c r="B410"/>
    </row>
    <row r="411" spans="1:2" x14ac:dyDescent="0.3">
      <c r="A411"/>
      <c r="B411"/>
    </row>
    <row r="412" spans="1:2" x14ac:dyDescent="0.3">
      <c r="A412"/>
      <c r="B412"/>
    </row>
    <row r="413" spans="1:2" x14ac:dyDescent="0.3">
      <c r="A413"/>
      <c r="B413"/>
    </row>
    <row r="414" spans="1:2" x14ac:dyDescent="0.3">
      <c r="A414"/>
      <c r="B414"/>
    </row>
    <row r="415" spans="1:2" x14ac:dyDescent="0.3">
      <c r="A415"/>
      <c r="B415"/>
    </row>
    <row r="416" spans="1:2" x14ac:dyDescent="0.3">
      <c r="A416"/>
      <c r="B416"/>
    </row>
    <row r="417" spans="1:2" x14ac:dyDescent="0.3">
      <c r="A417"/>
      <c r="B417"/>
    </row>
    <row r="418" spans="1:2" x14ac:dyDescent="0.3">
      <c r="A418"/>
      <c r="B418"/>
    </row>
    <row r="419" spans="1:2" x14ac:dyDescent="0.3">
      <c r="A419"/>
      <c r="B419"/>
    </row>
    <row r="420" spans="1:2" x14ac:dyDescent="0.3">
      <c r="A420"/>
      <c r="B420"/>
    </row>
    <row r="421" spans="1:2" x14ac:dyDescent="0.3">
      <c r="A421"/>
      <c r="B421"/>
    </row>
    <row r="422" spans="1:2" x14ac:dyDescent="0.3">
      <c r="A422"/>
      <c r="B422"/>
    </row>
    <row r="423" spans="1:2" x14ac:dyDescent="0.3">
      <c r="A423"/>
      <c r="B423"/>
    </row>
    <row r="424" spans="1:2" x14ac:dyDescent="0.3">
      <c r="A424"/>
      <c r="B424"/>
    </row>
    <row r="425" spans="1:2" x14ac:dyDescent="0.3">
      <c r="A425"/>
      <c r="B425"/>
    </row>
    <row r="426" spans="1:2" x14ac:dyDescent="0.3">
      <c r="A426"/>
      <c r="B426"/>
    </row>
    <row r="427" spans="1:2" x14ac:dyDescent="0.3">
      <c r="A427"/>
      <c r="B427"/>
    </row>
    <row r="428" spans="1:2" x14ac:dyDescent="0.3">
      <c r="A428"/>
      <c r="B428"/>
    </row>
    <row r="429" spans="1:2" x14ac:dyDescent="0.3">
      <c r="A429"/>
      <c r="B429"/>
    </row>
    <row r="430" spans="1:2" x14ac:dyDescent="0.3">
      <c r="A430"/>
      <c r="B430"/>
    </row>
    <row r="431" spans="1:2" x14ac:dyDescent="0.3">
      <c r="A431"/>
      <c r="B431"/>
    </row>
    <row r="432" spans="1:2" x14ac:dyDescent="0.3">
      <c r="A432"/>
      <c r="B432"/>
    </row>
    <row r="433" spans="1:2" x14ac:dyDescent="0.3">
      <c r="A433"/>
      <c r="B433"/>
    </row>
    <row r="434" spans="1:2" x14ac:dyDescent="0.3">
      <c r="A434"/>
      <c r="B434"/>
    </row>
    <row r="435" spans="1:2" x14ac:dyDescent="0.3">
      <c r="A435"/>
      <c r="B435"/>
    </row>
    <row r="436" spans="1:2" x14ac:dyDescent="0.3">
      <c r="A436"/>
      <c r="B436"/>
    </row>
    <row r="437" spans="1:2" x14ac:dyDescent="0.3">
      <c r="A437"/>
      <c r="B437"/>
    </row>
    <row r="438" spans="1:2" x14ac:dyDescent="0.3">
      <c r="A438"/>
      <c r="B438"/>
    </row>
    <row r="439" spans="1:2" x14ac:dyDescent="0.3">
      <c r="A439"/>
      <c r="B439"/>
    </row>
    <row r="440" spans="1:2" x14ac:dyDescent="0.3">
      <c r="A440"/>
      <c r="B440"/>
    </row>
    <row r="441" spans="1:2" x14ac:dyDescent="0.3">
      <c r="A441"/>
      <c r="B441"/>
    </row>
    <row r="442" spans="1:2" x14ac:dyDescent="0.3">
      <c r="A442"/>
      <c r="B442"/>
    </row>
    <row r="443" spans="1:2" x14ac:dyDescent="0.3">
      <c r="A443"/>
      <c r="B443"/>
    </row>
    <row r="444" spans="1:2" x14ac:dyDescent="0.3">
      <c r="A444"/>
      <c r="B444"/>
    </row>
    <row r="445" spans="1:2" x14ac:dyDescent="0.3">
      <c r="A445"/>
      <c r="B445"/>
    </row>
    <row r="446" spans="1:2" x14ac:dyDescent="0.3">
      <c r="A446"/>
      <c r="B446"/>
    </row>
    <row r="447" spans="1:2" x14ac:dyDescent="0.3">
      <c r="A447"/>
      <c r="B447"/>
    </row>
    <row r="448" spans="1:2" x14ac:dyDescent="0.3">
      <c r="A448"/>
      <c r="B448"/>
    </row>
    <row r="449" spans="1:2" x14ac:dyDescent="0.3">
      <c r="A449"/>
      <c r="B449"/>
    </row>
    <row r="450" spans="1:2" x14ac:dyDescent="0.3">
      <c r="A450"/>
      <c r="B450"/>
    </row>
    <row r="451" spans="1:2" x14ac:dyDescent="0.3">
      <c r="A451"/>
      <c r="B451"/>
    </row>
    <row r="452" spans="1:2" x14ac:dyDescent="0.3">
      <c r="A452"/>
      <c r="B452"/>
    </row>
    <row r="453" spans="1:2" x14ac:dyDescent="0.3">
      <c r="A453"/>
      <c r="B453"/>
    </row>
    <row r="454" spans="1:2" x14ac:dyDescent="0.3">
      <c r="A454"/>
      <c r="B454"/>
    </row>
    <row r="455" spans="1:2" x14ac:dyDescent="0.3">
      <c r="A455"/>
      <c r="B455"/>
    </row>
    <row r="456" spans="1:2" x14ac:dyDescent="0.3">
      <c r="A456"/>
      <c r="B456"/>
    </row>
    <row r="457" spans="1:2" x14ac:dyDescent="0.3">
      <c r="A457"/>
      <c r="B457"/>
    </row>
    <row r="458" spans="1:2" x14ac:dyDescent="0.3">
      <c r="A458"/>
      <c r="B458"/>
    </row>
    <row r="459" spans="1:2" x14ac:dyDescent="0.3">
      <c r="A459"/>
      <c r="B459"/>
    </row>
    <row r="460" spans="1:2" x14ac:dyDescent="0.3">
      <c r="A460"/>
      <c r="B460"/>
    </row>
    <row r="461" spans="1:2" x14ac:dyDescent="0.3">
      <c r="A461"/>
      <c r="B461"/>
    </row>
    <row r="462" spans="1:2" x14ac:dyDescent="0.3">
      <c r="A462"/>
      <c r="B462"/>
    </row>
    <row r="463" spans="1:2" x14ac:dyDescent="0.3">
      <c r="A463"/>
      <c r="B46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orgNodes</vt:lpstr>
      <vt:lpstr>orgEdges</vt:lpstr>
      <vt:lpstr>platformNodes</vt:lpstr>
      <vt:lpstr>dataNodes</vt:lpstr>
      <vt:lpstr>dataNodeTypes</vt:lpstr>
      <vt:lpstr>dataEdges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Lauren Patterson</cp:lastModifiedBy>
  <dcterms:created xsi:type="dcterms:W3CDTF">2018-08-09T20:40:56Z</dcterms:created>
  <dcterms:modified xsi:type="dcterms:W3CDTF">2019-06-27T17:57:58Z</dcterms:modified>
</cp:coreProperties>
</file>