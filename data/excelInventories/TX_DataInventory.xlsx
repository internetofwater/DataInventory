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p19\Documents\Internet of Water\Hubs\HubInventory\Final_Network\tx\"/>
    </mc:Choice>
  </mc:AlternateContent>
  <bookViews>
    <workbookView xWindow="0" yWindow="0" windowWidth="17604" windowHeight="12312" tabRatio="500"/>
  </bookViews>
  <sheets>
    <sheet name="orgNodes" sheetId="5" r:id="rId1"/>
    <sheet name="orgEdges" sheetId="6" r:id="rId2"/>
    <sheet name="platformNodes" sheetId="7" r:id="rId3"/>
    <sheet name="dataNodes" sheetId="12" r:id="rId4"/>
    <sheet name="dataNodeTypes" sheetId="8" r:id="rId5"/>
    <sheet name="dataEdges" sheetId="9" r:id="rId6"/>
  </sheets>
  <definedNames>
    <definedName name="_xlnm._FilterDatabase" localSheetId="3" hidden="1">dataNodes!$A$1:$C$19</definedName>
    <definedName name="_xlnm._FilterDatabase" localSheetId="2" hidden="1">platformNodes!$A$1:$U$98</definedName>
  </definedName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H19" i="8" l="1"/>
  <c r="I19" i="8"/>
  <c r="H20" i="8"/>
  <c r="I20" i="8"/>
  <c r="H21" i="8"/>
  <c r="I21" i="8"/>
  <c r="H22" i="8"/>
  <c r="I22" i="8"/>
  <c r="H23" i="8"/>
  <c r="I23" i="8"/>
  <c r="H24" i="8"/>
  <c r="I24" i="8"/>
  <c r="H25" i="8"/>
  <c r="I25" i="8"/>
  <c r="H26" i="8"/>
  <c r="I26" i="8"/>
  <c r="H27" i="8"/>
  <c r="I27" i="8"/>
  <c r="H28" i="8"/>
  <c r="I28" i="8"/>
  <c r="H29" i="8"/>
  <c r="I29" i="8"/>
  <c r="H30" i="8"/>
  <c r="I30" i="8"/>
  <c r="H31" i="8"/>
  <c r="I31" i="8"/>
  <c r="H32" i="8"/>
  <c r="I32" i="8"/>
  <c r="H33" i="8"/>
  <c r="I33" i="8"/>
  <c r="H34" i="8"/>
  <c r="I34" i="8"/>
  <c r="H35" i="8"/>
  <c r="I35" i="8"/>
  <c r="H36" i="8"/>
  <c r="I36" i="8"/>
  <c r="H37" i="8"/>
  <c r="I37" i="8"/>
  <c r="H38" i="8"/>
  <c r="I38" i="8"/>
  <c r="H39" i="8"/>
  <c r="I39" i="8"/>
  <c r="H40" i="8"/>
  <c r="I40" i="8"/>
  <c r="H41" i="8"/>
  <c r="I41" i="8"/>
  <c r="H42" i="8"/>
  <c r="I42" i="8"/>
  <c r="H43" i="8"/>
  <c r="I43" i="8"/>
  <c r="H44" i="8"/>
  <c r="I44" i="8"/>
  <c r="H45" i="8"/>
  <c r="I45" i="8"/>
  <c r="H46" i="8"/>
  <c r="I46" i="8"/>
  <c r="H47" i="8"/>
  <c r="I47" i="8"/>
  <c r="H48" i="8"/>
  <c r="I48" i="8"/>
  <c r="H49" i="8"/>
  <c r="I49" i="8"/>
  <c r="H50" i="8"/>
  <c r="I50" i="8"/>
  <c r="H51" i="8"/>
  <c r="I51" i="8"/>
  <c r="H52" i="8"/>
  <c r="I52" i="8"/>
  <c r="H53" i="8"/>
  <c r="I53" i="8"/>
  <c r="H54" i="8"/>
  <c r="I54" i="8"/>
  <c r="H55" i="8"/>
  <c r="I55" i="8"/>
  <c r="H56" i="8"/>
  <c r="I56" i="8"/>
  <c r="H57" i="8"/>
  <c r="I57" i="8"/>
  <c r="H58" i="8"/>
  <c r="I58" i="8"/>
  <c r="H59" i="8"/>
  <c r="I59" i="8"/>
  <c r="H60" i="8"/>
  <c r="I60" i="8"/>
  <c r="H61" i="8"/>
  <c r="I61" i="8"/>
  <c r="H62" i="8"/>
  <c r="I62" i="8"/>
  <c r="H63" i="8"/>
  <c r="I63" i="8"/>
  <c r="H64" i="8"/>
  <c r="I64" i="8"/>
  <c r="H65" i="8"/>
  <c r="I65" i="8"/>
  <c r="H66" i="8"/>
  <c r="I66" i="8"/>
  <c r="H67" i="8"/>
  <c r="I67" i="8"/>
  <c r="H68" i="8"/>
  <c r="I68" i="8"/>
  <c r="H69" i="8"/>
  <c r="I69" i="8"/>
  <c r="H70" i="8"/>
  <c r="I70" i="8"/>
  <c r="H71" i="8"/>
  <c r="I71" i="8"/>
  <c r="H72" i="8"/>
  <c r="I72" i="8"/>
  <c r="H73" i="8"/>
  <c r="I73" i="8"/>
  <c r="H74" i="8"/>
  <c r="I74" i="8"/>
  <c r="H75" i="8"/>
  <c r="I75" i="8"/>
  <c r="H76" i="8"/>
  <c r="I76" i="8"/>
  <c r="H77" i="8"/>
  <c r="I77" i="8"/>
  <c r="H78" i="8"/>
  <c r="I78" i="8"/>
  <c r="H79" i="8"/>
  <c r="I79" i="8"/>
  <c r="H80" i="8"/>
  <c r="I80" i="8"/>
  <c r="H81" i="8"/>
  <c r="I81" i="8"/>
  <c r="H82" i="8"/>
  <c r="I82" i="8"/>
  <c r="H83" i="8"/>
  <c r="I83" i="8"/>
  <c r="H84" i="8"/>
  <c r="I84" i="8"/>
  <c r="H85" i="8"/>
  <c r="I85" i="8"/>
  <c r="H86" i="8"/>
  <c r="I86" i="8"/>
  <c r="H87" i="8"/>
  <c r="I87" i="8"/>
  <c r="H88" i="8"/>
  <c r="I88" i="8"/>
  <c r="H89" i="8"/>
  <c r="I89" i="8"/>
  <c r="H90" i="8"/>
  <c r="I90" i="8"/>
  <c r="H91" i="8"/>
  <c r="I91" i="8"/>
  <c r="H92" i="8"/>
  <c r="I92" i="8"/>
  <c r="H93" i="8"/>
  <c r="I93" i="8"/>
  <c r="H94" i="8"/>
  <c r="I94" i="8"/>
  <c r="H95" i="8"/>
  <c r="I95" i="8"/>
  <c r="H96" i="8"/>
  <c r="I96" i="8"/>
  <c r="H97" i="8"/>
  <c r="I97" i="8"/>
  <c r="H98" i="8"/>
  <c r="I98" i="8"/>
  <c r="H99" i="8"/>
  <c r="I99" i="8"/>
  <c r="H100" i="8"/>
  <c r="I100" i="8"/>
  <c r="H101" i="8"/>
  <c r="I101" i="8"/>
  <c r="H102" i="8"/>
  <c r="I102" i="8"/>
  <c r="H103" i="8"/>
  <c r="I103" i="8"/>
  <c r="H104" i="8"/>
  <c r="I104" i="8"/>
  <c r="H105" i="8"/>
  <c r="I105" i="8"/>
  <c r="H106" i="8"/>
  <c r="I106" i="8"/>
  <c r="H107" i="8"/>
  <c r="I107" i="8"/>
  <c r="H108" i="8"/>
  <c r="I108" i="8"/>
  <c r="H109" i="8"/>
  <c r="I109" i="8"/>
  <c r="H110" i="8"/>
  <c r="I110" i="8"/>
  <c r="H111" i="8"/>
  <c r="I111" i="8"/>
  <c r="H112" i="8"/>
  <c r="I112" i="8"/>
  <c r="H113" i="8"/>
  <c r="I113" i="8"/>
  <c r="H114" i="8"/>
  <c r="I114" i="8"/>
  <c r="H115" i="8"/>
  <c r="I115" i="8"/>
  <c r="H116" i="8"/>
  <c r="I116" i="8"/>
  <c r="H117" i="8"/>
  <c r="I117" i="8"/>
  <c r="H118" i="8"/>
  <c r="I118" i="8"/>
  <c r="H119" i="8"/>
  <c r="I119" i="8"/>
  <c r="H120" i="8"/>
  <c r="I120" i="8"/>
  <c r="H121" i="8"/>
  <c r="I121" i="8"/>
  <c r="H122" i="8"/>
  <c r="I122" i="8"/>
  <c r="H123" i="8"/>
  <c r="I123" i="8"/>
  <c r="H124" i="8"/>
  <c r="I124" i="8"/>
  <c r="H125" i="8"/>
  <c r="I125" i="8"/>
  <c r="H126" i="8"/>
  <c r="I126" i="8"/>
  <c r="H127" i="8"/>
  <c r="I127" i="8"/>
  <c r="H128" i="8"/>
  <c r="I128" i="8"/>
  <c r="H129" i="8"/>
  <c r="I129" i="8"/>
  <c r="H130" i="8"/>
  <c r="I130" i="8"/>
  <c r="H131" i="8"/>
  <c r="I131" i="8"/>
  <c r="H132" i="8"/>
  <c r="I132" i="8"/>
  <c r="H133" i="8"/>
  <c r="I133" i="8"/>
  <c r="H134" i="8"/>
  <c r="I134" i="8"/>
  <c r="H135" i="8"/>
  <c r="I135" i="8"/>
  <c r="H136" i="8"/>
  <c r="I136" i="8"/>
  <c r="H137" i="8"/>
  <c r="I137" i="8"/>
  <c r="H138" i="8"/>
  <c r="I138" i="8"/>
  <c r="H139" i="8"/>
  <c r="I139" i="8"/>
  <c r="H140" i="8"/>
  <c r="I140" i="8"/>
  <c r="H141" i="8"/>
  <c r="I141" i="8"/>
  <c r="H142" i="8"/>
  <c r="I142" i="8"/>
  <c r="H143" i="8"/>
  <c r="I143" i="8"/>
  <c r="H144" i="8"/>
  <c r="I144" i="8"/>
  <c r="H145" i="8"/>
  <c r="I145" i="8"/>
  <c r="H146" i="8"/>
  <c r="I146" i="8"/>
  <c r="H147" i="8"/>
  <c r="I147" i="8"/>
  <c r="H148" i="8"/>
  <c r="I148" i="8"/>
  <c r="H149" i="8"/>
  <c r="I149" i="8"/>
  <c r="H150" i="8"/>
  <c r="I150" i="8"/>
  <c r="H151" i="8"/>
  <c r="I151" i="8"/>
  <c r="H152" i="8"/>
  <c r="I152" i="8"/>
  <c r="H153" i="8"/>
  <c r="I153" i="8"/>
  <c r="H154" i="8"/>
  <c r="I154" i="8"/>
  <c r="H155" i="8"/>
  <c r="I155" i="8"/>
  <c r="H156" i="8"/>
  <c r="I156" i="8"/>
  <c r="H157" i="8"/>
  <c r="I157" i="8"/>
  <c r="H158" i="8"/>
  <c r="I158" i="8"/>
  <c r="H159" i="8"/>
  <c r="I159" i="8"/>
  <c r="H160" i="8"/>
  <c r="I160" i="8"/>
  <c r="H161" i="8"/>
  <c r="I161" i="8"/>
  <c r="H162" i="8"/>
  <c r="I162" i="8"/>
  <c r="H163" i="8"/>
  <c r="I163" i="8"/>
  <c r="H164" i="8"/>
  <c r="I164" i="8"/>
  <c r="H165" i="8"/>
  <c r="I165" i="8"/>
  <c r="H166" i="8"/>
  <c r="I166" i="8"/>
  <c r="H167" i="8"/>
  <c r="I167" i="8"/>
  <c r="H168" i="8"/>
  <c r="I168" i="8"/>
  <c r="H169" i="8"/>
  <c r="I169" i="8"/>
  <c r="H170" i="8"/>
  <c r="I170" i="8"/>
  <c r="H171" i="8"/>
  <c r="I171" i="8"/>
  <c r="H172" i="8"/>
  <c r="I172" i="8"/>
  <c r="H173" i="8"/>
  <c r="I173" i="8"/>
  <c r="H174" i="8"/>
  <c r="I174" i="8"/>
  <c r="H175" i="8"/>
  <c r="I175" i="8"/>
  <c r="H176" i="8"/>
  <c r="I176" i="8"/>
  <c r="H177" i="8"/>
  <c r="I177" i="8"/>
  <c r="H178" i="8"/>
  <c r="I178" i="8"/>
  <c r="H179" i="8"/>
  <c r="I179" i="8"/>
  <c r="H180" i="8"/>
  <c r="I180" i="8"/>
  <c r="H181" i="8"/>
  <c r="I181" i="8"/>
  <c r="H182" i="8"/>
  <c r="I182" i="8"/>
  <c r="H183" i="8"/>
  <c r="I183" i="8"/>
  <c r="H184" i="8"/>
  <c r="I184" i="8"/>
  <c r="H185" i="8"/>
  <c r="I185" i="8"/>
  <c r="H186" i="8"/>
  <c r="I186" i="8"/>
  <c r="H187" i="8"/>
  <c r="I187" i="8"/>
  <c r="H188" i="8"/>
  <c r="I188" i="8"/>
  <c r="H189" i="8"/>
  <c r="I189" i="8"/>
  <c r="H190" i="8"/>
  <c r="I190" i="8"/>
  <c r="H191" i="8"/>
  <c r="I191" i="8"/>
  <c r="H192" i="8"/>
  <c r="I192" i="8"/>
  <c r="H193" i="8"/>
  <c r="I193" i="8"/>
  <c r="H194" i="8"/>
  <c r="I194" i="8"/>
  <c r="H195" i="8"/>
  <c r="I195" i="8"/>
  <c r="H196" i="8"/>
  <c r="I196" i="8"/>
  <c r="H197" i="8"/>
  <c r="I197" i="8"/>
  <c r="I3" i="8"/>
  <c r="I4" i="8"/>
  <c r="I5" i="8"/>
  <c r="I6" i="8"/>
  <c r="I7" i="8"/>
  <c r="I8" i="8"/>
  <c r="I9" i="8"/>
  <c r="I10" i="8"/>
  <c r="I11" i="8"/>
  <c r="I12" i="8"/>
  <c r="I13" i="8"/>
  <c r="I14" i="8"/>
  <c r="I15" i="8"/>
  <c r="I16" i="8"/>
  <c r="I17" i="8"/>
  <c r="I18" i="8"/>
  <c r="H3" i="8"/>
  <c r="H4" i="8"/>
  <c r="H5" i="8"/>
  <c r="H6" i="8"/>
  <c r="H7" i="8"/>
  <c r="H8" i="8"/>
  <c r="H9" i="8"/>
  <c r="H10" i="8"/>
  <c r="H11" i="8"/>
  <c r="H12" i="8"/>
  <c r="H13" i="8"/>
  <c r="H14" i="8"/>
  <c r="H15" i="8"/>
  <c r="H16" i="8"/>
  <c r="H17" i="8"/>
  <c r="H18" i="8"/>
  <c r="H2" i="8"/>
  <c r="G13" i="7"/>
  <c r="H13" i="7"/>
  <c r="G14" i="7"/>
  <c r="H14" i="7"/>
  <c r="G15" i="7"/>
  <c r="H15" i="7"/>
  <c r="G16" i="7"/>
  <c r="H16" i="7"/>
  <c r="G17" i="7"/>
  <c r="H17" i="7"/>
  <c r="G18" i="7"/>
  <c r="H18" i="7"/>
  <c r="G19" i="7"/>
  <c r="H19" i="7"/>
  <c r="G20" i="7"/>
  <c r="H20" i="7"/>
  <c r="G21" i="7"/>
  <c r="H21" i="7"/>
  <c r="G22" i="7"/>
  <c r="H22" i="7"/>
  <c r="G23" i="7"/>
  <c r="H23" i="7"/>
  <c r="G24" i="7"/>
  <c r="H24" i="7"/>
  <c r="G25" i="7"/>
  <c r="H25" i="7"/>
  <c r="G26" i="7"/>
  <c r="H26" i="7"/>
  <c r="G27" i="7"/>
  <c r="H27" i="7"/>
  <c r="G28" i="7"/>
  <c r="H28" i="7"/>
  <c r="G29" i="7"/>
  <c r="H29" i="7"/>
  <c r="G30" i="7"/>
  <c r="H30" i="7"/>
  <c r="G31" i="7"/>
  <c r="H31" i="7"/>
  <c r="G32" i="7"/>
  <c r="H32" i="7"/>
  <c r="G33" i="7"/>
  <c r="H33" i="7"/>
  <c r="G34" i="7"/>
  <c r="H34" i="7"/>
  <c r="G35" i="7"/>
  <c r="H35" i="7"/>
  <c r="G36" i="7"/>
  <c r="H36" i="7"/>
  <c r="G37" i="7"/>
  <c r="H37" i="7"/>
  <c r="G38" i="7"/>
  <c r="H38" i="7"/>
  <c r="G39" i="7"/>
  <c r="H39" i="7"/>
  <c r="G40" i="7"/>
  <c r="H40" i="7"/>
  <c r="G41" i="7"/>
  <c r="H41" i="7"/>
  <c r="G42" i="7"/>
  <c r="H42" i="7"/>
  <c r="G43" i="7"/>
  <c r="H43" i="7"/>
  <c r="G44" i="7"/>
  <c r="H44" i="7"/>
  <c r="G45" i="7"/>
  <c r="H45" i="7"/>
  <c r="G46" i="7"/>
  <c r="H46" i="7"/>
  <c r="G47" i="7"/>
  <c r="H47" i="7"/>
  <c r="G48" i="7"/>
  <c r="H48" i="7"/>
  <c r="G49" i="7"/>
  <c r="H49" i="7"/>
  <c r="G50" i="7"/>
  <c r="H50" i="7"/>
  <c r="G51" i="7"/>
  <c r="H51" i="7"/>
  <c r="G52" i="7"/>
  <c r="H52" i="7"/>
  <c r="G53" i="7"/>
  <c r="H53" i="7"/>
  <c r="G54" i="7"/>
  <c r="H54" i="7"/>
  <c r="G55" i="7"/>
  <c r="H55" i="7"/>
  <c r="G56" i="7"/>
  <c r="H56" i="7"/>
  <c r="G57" i="7"/>
  <c r="H57" i="7"/>
  <c r="G58" i="7"/>
  <c r="H58" i="7"/>
  <c r="G59" i="7"/>
  <c r="H59" i="7"/>
  <c r="G60" i="7"/>
  <c r="H60" i="7"/>
  <c r="G61" i="7"/>
  <c r="H61" i="7"/>
  <c r="G62" i="7"/>
  <c r="H62" i="7"/>
  <c r="G63" i="7"/>
  <c r="H63" i="7"/>
  <c r="G64" i="7"/>
  <c r="H64" i="7"/>
  <c r="G65" i="7"/>
  <c r="H65" i="7"/>
  <c r="G66" i="7"/>
  <c r="H66" i="7"/>
  <c r="G67" i="7"/>
  <c r="H67" i="7"/>
  <c r="G68" i="7"/>
  <c r="H68" i="7"/>
  <c r="G69" i="7"/>
  <c r="H69" i="7"/>
  <c r="G70" i="7"/>
  <c r="H70" i="7"/>
  <c r="G71" i="7"/>
  <c r="H71" i="7"/>
  <c r="G72" i="7"/>
  <c r="H72" i="7"/>
  <c r="G73" i="7"/>
  <c r="H73" i="7"/>
  <c r="G74" i="7"/>
  <c r="H74" i="7"/>
  <c r="G75" i="7"/>
  <c r="H75" i="7"/>
  <c r="G76" i="7"/>
  <c r="H76" i="7"/>
  <c r="G77" i="7"/>
  <c r="H77" i="7"/>
  <c r="G78" i="7"/>
  <c r="H78" i="7"/>
  <c r="G79" i="7"/>
  <c r="H79" i="7"/>
  <c r="G80" i="7"/>
  <c r="H80" i="7"/>
  <c r="G81" i="7"/>
  <c r="H81" i="7"/>
  <c r="G82" i="7"/>
  <c r="H82" i="7"/>
  <c r="G83" i="7"/>
  <c r="H83" i="7"/>
  <c r="G84" i="7"/>
  <c r="H84" i="7"/>
  <c r="G85" i="7"/>
  <c r="H85" i="7"/>
  <c r="G86" i="7"/>
  <c r="H86" i="7"/>
  <c r="G87" i="7"/>
  <c r="H87" i="7"/>
  <c r="G88" i="7"/>
  <c r="H88" i="7"/>
  <c r="G89" i="7"/>
  <c r="H89" i="7"/>
  <c r="G90" i="7"/>
  <c r="H90" i="7"/>
  <c r="G91" i="7"/>
  <c r="H91" i="7"/>
  <c r="G92" i="7"/>
  <c r="H92" i="7"/>
  <c r="G93" i="7"/>
  <c r="H93" i="7"/>
  <c r="G94" i="7"/>
  <c r="H94" i="7"/>
  <c r="G95" i="7"/>
  <c r="H95" i="7"/>
  <c r="G96" i="7"/>
  <c r="H96" i="7"/>
  <c r="G97" i="7"/>
  <c r="H97" i="7"/>
  <c r="G98" i="7"/>
  <c r="H98" i="7"/>
  <c r="G3" i="7"/>
  <c r="H3" i="7"/>
  <c r="G4" i="7"/>
  <c r="H4" i="7"/>
  <c r="G5" i="7"/>
  <c r="H5" i="7"/>
  <c r="G6" i="7"/>
  <c r="H6" i="7"/>
  <c r="G7" i="7"/>
  <c r="H7" i="7"/>
  <c r="G8" i="7"/>
  <c r="H8" i="7"/>
  <c r="G9" i="7"/>
  <c r="H9" i="7"/>
  <c r="G10" i="7"/>
  <c r="H10" i="7"/>
  <c r="G11" i="7"/>
  <c r="H11" i="7"/>
  <c r="G12" i="7"/>
  <c r="H12" i="7"/>
  <c r="H2" i="7"/>
  <c r="G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3" i="7" l="1"/>
  <c r="F4" i="7"/>
  <c r="F5" i="7"/>
  <c r="F6" i="7"/>
  <c r="F7" i="7"/>
  <c r="F8" i="7"/>
  <c r="F9" i="7"/>
  <c r="F10" i="7"/>
  <c r="F11" i="7"/>
  <c r="F12" i="7"/>
  <c r="F2" i="7"/>
  <c r="N3" i="8" l="1"/>
  <c r="N4" i="8"/>
  <c r="N5" i="8"/>
  <c r="N6" i="8"/>
  <c r="N7" i="8"/>
  <c r="N8" i="8"/>
  <c r="N9" i="8"/>
  <c r="N10" i="8"/>
  <c r="N11" i="8"/>
  <c r="N12" i="8"/>
  <c r="N13" i="8"/>
  <c r="N14" i="8"/>
  <c r="N15" i="8"/>
  <c r="N16" i="8"/>
  <c r="N17" i="8"/>
  <c r="N18" i="8"/>
  <c r="N19" i="8"/>
  <c r="N2" i="8"/>
  <c r="M3" i="8"/>
  <c r="M4" i="8"/>
  <c r="M5" i="8"/>
  <c r="M6" i="8"/>
  <c r="M7" i="8"/>
  <c r="M8" i="8"/>
  <c r="M9" i="8"/>
  <c r="M10" i="8"/>
  <c r="M11" i="8"/>
  <c r="M12" i="8"/>
  <c r="M13" i="8"/>
  <c r="M14" i="8"/>
  <c r="M15" i="8"/>
  <c r="M16" i="8"/>
  <c r="M17" i="8"/>
  <c r="M18" i="8"/>
  <c r="M19" i="8"/>
  <c r="M2" i="8"/>
  <c r="I2" i="8" l="1"/>
</calcChain>
</file>

<file path=xl/sharedStrings.xml><?xml version="1.0" encoding="utf-8"?>
<sst xmlns="http://schemas.openxmlformats.org/spreadsheetml/2006/main" count="5043" uniqueCount="1095">
  <si>
    <t>notes</t>
  </si>
  <si>
    <t>Water Resources</t>
  </si>
  <si>
    <t>Website</t>
  </si>
  <si>
    <t>Groundwater</t>
  </si>
  <si>
    <t>Water Quality</t>
  </si>
  <si>
    <t>Yes</t>
  </si>
  <si>
    <t>Unknown</t>
  </si>
  <si>
    <t>pdf</t>
  </si>
  <si>
    <t>Low</t>
  </si>
  <si>
    <t>Individual Export</t>
  </si>
  <si>
    <t>Link to Source</t>
  </si>
  <si>
    <t>html</t>
  </si>
  <si>
    <t>No</t>
  </si>
  <si>
    <t>Irregular</t>
  </si>
  <si>
    <t>Yearly or Higher</t>
  </si>
  <si>
    <t>Copy and Paste</t>
  </si>
  <si>
    <t>Drinking Water Watch</t>
  </si>
  <si>
    <t>Texas</t>
  </si>
  <si>
    <t>Department of Agriculture</t>
  </si>
  <si>
    <t>Production Agriculture</t>
  </si>
  <si>
    <t>The Water Source</t>
  </si>
  <si>
    <t>http://www.texasagriculture.gov/Home/ProductionAgriculture/TheWaterSource.aspx</t>
  </si>
  <si>
    <t>Department of Parks and Wildlife</t>
  </si>
  <si>
    <t>Water Quantity</t>
  </si>
  <si>
    <t>https://tpwd.texas.gov/landwater/water/conservation/water_resources/water_quantity/pgma/</t>
  </si>
  <si>
    <t>Studies of Priority Groundwater Management Areas</t>
  </si>
  <si>
    <t>Ecologically Significant Streams</t>
  </si>
  <si>
    <t>https://tpwd.texas.gov/landwater/water/conservation/water_resources/water_quantity/sigsegs/</t>
  </si>
  <si>
    <t>Water Quality Related Reports</t>
  </si>
  <si>
    <t>https://tpwd.texas.gov/landwater/water/environconcerns/water_quality/wq_research/WQ_Reports.phtml</t>
  </si>
  <si>
    <t>River Studies</t>
  </si>
  <si>
    <t>Reports on River Studies</t>
  </si>
  <si>
    <t>https://tpwd.texas.gov/landwater/water/conservation/fwresources/reports.phtml</t>
  </si>
  <si>
    <t>Coastal Fisheries Division</t>
  </si>
  <si>
    <t>Texas Commission on Environmental Quality</t>
  </si>
  <si>
    <t>Water</t>
  </si>
  <si>
    <t>https://www.tceq.texas.gov/agency/water_main.html</t>
  </si>
  <si>
    <t>Maintaining water quality and availability for municipalities, businesses, and homeowners.</t>
  </si>
  <si>
    <t>Water Availability</t>
  </si>
  <si>
    <t>Water Quality Planning</t>
  </si>
  <si>
    <t>Water Supply</t>
  </si>
  <si>
    <t>https://www.tceq.texas.gov/</t>
  </si>
  <si>
    <t>Drinking Water</t>
  </si>
  <si>
    <t>https://www.tceq.texas.gov/drinkingwater</t>
  </si>
  <si>
    <t>http://dww2.tceq.texas.gov/DWW/</t>
  </si>
  <si>
    <t>Commission on Environmental Quality</t>
  </si>
  <si>
    <t>Water Rights and Water Use Data</t>
  </si>
  <si>
    <t>https://www.tceq.texas.gov/permitting/water_rights/wr-permitting/wrwud</t>
  </si>
  <si>
    <t>Water Availability Models</t>
  </si>
  <si>
    <t>https://www.tceq.texas.gov/permitting/water_rights/wr_technical-resources/wam.html</t>
  </si>
  <si>
    <t>Texas Integrated Report of Surface Water Quality</t>
  </si>
  <si>
    <t>https://www.tceq.texas.gov/waterquality/assessment/305_303.html</t>
  </si>
  <si>
    <t>Segments with TMDLS</t>
  </si>
  <si>
    <t>https://www.tceq.texas.gov/waterquality/tmdl/nav/tmdlsegments</t>
  </si>
  <si>
    <t>Reservoir Levels</t>
  </si>
  <si>
    <t>Surface Water</t>
  </si>
  <si>
    <t>Reservoir</t>
  </si>
  <si>
    <t>Water Quality Standards Program</t>
  </si>
  <si>
    <t>Total Daily Maximum Load Program</t>
  </si>
  <si>
    <t>https://www.tceq.texas.gov/agency/organization/water.html#wateravail</t>
  </si>
  <si>
    <t>Responsible for ensuring the waters of the state are managed in accordance with the Texas Water Code, and for undertaking activities to protect and assess our groundwater resources.</t>
  </si>
  <si>
    <t>http://www.texasagriculture.gov/Home.aspx</t>
  </si>
  <si>
    <t>Partner with all Texans to make Texas the nation's leader in agriculture, fortify our economy, empower rural communities, promote healthy lifestyles, and cultivate winning strategies for rural, suburban and urban Texas through exceptional service and the common threads of agriculture in our daily lives.</t>
  </si>
  <si>
    <t>Manage and conserve the natural and cultural resources of Texas and to provide hunting, fishing and outdoor recreation opportunities for the use and enjoyment of present and future generations.</t>
  </si>
  <si>
    <t>https://tpwd.texas.gov/about/administration-divisions/coastal-fisheries</t>
  </si>
  <si>
    <t>Manage the marine fishery resources of Texas' four million acres of saltwater, including the bays and estuaries and out to nine nautical miles in the Gulf of Mexico.</t>
  </si>
  <si>
    <t>https://tpwd.texas.gov/</t>
  </si>
  <si>
    <t>https://tpwd.texas.gov/landwater/water/conservation/water_resources/index.phtml</t>
  </si>
  <si>
    <t>Provide technical and policy expertise to the agency and external stakeholders for addressing environmental water issues.</t>
  </si>
  <si>
    <t>https://tpwd.texas.gov/landwater/water/conservation/water_resources/water_quantity/index.phtml</t>
  </si>
  <si>
    <t>https://tpwd.texas.gov/landwater/water/environconcerns/water_quality/index.phtml</t>
  </si>
  <si>
    <t>Work with local, state and federal agencies to ensure that the needs of fish, wildlife, and aquatic resources are considered in water quality planning and permitting activities at both statewide and local levels.</t>
  </si>
  <si>
    <t>https://texas.gov/</t>
  </si>
  <si>
    <t>mission</t>
  </si>
  <si>
    <t>website</t>
  </si>
  <si>
    <t>operational</t>
  </si>
  <si>
    <t>decision</t>
  </si>
  <si>
    <t>regulatory</t>
  </si>
  <si>
    <t>research</t>
  </si>
  <si>
    <t>level</t>
  </si>
  <si>
    <t>n01</t>
  </si>
  <si>
    <t>n02</t>
  </si>
  <si>
    <t>n03</t>
  </si>
  <si>
    <t>n04</t>
  </si>
  <si>
    <t>n05</t>
  </si>
  <si>
    <t>n06</t>
  </si>
  <si>
    <t>Deal with various aspects of water right permitting, planning, and policy seeking to maintain a sufficient flow of water in Texas rivers and streams and freshwater inflows to bays and estuaries for the benefit of ecologically and economically important fish and wildlife.</t>
  </si>
  <si>
    <t>n07</t>
  </si>
  <si>
    <t>n08</t>
  </si>
  <si>
    <t>n09</t>
  </si>
  <si>
    <t>Strive to protect our state's public health and natural resources consistent with sustainable economic development.</t>
  </si>
  <si>
    <t>n10</t>
  </si>
  <si>
    <t>n11</t>
  </si>
  <si>
    <t>n12</t>
  </si>
  <si>
    <t>n13</t>
  </si>
  <si>
    <t>https://tpwd.texas.gov/landwater/water/conservation/fwresources/</t>
  </si>
  <si>
    <t>River Studies is an interdisciplinary river and stream assessment program with the goal of assuring sufficient quantity and quality of water to maintain the natural biodiversity of aquatic ecosystems and their associated wetlands and riparian lands. </t>
  </si>
  <si>
    <t>from</t>
  </si>
  <si>
    <t>to</t>
  </si>
  <si>
    <t>Utilities</t>
  </si>
  <si>
    <t>p01</t>
  </si>
  <si>
    <t>p02</t>
  </si>
  <si>
    <t>p03</t>
  </si>
  <si>
    <t>p04</t>
  </si>
  <si>
    <t>p05</t>
  </si>
  <si>
    <t>p06</t>
  </si>
  <si>
    <t>p07</t>
  </si>
  <si>
    <t>p08</t>
  </si>
  <si>
    <t>p09</t>
  </si>
  <si>
    <t>p10</t>
  </si>
  <si>
    <t>p11</t>
  </si>
  <si>
    <t>d01</t>
  </si>
  <si>
    <t>d02</t>
  </si>
  <si>
    <t>Evapotranspiration</t>
  </si>
  <si>
    <t>d03</t>
  </si>
  <si>
    <t>d05</t>
  </si>
  <si>
    <t>d06</t>
  </si>
  <si>
    <t>d07</t>
  </si>
  <si>
    <t>Hydropower</t>
  </si>
  <si>
    <t>d08</t>
  </si>
  <si>
    <t>Infrastructure</t>
  </si>
  <si>
    <t>d10</t>
  </si>
  <si>
    <t>Meteorology</t>
  </si>
  <si>
    <t>d11</t>
  </si>
  <si>
    <t>Precipitation</t>
  </si>
  <si>
    <t>d12</t>
  </si>
  <si>
    <t>Regulatory</t>
  </si>
  <si>
    <t>d13</t>
  </si>
  <si>
    <t>d16</t>
  </si>
  <si>
    <t>Soil</t>
  </si>
  <si>
    <t>d17</t>
  </si>
  <si>
    <t>d18</t>
  </si>
  <si>
    <t>Built</t>
  </si>
  <si>
    <t>Natural</t>
  </si>
  <si>
    <t>Quality</t>
  </si>
  <si>
    <t>d04</t>
  </si>
  <si>
    <t>Quantity</t>
  </si>
  <si>
    <t>Extreme Events</t>
  </si>
  <si>
    <t>Glacial and Snow</t>
  </si>
  <si>
    <t>d09</t>
  </si>
  <si>
    <t>d14</t>
  </si>
  <si>
    <t>Use</t>
  </si>
  <si>
    <t>d15</t>
  </si>
  <si>
    <t>Irrigation</t>
  </si>
  <si>
    <t>Management Plans</t>
  </si>
  <si>
    <t>Drought Monitor</t>
  </si>
  <si>
    <t>Significant Stream Segments</t>
  </si>
  <si>
    <t>Groundwater Management Areas</t>
  </si>
  <si>
    <t>Biological Assessments</t>
  </si>
  <si>
    <t xml:space="preserve">Daily Demand; Daily Usage; Capacity; </t>
  </si>
  <si>
    <t>Public System Compliance Report</t>
  </si>
  <si>
    <t>excel; zip</t>
  </si>
  <si>
    <t>Water Rights</t>
  </si>
  <si>
    <t>Diversion Locations</t>
  </si>
  <si>
    <t>Diversion points and control points</t>
  </si>
  <si>
    <t>Flowlines</t>
  </si>
  <si>
    <t>shapefile; software specific</t>
  </si>
  <si>
    <t>Streamflow</t>
  </si>
  <si>
    <t>Return Flow</t>
  </si>
  <si>
    <t>303d List</t>
  </si>
  <si>
    <t>Surface Water Quality Standards</t>
  </si>
  <si>
    <t>Stream segments with TMDLS</t>
  </si>
  <si>
    <t>lengthAvailable</t>
  </si>
  <si>
    <t>html; csv</t>
  </si>
  <si>
    <t>Period of Record</t>
  </si>
  <si>
    <t>Not Applicable</t>
  </si>
  <si>
    <t>Limited Record</t>
  </si>
  <si>
    <t>Administrative</t>
  </si>
  <si>
    <t>metadata</t>
  </si>
  <si>
    <t>dataDefinitions</t>
  </si>
  <si>
    <t xml:space="preserve">No </t>
  </si>
  <si>
    <t>Administrative; Descriptive</t>
  </si>
  <si>
    <t>entity</t>
  </si>
  <si>
    <t>tier1and2entity</t>
  </si>
  <si>
    <t>entityID</t>
  </si>
  <si>
    <t>tier1and2entityID</t>
  </si>
  <si>
    <t>platformID</t>
  </si>
  <si>
    <t>platform</t>
  </si>
  <si>
    <t>webLabel</t>
  </si>
  <si>
    <t>easeDiscover</t>
  </si>
  <si>
    <t>methodDiscover</t>
  </si>
  <si>
    <t>easeAccess</t>
  </si>
  <si>
    <t>methodAccess</t>
  </si>
  <si>
    <t>fileFormat</t>
  </si>
  <si>
    <t>metadataFormat</t>
  </si>
  <si>
    <t>metaAttributes</t>
  </si>
  <si>
    <t>metadataStandards</t>
  </si>
  <si>
    <t>timeliness</t>
  </si>
  <si>
    <t>data</t>
  </si>
  <si>
    <t>dataCategory</t>
  </si>
  <si>
    <t>dataGroup</t>
  </si>
  <si>
    <t>dataID</t>
  </si>
  <si>
    <t>dataID - linked to dataNodes tab</t>
  </si>
  <si>
    <t>dataGroup - linked to dataNodes tab</t>
  </si>
  <si>
    <t>n14</t>
  </si>
  <si>
    <t>n15</t>
  </si>
  <si>
    <t>n19</t>
  </si>
  <si>
    <t>heatmapLabel</t>
  </si>
  <si>
    <t>Ag-Production Ag</t>
  </si>
  <si>
    <t>TPWD-Water Quantity</t>
  </si>
  <si>
    <t>TPWD-Water Quality</t>
  </si>
  <si>
    <t>TPWD-River Studies</t>
  </si>
  <si>
    <t>TCEQ-Water Supply</t>
  </si>
  <si>
    <t>TCEQ-Water Quality Planning</t>
  </si>
  <si>
    <t>TCEQ-Water Availability</t>
  </si>
  <si>
    <t>TCEQ-Water Quality Standards</t>
  </si>
  <si>
    <t>TCEQ-TMDL</t>
  </si>
  <si>
    <t>n16</t>
  </si>
  <si>
    <t>Nonpoint Source Pollution Program</t>
  </si>
  <si>
    <t>n17</t>
  </si>
  <si>
    <t>Surface Water Quality Monitoring Program</t>
  </si>
  <si>
    <t>n18</t>
  </si>
  <si>
    <t>Clean Rivers Program</t>
  </si>
  <si>
    <t>n20</t>
  </si>
  <si>
    <t>Texas Soil and Water Conservation Board</t>
  </si>
  <si>
    <t>n21</t>
  </si>
  <si>
    <t>Flood Control Program</t>
  </si>
  <si>
    <t>n22</t>
  </si>
  <si>
    <t>Nonpoint Source Program</t>
  </si>
  <si>
    <t>Water Supply Enhancement Program</t>
  </si>
  <si>
    <t>n23</t>
  </si>
  <si>
    <t>Texas Water Development Board</t>
  </si>
  <si>
    <t>n24</t>
  </si>
  <si>
    <t>Water Supply and Infrastructure</t>
  </si>
  <si>
    <t>n25</t>
  </si>
  <si>
    <t>Water Use, Projections and Planning</t>
  </si>
  <si>
    <t>n26</t>
  </si>
  <si>
    <t>Regional Water Planning</t>
  </si>
  <si>
    <t>n27</t>
  </si>
  <si>
    <t>Water Use Survey</t>
  </si>
  <si>
    <t>n28</t>
  </si>
  <si>
    <t>Water Science and Conservation</t>
  </si>
  <si>
    <t>n29</t>
  </si>
  <si>
    <t>Conservation and Innovative Water Technologies</t>
  </si>
  <si>
    <t>n30</t>
  </si>
  <si>
    <t>Municipal Water Conservation</t>
  </si>
  <si>
    <t>n31</t>
  </si>
  <si>
    <t>Innovative Water Technologies</t>
  </si>
  <si>
    <t>n32</t>
  </si>
  <si>
    <t>n33</t>
  </si>
  <si>
    <t>TexMesonet and Hydrosurvey</t>
  </si>
  <si>
    <t>n34</t>
  </si>
  <si>
    <t>Water Data for Texas</t>
  </si>
  <si>
    <t>n35</t>
  </si>
  <si>
    <t>n36</t>
  </si>
  <si>
    <t>Groundwater Monitoring</t>
  </si>
  <si>
    <t>n37</t>
  </si>
  <si>
    <t>Texas Natural Resources Information System</t>
  </si>
  <si>
    <t>n38</t>
  </si>
  <si>
    <t>Strategic Mapping</t>
  </si>
  <si>
    <t>n39</t>
  </si>
  <si>
    <t>Angelina and Neches River Authority</t>
  </si>
  <si>
    <t>n40</t>
  </si>
  <si>
    <t>n42</t>
  </si>
  <si>
    <t>Water Delivery</t>
  </si>
  <si>
    <t>n43</t>
  </si>
  <si>
    <t>Wastewater</t>
  </si>
  <si>
    <t>n44</t>
  </si>
  <si>
    <t>Reservoirs</t>
  </si>
  <si>
    <t>n45</t>
  </si>
  <si>
    <t>Bandera County River Authority</t>
  </si>
  <si>
    <t>n46</t>
  </si>
  <si>
    <t>n47</t>
  </si>
  <si>
    <t>Medina Lake</t>
  </si>
  <si>
    <t>n48</t>
  </si>
  <si>
    <t>n49</t>
  </si>
  <si>
    <t>Water Quality Monitoring Program</t>
  </si>
  <si>
    <t>n50</t>
  </si>
  <si>
    <t>Flood Management</t>
  </si>
  <si>
    <t>n51</t>
  </si>
  <si>
    <t>Brazos River Authority</t>
  </si>
  <si>
    <t>n52</t>
  </si>
  <si>
    <t>n53</t>
  </si>
  <si>
    <t>n54</t>
  </si>
  <si>
    <t>Drought</t>
  </si>
  <si>
    <t>n55</t>
  </si>
  <si>
    <t>Contracting</t>
  </si>
  <si>
    <t>n56</t>
  </si>
  <si>
    <t>n57</t>
  </si>
  <si>
    <t>n58</t>
  </si>
  <si>
    <t>BrazosBasinNOW</t>
  </si>
  <si>
    <t>n59</t>
  </si>
  <si>
    <t>Guadalupe Blanco River Authority</t>
  </si>
  <si>
    <t>n60</t>
  </si>
  <si>
    <t>Hydroelectric Generation</t>
  </si>
  <si>
    <t>n61</t>
  </si>
  <si>
    <t>Wastewater Treatment</t>
  </si>
  <si>
    <t>n62</t>
  </si>
  <si>
    <t>Water Resource Management</t>
  </si>
  <si>
    <t>n63</t>
  </si>
  <si>
    <t>n64</t>
  </si>
  <si>
    <t>Lavaca Navidad River Authority</t>
  </si>
  <si>
    <t>n65</t>
  </si>
  <si>
    <t>n66</t>
  </si>
  <si>
    <t>Environmental Services</t>
  </si>
  <si>
    <t>n67</t>
  </si>
  <si>
    <t>n69</t>
  </si>
  <si>
    <t>Lower Colorado River Authority</t>
  </si>
  <si>
    <t>n70</t>
  </si>
  <si>
    <t>n71</t>
  </si>
  <si>
    <t>n72</t>
  </si>
  <si>
    <t>Water Resource Planning</t>
  </si>
  <si>
    <t>n73</t>
  </si>
  <si>
    <t>Water Conservation</t>
  </si>
  <si>
    <t>n74</t>
  </si>
  <si>
    <t>Water Quality Protection</t>
  </si>
  <si>
    <t>n75</t>
  </si>
  <si>
    <t>Water Operations</t>
  </si>
  <si>
    <t>n76</t>
  </si>
  <si>
    <t>River Operations</t>
  </si>
  <si>
    <t>n77</t>
  </si>
  <si>
    <t>Irrigation Operations</t>
  </si>
  <si>
    <t>n78</t>
  </si>
  <si>
    <t>n79</t>
  </si>
  <si>
    <t>River Surface Management</t>
  </si>
  <si>
    <t>n80</t>
  </si>
  <si>
    <t>Transmission</t>
  </si>
  <si>
    <t>n81</t>
  </si>
  <si>
    <t>Lower Neches Valley Authority</t>
  </si>
  <si>
    <t>n82</t>
  </si>
  <si>
    <t>Nueces River Authority</t>
  </si>
  <si>
    <t>n83</t>
  </si>
  <si>
    <t>Water Quality Programs</t>
  </si>
  <si>
    <t>Resource Protection &amp; Education</t>
  </si>
  <si>
    <t>n84</t>
  </si>
  <si>
    <t>Red River Authority</t>
  </si>
  <si>
    <t>n85</t>
  </si>
  <si>
    <t>General Services Branch</t>
  </si>
  <si>
    <t>General Operations Branch</t>
  </si>
  <si>
    <t>Utility Division</t>
  </si>
  <si>
    <t>n86</t>
  </si>
  <si>
    <t>Environmental Services Division</t>
  </si>
  <si>
    <t>n87</t>
  </si>
  <si>
    <t>Sabine River Authority</t>
  </si>
  <si>
    <t>n88</t>
  </si>
  <si>
    <t>n89</t>
  </si>
  <si>
    <t>San Antonio River Authority</t>
  </si>
  <si>
    <t>n90</t>
  </si>
  <si>
    <t>Environmental Sciences</t>
  </si>
  <si>
    <t>n91</t>
  </si>
  <si>
    <t>Public Services &amp; Resources</t>
  </si>
  <si>
    <t>n92</t>
  </si>
  <si>
    <t>n93</t>
  </si>
  <si>
    <t>San Jacinto River Authority</t>
  </si>
  <si>
    <t>n94</t>
  </si>
  <si>
    <t>Lake Conroe Division</t>
  </si>
  <si>
    <t>n95</t>
  </si>
  <si>
    <t>Woodlands Division</t>
  </si>
  <si>
    <t>n96</t>
  </si>
  <si>
    <t>Highlands Division</t>
  </si>
  <si>
    <t>n97</t>
  </si>
  <si>
    <t>Reduction Plan Division</t>
  </si>
  <si>
    <t>n98</t>
  </si>
  <si>
    <t>Flood Management Division</t>
  </si>
  <si>
    <t>n99</t>
  </si>
  <si>
    <t>Sulphur River Basin Authority</t>
  </si>
  <si>
    <t>n100</t>
  </si>
  <si>
    <t>n101</t>
  </si>
  <si>
    <t>Trinity River Authority</t>
  </si>
  <si>
    <t>n102</t>
  </si>
  <si>
    <t>Planning &amp; Environmental Management</t>
  </si>
  <si>
    <t>n103</t>
  </si>
  <si>
    <t>Upper Colorado River Authority</t>
  </si>
  <si>
    <t>n104</t>
  </si>
  <si>
    <t>n105</t>
  </si>
  <si>
    <t>Upper Guadalupe River Authority</t>
  </si>
  <si>
    <t>n106</t>
  </si>
  <si>
    <t>Department of State Health Services</t>
  </si>
  <si>
    <t>n107</t>
  </si>
  <si>
    <t>Environmental and Injury Epidemiology and Toxicology</t>
  </si>
  <si>
    <t>n108</t>
  </si>
  <si>
    <t>Environmental Surveillance Toxicology</t>
  </si>
  <si>
    <t>n109</t>
  </si>
  <si>
    <t>Fluoridation Program</t>
  </si>
  <si>
    <t>n110</t>
  </si>
  <si>
    <t>Health Assessment and Toxicology Program</t>
  </si>
  <si>
    <t>n111</t>
  </si>
  <si>
    <t>Environmental and Occupational Epidemiology</t>
  </si>
  <si>
    <t>n112</t>
  </si>
  <si>
    <t>Department of Licensing and Registration</t>
  </si>
  <si>
    <t>n113</t>
  </si>
  <si>
    <t>Water Well Drillers and Pump Installers Program</t>
  </si>
  <si>
    <t>n114</t>
  </si>
  <si>
    <t>Railroad Commission of Texas</t>
  </si>
  <si>
    <t>n115</t>
  </si>
  <si>
    <t>Surface Mining and Reclamation</t>
  </si>
  <si>
    <t>n116</t>
  </si>
  <si>
    <t>Oil and Gas</t>
  </si>
  <si>
    <t>n117</t>
  </si>
  <si>
    <t>Department of Information Resources</t>
  </si>
  <si>
    <t>n118</t>
  </si>
  <si>
    <t>Statewide Data Coordination</t>
  </si>
  <si>
    <t>n119</t>
  </si>
  <si>
    <t>Texas Groundwater Protection Committee</t>
  </si>
  <si>
    <t>n120</t>
  </si>
  <si>
    <t>Public Utility Commission of Texas</t>
  </si>
  <si>
    <t>Sulphur River Authority</t>
  </si>
  <si>
    <t>Protecting the quality of water in Texas.</t>
  </si>
  <si>
    <t>https://www.tceq.texas.gov/agency/organization/water.html#waterquality</t>
  </si>
  <si>
    <t>Assess, protect, and improve the quality of Texas surface water resources.</t>
  </si>
  <si>
    <t>https://www.tceq.texas.gov/agency/organization/water.html#waterplanning</t>
  </si>
  <si>
    <t>Sets and implements standards for surface water quality to improve and maintain the quality of water in the state.</t>
  </si>
  <si>
    <t>https://www.tceq.texas.gov/waterquality/standards/eq_swqs.html</t>
  </si>
  <si>
    <t>A program that brings communities together to take care of Texas by improving the quality of their streams, lakes, and bays.</t>
  </si>
  <si>
    <t>https://www.tceq.texas.gov/waterquality/tmdl/index.html</t>
  </si>
  <si>
    <t>Plans and implements activities that prevent or abate urban and other nonagricultural nonpoint source pollution in Texas waters.</t>
  </si>
  <si>
    <t>https://www.tceq.texas.gov/waterquality/nonpoint-source</t>
  </si>
  <si>
    <t>Monitors and evaluates physical, chemical, and biological characteristics of aquatic systems as a basis for effective policy.</t>
  </si>
  <si>
    <t>https://www.tceq.texas.gov/waterquality/monitoring/index.html</t>
  </si>
  <si>
    <t>Maintaining and improving the quality of water within each river basin in Texas.</t>
  </si>
  <si>
    <t>https://www.tceq.texas.gov/waterquality/clean-rivers/about-crp.html</t>
  </si>
  <si>
    <t>Responsible for programs that ensure the production, treatment, delivery, and protection of safe and adequate drinking water.</t>
  </si>
  <si>
    <t>https://www.tceq.texas.gov/agency/organization/water.html#watersupply</t>
  </si>
  <si>
    <t>Encourage the wise and productive use of natural resources.</t>
  </si>
  <si>
    <t>https://www.tsswcb.texas.gov/</t>
  </si>
  <si>
    <t>The Texas State Soil and Water Conservation Board's Flood Control Program works to eliminate the existing backlog of operation and maintenance needs on flood control dams in Texas.</t>
  </si>
  <si>
    <t>https://www.tsswcb.texas.gov/programs/flood-control-program</t>
  </si>
  <si>
    <t>To be the State's comprehensive strategy for addressing NPS pollution</t>
  </si>
  <si>
    <t>https://www.tsswcb.texas.gov/index.php/programs/texas-nonpoint-source-management-program</t>
  </si>
  <si>
    <t>Increasing available surface and ground water through the targeted control of brush species that are detrimental to water conservation</t>
  </si>
  <si>
    <t>https://www.tsswcb.texas.gov/programs/water-supply-enhancement-program</t>
  </si>
  <si>
    <t>Provide leadership, information, education, and support for planning, financial assistance, and outreach for the conservation and responsible development of water for Texas.</t>
  </si>
  <si>
    <t>http://www.twdb.texas.gov/index.asp</t>
  </si>
  <si>
    <t>Collecting, analyzing, and disseminating water-related data; and, by providing other services necessary to aid in planning and managing the state's water resources.</t>
  </si>
  <si>
    <t>http://www.twdb.texas.gov/waterplanning/index.asp</t>
  </si>
  <si>
    <t>Guide and support planning of the state's water resources by administering and assisting in the development of the regional and state water plans.</t>
  </si>
  <si>
    <t>http://www.twdb.texas.gov/waterplanning/rwp/index.asp</t>
  </si>
  <si>
    <t>Collect annual water use data to support the development and management of the water resources of Texas</t>
  </si>
  <si>
    <t>http://www.twdb.texas.gov/waterplanning/waterusesurvey/index.asp</t>
  </si>
  <si>
    <t>To provide leadership, planning, education, information, technical assistance, and agricultural financial assistance for water conservation in Texas.</t>
  </si>
  <si>
    <t>http://www.twdb.texas.gov/conservation/index.asp</t>
  </si>
  <si>
    <t>To provide services that help Texans establish effective municipal water conservation programs by implementing best management practices.</t>
  </si>
  <si>
    <t>http://www.twdb.texas.gov/conservation/municipal/index.asp</t>
  </si>
  <si>
    <t>Educate the water community on the use of nontraditional water supplies.</t>
  </si>
  <si>
    <t>http://www.twdb.texas.gov/innovativewater/</t>
  </si>
  <si>
    <t>Provides scientific and engineering expertise associated with data collection, analysis and modeling of surface waters in Texas to ensure the continued availability of water supplies and the maintenance of the ecological health and productivity of Texas rivers, streams, reservoirs, bays and estuaries.</t>
  </si>
  <si>
    <t>http://www.twdb.texas.gov/surfacewater/index.asp</t>
  </si>
  <si>
    <t>To create a unified virtual network of high quality data to support flood monitoring and flood forecasting efforts by the National Weather Service, regional river authorities, and local emergency responders.</t>
  </si>
  <si>
    <t>https://www.texmesonet.org/</t>
  </si>
  <si>
    <t>To provide a single access point for customers to receive water-related data.</t>
  </si>
  <si>
    <t>http://www.twdb.texas.gov/surfacewater/conditions/index.asp</t>
  </si>
  <si>
    <t>Collect, interpret, and provide accurate, objective information on the groundwater resources of Texas.</t>
  </si>
  <si>
    <t>http://www.twdb.texas.gov/groundwater/index.asp</t>
  </si>
  <si>
    <t>To monitor changes in the quality of groundwater over time and to establish as accurately as possible the baseline quality of groundwater occurring naturally in the state's aquifers.</t>
  </si>
  <si>
    <t>http://www.twdb.texas.gov/groundwater/data/index.asp</t>
  </si>
  <si>
    <t>A reliable and unique state resource that provides high quality historic and current geospatial data products, education and training, while advancing the GIS Community through collaboration, expertise, cost-sharing initiatives and exceptional customer service.</t>
  </si>
  <si>
    <t>https://tnris.org/</t>
  </si>
  <si>
    <t>Acquire and improve digital geographic data for statewide mapping applications.</t>
  </si>
  <si>
    <t>https://tnris.org/stratmap/</t>
  </si>
  <si>
    <t>Conserve, store, control, preserve, use, and distribute the storm water, floodwater and the water of the rivers and streams of the state in the Neches River Basin for the benefit of the human environment and the natural environment.</t>
  </si>
  <si>
    <t>https://www.anra.org/index.html</t>
  </si>
  <si>
    <t>https://www.anra.org/divisions/water_quality/index.html</t>
  </si>
  <si>
    <t>https://www.anra.org/divisions/water_delivery/index.html</t>
  </si>
  <si>
    <t>https://www.anra.org/divisions/wastewater/index.html</t>
  </si>
  <si>
    <t>https://www.anra.org/divisions/reservoirs/index.html</t>
  </si>
  <si>
    <t>Protect and preserve the county's water and natural resources for the state of Texas.</t>
  </si>
  <si>
    <t>http://www.bcragd.org/</t>
  </si>
  <si>
    <t>Protect and preserve the resource for the people of our community and downstream communities who utilize the waters of the Medina every day.</t>
  </si>
  <si>
    <t>http://www.bcragd.org/medina-lake/</t>
  </si>
  <si>
    <t>Field technicians sample water quality of the Medina River, Medina Lake, and its tributaries quarterly to assess E.coli concentrations.</t>
  </si>
  <si>
    <t>http://www.bcragd.org/water-quality-testing/</t>
  </si>
  <si>
    <t>Develop, manage and protect the water resources of the Brazos River basin.</t>
  </si>
  <si>
    <t>http://www.brazos.org/</t>
  </si>
  <si>
    <t>The Brazos River Authority water supply system includes 11 reservoirs scattered across the 42,000 square mile river basin.</t>
  </si>
  <si>
    <t>http://www.brazos.org/About-Us/Reservoirs</t>
  </si>
  <si>
    <t>The BRA currently holds water rights issued by the State of Texas for a System of reservoirs. Collectively, these rights authorize the BRA to supply approximately one million acre-feet of water from the Brazos River basin annually for municipal, industrial, agricultural and mining purposes.</t>
  </si>
  <si>
    <t>http://www.brazos.org/About-Us/Water-Supply</t>
  </si>
  <si>
    <t>Project reservoir drawdowns during drought.</t>
  </si>
  <si>
    <t>http://www.brazos.org/About-Us/Water-Supply/Drought</t>
  </si>
  <si>
    <t>Oversees five types of water supply contracts throughout the Brazos River Basin.</t>
  </si>
  <si>
    <t>http://www.brazos.org/About-Us/Water-Supply/Contracting</t>
  </si>
  <si>
    <t>The Brazos River Authority works with state and federal authorities to monitor the quality of Brazos River basin surface water while providing clean, potable drinking water as well as wastewater services to the people of the Brazos basin.</t>
  </si>
  <si>
    <t>http://www.brazos.org/About-Us/Water-Quality</t>
  </si>
  <si>
    <t>The Clean Rivers Act requires an ongoing assessment of water quality issues and management strategies statewide to guide Texas water resources policy and decision-making into the 21st Century</t>
  </si>
  <si>
    <t>http://www.brazos.org/About-Us/Water-Quality/Clean-Rivers-Program</t>
  </si>
  <si>
    <t>BrazosBasinNOW is the Brazos River Authority’s new River and Reservoir information web page featuring streamflow, reservoir and rainfall maps in a map-based, gage-system format</t>
  </si>
  <si>
    <t>https://www.brazosbasinnow.org/home.php</t>
  </si>
  <si>
    <t>Support responsible watershed protection and stewardship, provide quality operational service, and a commitment to promote conservation and educational opportunities in order to enhance quality of life for those we serve.</t>
  </si>
  <si>
    <t>http://www.gbra.org/</t>
  </si>
  <si>
    <t>http://www.gbra.org/crp/default.aspx</t>
  </si>
  <si>
    <t>Water for today and tomorrow</t>
  </si>
  <si>
    <t>http://www.lnra.org/</t>
  </si>
  <si>
    <t>Oversees the delivery of raw water.</t>
  </si>
  <si>
    <t>Conducts monthly monitoring of water quality field data and quarterly sampling of water chemistry at sites throughout Lavaca Basin.</t>
  </si>
  <si>
    <t>Provide for the safe and efficient operation and maintenance of the Palmetto Bend Dam and Spillway Structures.</t>
  </si>
  <si>
    <t>To enhance the quality of life of the Texans we serve through water stewardship, energy and community service.</t>
  </si>
  <si>
    <t>https://www.lcra.org/Pages/default.aspx</t>
  </si>
  <si>
    <t>Providing water for more than a million people</t>
  </si>
  <si>
    <t>https://www.lcra.org/water/Pages/default.aspx</t>
  </si>
  <si>
    <t>Provides for the present and long term freshwater needs of municipal, agricultural and industrial customers, protects water quality in the Neches River and Coastal Basin, insures affordability of the water supply, and enhances economic development in the Authoritys jurisdiction.</t>
  </si>
  <si>
    <t>http://lnva.dst.tx.us/</t>
  </si>
  <si>
    <t>We have broad authority to develop water resources, provide for flood control and irrigation, develop parks, finance water supply and pollution control projects, and receive state and federal grants and loans.</t>
  </si>
  <si>
    <t>http://www.nueces-ra.org/</t>
  </si>
  <si>
    <t>https://www.nueces-ra.org/CP/</t>
  </si>
  <si>
    <t>Orderly conservation, reclamation, protection, and development of the water resources throughout the Red River Basin for the benefit of the public.</t>
  </si>
  <si>
    <t>http://www.rra.texas.gov/</t>
  </si>
  <si>
    <t>To provide budget and personnel administration, project and program development and management, information resource management, cartographic mapping and technical support, and performance monitoring for all agency related activities and services.</t>
  </si>
  <si>
    <t>To provide water and sewer services for rural unincorporated communities, towns and cities within a 15 county area of North Texas.</t>
  </si>
  <si>
    <t>The principal purpose of the ESD is to control and / or abate any possible threat of pollution to the environment and the water resources</t>
  </si>
  <si>
    <t>Control, store, preserve, and distribute the waters of the Sabine River and its tributary system for useful purposes.</t>
  </si>
  <si>
    <t>http://www.sratx.org/</t>
  </si>
  <si>
    <t>Provide field and laboratory services for SRA-TX, as well as governmental entities, industries and municipalities.</t>
  </si>
  <si>
    <t>http://www.sratx.org/aboutsra/esd.asp</t>
  </si>
  <si>
    <t>Committed to Safe, Clean, Enjoyable Creeks and Rivers.</t>
  </si>
  <si>
    <t>https://www.sara-tx.org/</t>
  </si>
  <si>
    <t>Provides research, data gathering, scientific assessment and environmental coordination functions for the San Antonio River Authority.</t>
  </si>
  <si>
    <t>https://www.sara-tx.org/environmental-science/</t>
  </si>
  <si>
    <t>Serves as a regional constituency for water and wastewater</t>
  </si>
  <si>
    <t>https://www.sara-tx.org/public-services/</t>
  </si>
  <si>
    <t>Advocates a regional approach to flood control issues.</t>
  </si>
  <si>
    <t>https://www.sara-tx.org/flood-management/</t>
  </si>
  <si>
    <t>Serves as a full-service water and wastewater utility provider within its district</t>
  </si>
  <si>
    <t>https://www.sara-tx.org/public-services/utilities/</t>
  </si>
  <si>
    <t>Provide reliable, cost-efficient, and sustainable water resource management that supports economic and industrial growth in the region and earns the trust and confidence of SJRAs customers.</t>
  </si>
  <si>
    <t>http://www.sjra.net/</t>
  </si>
  <si>
    <t>Municipal and industrial raw water supply, reservoir operations, water quality and source water protection, invasive species management, navigational safety, and regulation of structures on the reservoir.</t>
  </si>
  <si>
    <t>http://www.sjra.net/lakeconroe/</t>
  </si>
  <si>
    <t>Dedicated to excellence in developing and maintaining a superior water and wastewater system to meet the needs of our community.</t>
  </si>
  <si>
    <t>http://www.sjra.net/woodlands/</t>
  </si>
  <si>
    <t>Delivers more water each day than all other SJRA divisions combined.</t>
  </si>
  <si>
    <t>http://www.sjra.net/highlands/</t>
  </si>
  <si>
    <t>Implementing a countywide program that will meet the requirements of the Lone Star Groundwater Conservation District to substantially reduce future groundwater usage from the Gulf Coast Aquifer by ensuring a reliable, long-term diversified portfolio of alternative water supply sources for all of Montgomery County.</t>
  </si>
  <si>
    <t>http://www.sjra.net/grp/</t>
  </si>
  <si>
    <t>Developing short-term and long-term regional flood management strategies within the Authoritys portion of the San Jacinto River Basin; building partnerships with federal, state, and local government entities; identifying funding sources and opportunities; and coordinating, collaborating, and potentially partnering with other flood management entities throughout the entire San Jacinto River basin.</t>
  </si>
  <si>
    <t>http://www.sjra.net/floodmanagement/</t>
  </si>
  <si>
    <t>Provide for the conservation and development of the states natural resources within the basin of the Sulphur River.</t>
  </si>
  <si>
    <t>http://srbatx.org/</t>
  </si>
  <si>
    <t>http://sulphurr.org/</t>
  </si>
  <si>
    <t>Promote conservation, reclamation, protection and development of the natural resources of the river basin for the benefit of the public.</t>
  </si>
  <si>
    <t>http://www.trinityra.org/</t>
  </si>
  <si>
    <t>Prepare and maintain a master plan for responsible water use.</t>
  </si>
  <si>
    <t>http://www.trinityra.org/basin-planning.htm</t>
  </si>
  <si>
    <t>Enhance the water quality of the streams and tributaries located within the watershed of the Upper Colorado River Authority.</t>
  </si>
  <si>
    <t>http://www.ucratx.org/index.html</t>
  </si>
  <si>
    <t>http://www.ucratx.org/crp.html</t>
  </si>
  <si>
    <t>Protect, develop, and manage the water quantity, quality, and sustainability in the Guadalupe River watershed in Kerr County.</t>
  </si>
  <si>
    <t>http://www.ugra.org/</t>
  </si>
  <si>
    <t>Improve the health, safety, and well-being of Texans through good stewardship of public resources, and a focus on core public health functions.</t>
  </si>
  <si>
    <t>http://www.dshs.texas.gov/</t>
  </si>
  <si>
    <t>http://www.dshs.texas.gov/epitox/default.shtm</t>
  </si>
  <si>
    <t>Uses the principles of epidemiology, toxicology, and surveillance to identify populations at risk, to develop evidence-based actions, and to protect and promote the health of the people of Texas.</t>
  </si>
  <si>
    <t>Works to improve the health of Texans by preventing tooth decay through community water fluoridation.</t>
  </si>
  <si>
    <t>http://www.dshs.texas.gov/epitox/fluoride.shtm</t>
  </si>
  <si>
    <t>Use the principles of risk assessment and toxicology to reduce and prevent adverse human health conditions from environmental exposures, identify human populations at risk, and promote actions to protect and promote the health of the people of Texas.</t>
  </si>
  <si>
    <t>http://www.dshs.texas.gov/epitox/hat.shtm</t>
  </si>
  <si>
    <t>http://www.dshs.texas.gov/epitox/epi.html</t>
  </si>
  <si>
    <t>Earn the trust of Texans every day by providing innovative regulatory solutions for our licensees and those they serve.</t>
  </si>
  <si>
    <t>https://www.tdlr.texas.gov/</t>
  </si>
  <si>
    <t>https://www.tdlr.texas.gov/wwd/wwd.htm</t>
  </si>
  <si>
    <t>Serve Texas by our stewardship of natural resources and the environment, our concern for personal and community safety, and our support of enhanced development and economic vitality for the benefit of Texans.</t>
  </si>
  <si>
    <t>http://www.rrc.texas.gov/</t>
  </si>
  <si>
    <t>The goal is that the mined land is returned to a condition that is as good as, or better than, it was before mining</t>
  </si>
  <si>
    <t>http://www.rrc.texas.gov/about-us/organization-activities/divisions-of-the-rrc/surface-mining-reclamation-division/</t>
  </si>
  <si>
    <t>Regulates the exploration, production, and transportation of oil and natural gas in Texas</t>
  </si>
  <si>
    <t>http://www.rrc.texas.gov/about-us/organization-activities/divisions-of-the-rrc/oil-gas-division/</t>
  </si>
  <si>
    <t>Provide technology leadership, solutions, and value to Texas state government, education, and local government entities to enable and facilitate the fulfillment of their core missions.</t>
  </si>
  <si>
    <t>http://dir.texas.gov/</t>
  </si>
  <si>
    <t>To enable a_data sharing culture_within and throughout all levels of government and education that provides_shared governance_and_secure infrastructure_to improve efficiency, reduce cost, increase transparency, and improve the experience of citizen-government interaction within all communities throughout the State of Texas</t>
  </si>
  <si>
    <t>http://dir.texas.gov/View-Resources/Pages/Content.aspx?id=61</t>
  </si>
  <si>
    <t>Identify areas where new or existing groundwater programs could be enhanced, as well as improve coordination among agencies involved in groundwater activities.</t>
  </si>
  <si>
    <t>http://tgpc.state.tx.us/</t>
  </si>
  <si>
    <t>Protect customers, foster competition, and promote high quality infrastructure.</t>
  </si>
  <si>
    <t>https://www.puc.texas.gov/</t>
  </si>
  <si>
    <t>n41</t>
  </si>
  <si>
    <t>n68</t>
  </si>
  <si>
    <t>n121</t>
  </si>
  <si>
    <t>n122</t>
  </si>
  <si>
    <t>n123</t>
  </si>
  <si>
    <t>p12</t>
  </si>
  <si>
    <t>Watershed Protection Plans for Nonpoint Source Water Pollution</t>
  </si>
  <si>
    <t>p13</t>
  </si>
  <si>
    <t>Continuous Water Quality Monitoring Network</t>
  </si>
  <si>
    <t>p14</t>
  </si>
  <si>
    <t>Groundwater Contamination Viewer</t>
  </si>
  <si>
    <t>p15</t>
  </si>
  <si>
    <t>Pesticides and Groundwater</t>
  </si>
  <si>
    <t>p16</t>
  </si>
  <si>
    <t>List of Texas PWSs Limiting Water Use to Avoid Shortages</t>
  </si>
  <si>
    <t>p17</t>
  </si>
  <si>
    <t>Geographic Information Systems</t>
  </si>
  <si>
    <t>p18</t>
  </si>
  <si>
    <t>Compliance History Database</t>
  </si>
  <si>
    <t>p19</t>
  </si>
  <si>
    <t>Surface Water Quality Monitoring Information System</t>
  </si>
  <si>
    <t>p20</t>
  </si>
  <si>
    <t>State of Texas Environmental Electronic Reporting System</t>
  </si>
  <si>
    <t>Environmental Electronic Reporting System</t>
  </si>
  <si>
    <t>p21</t>
  </si>
  <si>
    <t>Status of Stormwater and Wastewater Applications and Specifications</t>
  </si>
  <si>
    <t>p22</t>
  </si>
  <si>
    <t>CRP Data Tool</t>
  </si>
  <si>
    <t>p23</t>
  </si>
  <si>
    <t>Water District Database</t>
  </si>
  <si>
    <t>p24</t>
  </si>
  <si>
    <t>p25</t>
  </si>
  <si>
    <t>Groundwater Database</t>
  </si>
  <si>
    <t>p26</t>
  </si>
  <si>
    <t>GIS Data</t>
  </si>
  <si>
    <t>p27</t>
  </si>
  <si>
    <t>TexMesonet</t>
  </si>
  <si>
    <t>p28</t>
  </si>
  <si>
    <t>Groundwater Data Viewer</t>
  </si>
  <si>
    <t>p29</t>
  </si>
  <si>
    <t>Texas State Water Plan</t>
  </si>
  <si>
    <t>Water Use, Planning, and Projections</t>
  </si>
  <si>
    <t>p30</t>
  </si>
  <si>
    <t>Geospatial Emergency Management Support System</t>
  </si>
  <si>
    <t>p31</t>
  </si>
  <si>
    <t>Regional Water Planning Data</t>
  </si>
  <si>
    <t>p32</t>
  </si>
  <si>
    <t>Historical Water Use Estimates</t>
  </si>
  <si>
    <t>Water Use</t>
  </si>
  <si>
    <t>p33</t>
  </si>
  <si>
    <t>Submitted Drillers Reports Database</t>
  </si>
  <si>
    <t>p34</t>
  </si>
  <si>
    <t>Texas Water Conditions Report</t>
  </si>
  <si>
    <t>WAM</t>
  </si>
  <si>
    <t>p35</t>
  </si>
  <si>
    <t>Precipitation and Lake Evaporation</t>
  </si>
  <si>
    <t>p36</t>
  </si>
  <si>
    <t>Lake Surveys</t>
  </si>
  <si>
    <t>p37</t>
  </si>
  <si>
    <t>Historical Water Loss Audit and Conservation Annual Report Data</t>
  </si>
  <si>
    <t>p38</t>
  </si>
  <si>
    <t>Brackish Resources Aquifer Characterization System</t>
  </si>
  <si>
    <t>p39</t>
  </si>
  <si>
    <t>Desalination</t>
  </si>
  <si>
    <t>p40</t>
  </si>
  <si>
    <t>Water Reuse</t>
  </si>
  <si>
    <t>p41</t>
  </si>
  <si>
    <t>p42</t>
  </si>
  <si>
    <t>Water Service Boundary Viewer</t>
  </si>
  <si>
    <t>p43</t>
  </si>
  <si>
    <t>p44</t>
  </si>
  <si>
    <t>Watershed Protection Plans</t>
  </si>
  <si>
    <t>Nonpoint Source Management Program</t>
  </si>
  <si>
    <t>p45</t>
  </si>
  <si>
    <t>Agency Reports</t>
  </si>
  <si>
    <t>Soil and Water Conservation Board</t>
  </si>
  <si>
    <t>p46</t>
  </si>
  <si>
    <t>TGCP Publications</t>
  </si>
  <si>
    <t>p47</t>
  </si>
  <si>
    <t>Texas Open Data Portal</t>
  </si>
  <si>
    <t>p48</t>
  </si>
  <si>
    <t>Consumer Information</t>
  </si>
  <si>
    <t>p49</t>
  </si>
  <si>
    <t>Drought Information</t>
  </si>
  <si>
    <t>p50</t>
  </si>
  <si>
    <t>Stream Gauges</t>
  </si>
  <si>
    <t>p51</t>
  </si>
  <si>
    <t>p52</t>
  </si>
  <si>
    <t>In House Surface Water Quality Testing</t>
  </si>
  <si>
    <t>p53</t>
  </si>
  <si>
    <t>Monitor Well Program</t>
  </si>
  <si>
    <t>p54</t>
  </si>
  <si>
    <t>Rainfall and River Gauges</t>
  </si>
  <si>
    <t>p55</t>
  </si>
  <si>
    <t>p56</t>
  </si>
  <si>
    <t>p57</t>
  </si>
  <si>
    <t>Brazos River Watershed Information Center</t>
  </si>
  <si>
    <t>p58</t>
  </si>
  <si>
    <t>Basin Summary Report</t>
  </si>
  <si>
    <t>p59</t>
  </si>
  <si>
    <t>Water Levels</t>
  </si>
  <si>
    <t>p60</t>
  </si>
  <si>
    <t>Water Supply and Reservoir Data</t>
  </si>
  <si>
    <t>p61</t>
  </si>
  <si>
    <t>Brazos River Authority Maps</t>
  </si>
  <si>
    <t>p62</t>
  </si>
  <si>
    <t>Rainfall Data</t>
  </si>
  <si>
    <t>p63</t>
  </si>
  <si>
    <t>Streamflow Data Map</t>
  </si>
  <si>
    <t>p64</t>
  </si>
  <si>
    <t>Basin Summary</t>
  </si>
  <si>
    <t>p65</t>
  </si>
  <si>
    <t>Monitoring Sites Map</t>
  </si>
  <si>
    <t>p66</t>
  </si>
  <si>
    <t>Consumer Confidence Reports</t>
  </si>
  <si>
    <t>Water Treatment</t>
  </si>
  <si>
    <t>p67</t>
  </si>
  <si>
    <t>Lavaca Regional Water Planning Group</t>
  </si>
  <si>
    <t>p68</t>
  </si>
  <si>
    <t>Early Warning System</t>
  </si>
  <si>
    <t>Instrumentation and Electronics</t>
  </si>
  <si>
    <t>p69</t>
  </si>
  <si>
    <t>Reservoir Data</t>
  </si>
  <si>
    <t>p70</t>
  </si>
  <si>
    <t>Water Quality Database</t>
  </si>
  <si>
    <t>p71</t>
  </si>
  <si>
    <t>LCRA Interactive Map</t>
  </si>
  <si>
    <t>p72</t>
  </si>
  <si>
    <t>Hydromet</t>
  </si>
  <si>
    <t>Water Surface Management</t>
  </si>
  <si>
    <t>p73</t>
  </si>
  <si>
    <t>Flood Operations Report</t>
  </si>
  <si>
    <t>p74</t>
  </si>
  <si>
    <t>River Operations Report</t>
  </si>
  <si>
    <t>p75</t>
  </si>
  <si>
    <t>River and Weather Conditions</t>
  </si>
  <si>
    <t>p76</t>
  </si>
  <si>
    <t>Highland Lakes and Dams</t>
  </si>
  <si>
    <t>Dams and Hydro</t>
  </si>
  <si>
    <t>p77</t>
  </si>
  <si>
    <t>p78</t>
  </si>
  <si>
    <t>LCRA Water Quality Data</t>
  </si>
  <si>
    <t>p79</t>
  </si>
  <si>
    <t>Colorado River Watch Network</t>
  </si>
  <si>
    <t>p80</t>
  </si>
  <si>
    <t>CRP SQWM Database</t>
  </si>
  <si>
    <t>p81</t>
  </si>
  <si>
    <t>City of Corpus Christi Pages</t>
  </si>
  <si>
    <t>Corpus Christi Water Supply</t>
  </si>
  <si>
    <t>p82</t>
  </si>
  <si>
    <t>Drinking Water Reports</t>
  </si>
  <si>
    <t>p83</t>
  </si>
  <si>
    <t>p84</t>
  </si>
  <si>
    <t>Monthly Water Quality Monitoring Reports</t>
  </si>
  <si>
    <t>p85</t>
  </si>
  <si>
    <t>Sabine Basin Lake Levels and River Conditions</t>
  </si>
  <si>
    <t>p86</t>
  </si>
  <si>
    <t>SARA Floodplain Viewer</t>
  </si>
  <si>
    <t>p87</t>
  </si>
  <si>
    <t>SARA Risk MAP Viewer</t>
  </si>
  <si>
    <t>p88</t>
  </si>
  <si>
    <t>SARA Water Quality Viewer</t>
  </si>
  <si>
    <t>p89</t>
  </si>
  <si>
    <t>Contrail System</t>
  </si>
  <si>
    <t>Lake Conroe</t>
  </si>
  <si>
    <t>p90</t>
  </si>
  <si>
    <t>GRP Raw Water Pumpage</t>
  </si>
  <si>
    <t>Groundwater Reduction Plan</t>
  </si>
  <si>
    <t>p91</t>
  </si>
  <si>
    <t>Monthly Operations Report</t>
  </si>
  <si>
    <t>p92</t>
  </si>
  <si>
    <t>Maps and Data</t>
  </si>
  <si>
    <t>Planning and Environmental Services</t>
  </si>
  <si>
    <t>p93</t>
  </si>
  <si>
    <t>Lake Livingston Contrail System</t>
  </si>
  <si>
    <t>p94</t>
  </si>
  <si>
    <t>Current River Conditions</t>
  </si>
  <si>
    <t>p95</t>
  </si>
  <si>
    <t>CCN Mapping Information</t>
  </si>
  <si>
    <t>p96</t>
  </si>
  <si>
    <t>Interchange Filer</t>
  </si>
  <si>
    <t>p97</t>
  </si>
  <si>
    <t>Purchase Data</t>
  </si>
  <si>
    <t>Records Services</t>
  </si>
  <si>
    <t>LNRA- Reservoir</t>
  </si>
  <si>
    <t>UGRA</t>
  </si>
  <si>
    <t>TCEQ-Nonpoint Source Pollution</t>
  </si>
  <si>
    <t>TCEQ-Surface Water Quality Monitoring Program</t>
  </si>
  <si>
    <t>TCEQ-Water</t>
  </si>
  <si>
    <t>TCEQ-STEERS</t>
  </si>
  <si>
    <t>TCEQ-Water Quality</t>
  </si>
  <si>
    <t>TCEQ-Clean Rivers Program</t>
  </si>
  <si>
    <t>TWDB-Water Data for Texas</t>
  </si>
  <si>
    <t>TWDB-Groundwater Monitoring</t>
  </si>
  <si>
    <t>TWDB-Mapping</t>
  </si>
  <si>
    <t>TWDB-TexMesonet</t>
  </si>
  <si>
    <t>TWDB-Water Use Planning</t>
  </si>
  <si>
    <t>TWDB-Texas Natural Resources Information System</t>
  </si>
  <si>
    <t>TWDB-Regional Water Planning</t>
  </si>
  <si>
    <t>TWDB-Water Use</t>
  </si>
  <si>
    <t>TWDB-Surface Water</t>
  </si>
  <si>
    <t>TWDB-Municipal Water Conservation</t>
  </si>
  <si>
    <t>TWDB-Innovative Water Technologies</t>
  </si>
  <si>
    <t>TSWCB-Flood Control Program</t>
  </si>
  <si>
    <t>TSWCB-Nonpoint Source Management</t>
  </si>
  <si>
    <t>TWSCB-Agency Reports</t>
  </si>
  <si>
    <t>TGPC-Publications</t>
  </si>
  <si>
    <t>TDIR-Statewide Data Coordination</t>
  </si>
  <si>
    <t>ANAR-Water Delivery</t>
  </si>
  <si>
    <t>ANAR-Reservoirs</t>
  </si>
  <si>
    <t>BCRAGD-Water Quality Monitoring</t>
  </si>
  <si>
    <t>BCRAGD-Groundwater Monitoring</t>
  </si>
  <si>
    <t>BCRAGD-Flood Management</t>
  </si>
  <si>
    <t>BCRAGD-Reservoirs</t>
  </si>
  <si>
    <t>BRA-Water Supply</t>
  </si>
  <si>
    <t>BRA-Clean Rivers Program</t>
  </si>
  <si>
    <t>BRA-Maps</t>
  </si>
  <si>
    <t>GBRA-Water Resources Management</t>
  </si>
  <si>
    <t>GBRA-Clean Rivers Program</t>
  </si>
  <si>
    <t>GBRA-Consumer Confidence Reports</t>
  </si>
  <si>
    <t>LNRA-Water Delivery</t>
  </si>
  <si>
    <t>LNRA-Instrumentation and Electronics</t>
  </si>
  <si>
    <t>LNRA-Clean Rivers Program</t>
  </si>
  <si>
    <t>LCRA-Water</t>
  </si>
  <si>
    <t>LCRA-Water Surface Management</t>
  </si>
  <si>
    <t>LCRA-River Operations</t>
  </si>
  <si>
    <t>LCRA-Dams and Hydro</t>
  </si>
  <si>
    <t>LCRA-Water Resource Planning</t>
  </si>
  <si>
    <t>LCRA-Water Quality Protection</t>
  </si>
  <si>
    <t>NRA-Clean Rivers Program</t>
  </si>
  <si>
    <t>NRA-CC Water Supply</t>
  </si>
  <si>
    <t>RRA-Utility Division</t>
  </si>
  <si>
    <t>RRA-Clean Rivers Program</t>
  </si>
  <si>
    <t>SRA-Environmental Services Division</t>
  </si>
  <si>
    <t>SARA-Flood Management</t>
  </si>
  <si>
    <t>SARA-Clean Rivers Program</t>
  </si>
  <si>
    <t>SJRA-Contrail System</t>
  </si>
  <si>
    <t>SJRA-Groundwater Reduction Plan Division</t>
  </si>
  <si>
    <t>TRA-Planning and Environmental Management</t>
  </si>
  <si>
    <t>PUC-Water</t>
  </si>
  <si>
    <t>TCEQ-Record Services</t>
  </si>
  <si>
    <t>https://www.tceq.texas.gov/waterquality/nonpoint-source/mgmt-plan/watershed-pp.html#map</t>
  </si>
  <si>
    <t>https://www.tceq.texas.gov/waterquality/monitoring/swqm_realtime.html</t>
  </si>
  <si>
    <t>http://tceq.maps.arcgis.com/apps/webappviewer/index.html?id=478b575733ca4662a1441f93c9b973f5</t>
  </si>
  <si>
    <t>https://www.tceq.texas.gov/groundwater/pesticides.html</t>
  </si>
  <si>
    <t>https://www.tceq.texas.gov/drinkingwater/trot/droughtw.html</t>
  </si>
  <si>
    <t>https://www.tceq.texas.gov/gis/download-tceq-gis-data#waterdatasets</t>
  </si>
  <si>
    <t>http://www2.tceq.texas.gov/oce/ch/index.cfm</t>
  </si>
  <si>
    <t>https://www80.tceq.texas.gov/SwqmisWeb/</t>
  </si>
  <si>
    <t>https://www3.tceq.texas.gov/steers/</t>
  </si>
  <si>
    <t>https://www.tceq.texas.gov/agency/data/lookup-data/status-stormwater-wastewater.html</t>
  </si>
  <si>
    <t>https://www80.tceq.texas.gov/SwqmisWeb/public/crpweb.faces</t>
  </si>
  <si>
    <t>http://www14.tceq.texas.gov/iwud/</t>
  </si>
  <si>
    <t>https://waterdatafortexas.org/reservoirs/statewide</t>
  </si>
  <si>
    <t>http://www.twdb.texas.gov/groundwater/data/gwdbrpt.asp</t>
  </si>
  <si>
    <t>http://www.twdb.texas.gov/mapping/gisdata.asp</t>
  </si>
  <si>
    <t>https://www2.twdb.texas.gov/apps/waterdatainteractive/groundwaterdataviewer</t>
  </si>
  <si>
    <t>http://www.twdb.texas.gov/waterplanning/swp/2017/index.asp</t>
  </si>
  <si>
    <t>https://gemss2.tnris.org/</t>
  </si>
  <si>
    <t>http://www.twdb.texas.gov/waterplanning/data/rwp-database/index.asp</t>
  </si>
  <si>
    <t>http://www.twdb.texas.gov/waterplanning/waterusesurvey/estimates/index.asp</t>
  </si>
  <si>
    <t>http://www.twdb.texas.gov/groundwater/data/drillersdb.asp</t>
  </si>
  <si>
    <t>http://www.twdb.texas.gov/surfacewater/conditions/report/index.asp</t>
  </si>
  <si>
    <t>https://waterdatafortexas.org/lake-evaporation-rainfall</t>
  </si>
  <si>
    <t>http://www.twdb.texas.gov/surfacewater/surveys/completed/index.asp</t>
  </si>
  <si>
    <t>http://www.twdb.texas.gov/conservation/municipal/waterloss/historical-annual-report.asp</t>
  </si>
  <si>
    <t>http://www.twdb.texas.gov/innovativewater/bracs/index.asp</t>
  </si>
  <si>
    <t>http://www.twdb.texas.gov/innovativewater/desal/index.asp</t>
  </si>
  <si>
    <t>http://www.twdb.texas.gov/innovativewater/reuse/index.asp</t>
  </si>
  <si>
    <t>https://www2.twdb.texas.gov/apps/waterserviceboundaries</t>
  </si>
  <si>
    <t>https://www.tsswcb.texas.gov/programs/texas-nonpoint-source-management-program/watershed-protection-plan-program</t>
  </si>
  <si>
    <t>https://www.tsswcb.texas.gov/about/agency-reports</t>
  </si>
  <si>
    <t>http://tgpc.state.tx.us/tgpc-publications/</t>
  </si>
  <si>
    <t>https://data.texas.gov/</t>
  </si>
  <si>
    <t>https://www.anra.org/divisions/water_delivery/holmwood_utilities/consumer_information.html</t>
  </si>
  <si>
    <t>https://www.anra.org/resources/drought_information.html</t>
  </si>
  <si>
    <t>https://www.anra.org/resources/stream_gages.html</t>
  </si>
  <si>
    <t>https://www.anra.org/resources/reservoir_levels.html</t>
  </si>
  <si>
    <t>http://www.bcragd.org/monitor-wells/</t>
  </si>
  <si>
    <t>http://www.bcragd.org/river-gauges/</t>
  </si>
  <si>
    <t>http://crpdata.brazos.org/GetData</t>
  </si>
  <si>
    <t>http://www.brazos.org/About-Us/Water-Quality/Clean-Rivers-Program/Basin-Summary-Report</t>
  </si>
  <si>
    <t>http://www.brazos.org/About-Us/Water-Levels/Water-Supply-and-Reservoir-Data</t>
  </si>
  <si>
    <t>http://www.brazos.org/About-Us/About-the-BRA/Maps</t>
  </si>
  <si>
    <t>http://www.gbra.org/rain/default.aspx</t>
  </si>
  <si>
    <t>http://www.gbra.org/conditions/data.aspx</t>
  </si>
  <si>
    <t>http://www.gbra.org/conditions/default.aspx</t>
  </si>
  <si>
    <t>http://www.gbra.org/crp/sites.aspx</t>
  </si>
  <si>
    <t>http://www.gbra.org/publications/ccrs.aspx</t>
  </si>
  <si>
    <t>http://www.lnra.org/water/lavaca-regional-water-planning-group</t>
  </si>
  <si>
    <t>http://www.lnra.org/water/early-warning-system</t>
  </si>
  <si>
    <t>http://www.lnra.org/water/reservoir-data</t>
  </si>
  <si>
    <t>http://www.nueces-ra.org/CP/LNRA/SWQM/</t>
  </si>
  <si>
    <t>https://maps.lcra.org/interactive.aspx</t>
  </si>
  <si>
    <t>https://hydromet.lcra.org/</t>
  </si>
  <si>
    <t>https://floodstatus.lcra.org/</t>
  </si>
  <si>
    <t>https://hydromet.lcra.org/riverreport</t>
  </si>
  <si>
    <t>https://www.lcra.org/water/river-and-weather/Pages/default.aspx</t>
  </si>
  <si>
    <t>https://www.lcra.org/water/dams-and-lakes/Pages/default.aspx</t>
  </si>
  <si>
    <t>https://www.lcra.org/water/water-supply/Pages/default.aspx</t>
  </si>
  <si>
    <t>https://waterquality.lcra.org/</t>
  </si>
  <si>
    <t>https://crwn.lcra.org/</t>
  </si>
  <si>
    <t>https://www.nueces-ra.org/CP/CRP/SWQM/index.php</t>
  </si>
  <si>
    <t>https://www.nueces-ra.org/CP/CITY/</t>
  </si>
  <si>
    <t>http://www.sratx.org/srwmp/tcrp/state_of_the_basin/monthly_wqmp_reports/default.asp</t>
  </si>
  <si>
    <t>http://www.sratx.org/basin/lake_and_river_conditions.asp</t>
  </si>
  <si>
    <t>https://sara-tx.maps.arcgis.com/apps/webappviewer/index.html?id=0df17b21b28546b0874af4c89b42a553</t>
  </si>
  <si>
    <t>https://sara-tx.maps.arcgis.com/apps/webappviewer/index.html?id=0b13614f13124257bfe589a459ba84fe</t>
  </si>
  <si>
    <t>https://sara-tx.maps.arcgis.com/apps/MapSeries/index.html?appid=3a4ca132222e41589e6f41eebfe6d36d</t>
  </si>
  <si>
    <t>https://sanjacinto.onerain.com/home.php</t>
  </si>
  <si>
    <t>http://www.sjra.net/grp/grp-pumpage/</t>
  </si>
  <si>
    <t>http://www.sjra.net/grp/monthly-reports/</t>
  </si>
  <si>
    <t>http://www.trinityra.org/lakearlingtonvillagecreekmapsdata</t>
  </si>
  <si>
    <t>http://lakedata.traweb.net/home.php</t>
  </si>
  <si>
    <t>http://www.ugra.org/public-information/currentconditions</t>
  </si>
  <si>
    <t>http://www.puc.texas.gov/industry/water/utilities/gis.aspx</t>
  </si>
  <si>
    <t>http://interchange.puc.texas.gov/</t>
  </si>
  <si>
    <t>https://www.tceq.texas.gov/agency/data/records-services/purchase-data.html</t>
  </si>
  <si>
    <t>High</t>
  </si>
  <si>
    <t>Map</t>
  </si>
  <si>
    <t>Batch Export</t>
  </si>
  <si>
    <t>csv; json; shapefile</t>
  </si>
  <si>
    <t>geodatabase; kml; shapefile</t>
  </si>
  <si>
    <t>Catalog</t>
  </si>
  <si>
    <t>Individual Export; Batch Export</t>
  </si>
  <si>
    <t>ASCII</t>
  </si>
  <si>
    <t>Permission Required</t>
  </si>
  <si>
    <t>Copy and paste</t>
  </si>
  <si>
    <t>Medium</t>
  </si>
  <si>
    <t>Map; Catalog</t>
  </si>
  <si>
    <t>txt</t>
  </si>
  <si>
    <t>Individual Export; Batch Export; Web Services</t>
  </si>
  <si>
    <t>csv; geojson; html; kmz; json; shapefile; txt</t>
  </si>
  <si>
    <t>csv; pdf; raster; word; xml</t>
  </si>
  <si>
    <t>shapefile</t>
  </si>
  <si>
    <t>Web Services</t>
  </si>
  <si>
    <t>csv; json</t>
  </si>
  <si>
    <t>csv</t>
  </si>
  <si>
    <t>geojson; raster; shapefile</t>
  </si>
  <si>
    <t>Copy and Paste; Individual Export; Web Services</t>
  </si>
  <si>
    <t>csv; html; json</t>
  </si>
  <si>
    <t>csv; excel; pdf; raster; word; xml</t>
  </si>
  <si>
    <t xml:space="preserve">Individual Export; Batch Export </t>
  </si>
  <si>
    <t>csv; pdf; raster; shapefile; word; xml</t>
  </si>
  <si>
    <t>shapefile; txt</t>
  </si>
  <si>
    <t>Copy and Paste; Individual Export</t>
  </si>
  <si>
    <t>csv; excel; html; pdf; raster; word; xml</t>
  </si>
  <si>
    <t>access; zip</t>
  </si>
  <si>
    <t>Individual Export; Link to Source; Full Export</t>
  </si>
  <si>
    <t>raster; shapefile; xml; zip</t>
  </si>
  <si>
    <t>csv; shapefile</t>
  </si>
  <si>
    <t>csv; json; rdf; tsv; xml; Unknown</t>
  </si>
  <si>
    <t>png</t>
  </si>
  <si>
    <t>Individual Export; Link to Source</t>
  </si>
  <si>
    <t>csv; json; pdf; txt; xml</t>
  </si>
  <si>
    <t>Link to Source; Individual Export</t>
  </si>
  <si>
    <t>txt; csv</t>
  </si>
  <si>
    <t>html; pdf; png; txt; zip</t>
  </si>
  <si>
    <t>excel</t>
  </si>
  <si>
    <t>csv; excel</t>
  </si>
  <si>
    <t>Copy and Paste; Link to Source</t>
  </si>
  <si>
    <t>Map; Website</t>
  </si>
  <si>
    <t>excel; pdf</t>
  </si>
  <si>
    <t>csv; pdf</t>
  </si>
  <si>
    <t>csv; txt</t>
  </si>
  <si>
    <t>ASCII; html</t>
  </si>
  <si>
    <t>html; pdf</t>
  </si>
  <si>
    <t>Individual Export; Copy and Paste</t>
  </si>
  <si>
    <t xml:space="preserve">Low </t>
  </si>
  <si>
    <t>xml; csv; json</t>
  </si>
  <si>
    <t>raster; shapefile</t>
  </si>
  <si>
    <t>kml; pdf; shapefile</t>
  </si>
  <si>
    <t>shapefile; zip</t>
  </si>
  <si>
    <t>None</t>
  </si>
  <si>
    <t>Monthly or Higher</t>
  </si>
  <si>
    <t>in data</t>
  </si>
  <si>
    <t>Current Only</t>
  </si>
  <si>
    <t>Weekly or Higher</t>
  </si>
  <si>
    <t>Administrative; Descriptive; Structural</t>
  </si>
  <si>
    <t>Daily or Higher</t>
  </si>
  <si>
    <t>Varies</t>
  </si>
  <si>
    <t>excel; pdf; txt</t>
  </si>
  <si>
    <t>Descriptive; Structural</t>
  </si>
  <si>
    <t>Descriptive</t>
  </si>
  <si>
    <t>in data; html</t>
  </si>
  <si>
    <t>TRA Lake Livingston Contrail System</t>
  </si>
  <si>
    <t>Public Utiliy Commission of Texas</t>
  </si>
  <si>
    <t>protection plans</t>
  </si>
  <si>
    <t>DO, SC, Temperature</t>
  </si>
  <si>
    <t>Contamination descriptions</t>
  </si>
  <si>
    <t>Pesticide groundater monitoring data</t>
  </si>
  <si>
    <t>Management plan to prvent groundwater contamination by pesticides</t>
  </si>
  <si>
    <t>Public Water Supplies with Drought Restrictions</t>
  </si>
  <si>
    <t>https://www.tceq.texas.gov/response/drought</t>
  </si>
  <si>
    <t>Drought information</t>
  </si>
  <si>
    <t>Water districts, groundwater conservation districts, management areas, TCEQ regions, monitoring stations, well locations, water supply intakes</t>
  </si>
  <si>
    <t>flowlines, aquifer boundaries</t>
  </si>
  <si>
    <t>Not sure</t>
  </si>
  <si>
    <t>Permits</t>
  </si>
  <si>
    <t>Status of permits</t>
  </si>
  <si>
    <t>Status of stormwater and wastewater permits</t>
  </si>
  <si>
    <t>Location and status of monitoring stations</t>
  </si>
  <si>
    <t>Water Quality parameters</t>
  </si>
  <si>
    <t>Maps of service areas</t>
  </si>
  <si>
    <t>Water Districts Data</t>
  </si>
  <si>
    <t>Station locations, reservoir locations</t>
  </si>
  <si>
    <t>Rainfall Forecasts</t>
  </si>
  <si>
    <t>Evaporation Forecasts</t>
  </si>
  <si>
    <t>Drought Indices; Reservoirs in Flood Stage</t>
  </si>
  <si>
    <t>Groundwater Levels</t>
  </si>
  <si>
    <t>Water quality monitoring</t>
  </si>
  <si>
    <t>Groundwater Levels, aquifer levels, groundwater availability models</t>
  </si>
  <si>
    <t>Groundwater Levels, aquifer levels</t>
  </si>
  <si>
    <t>Natural Features - aquifers, river basins, etc.</t>
  </si>
  <si>
    <t>Administrative Boundaries</t>
  </si>
  <si>
    <t>temperature, wind chill, dew point, humidity, wind</t>
  </si>
  <si>
    <t>soil moisture and temperature</t>
  </si>
  <si>
    <t>streamflow and stage</t>
  </si>
  <si>
    <t>Groundwater level</t>
  </si>
  <si>
    <t>well characteristics</t>
  </si>
  <si>
    <t>water quality</t>
  </si>
  <si>
    <t>State water plans</t>
  </si>
  <si>
    <t>Streamgages</t>
  </si>
  <si>
    <t>Planning areas</t>
  </si>
  <si>
    <t>Flood events; hurrican boundaries; drought monitor; low water crossing areas; flood boundaries</t>
  </si>
  <si>
    <t>Wind</t>
  </si>
  <si>
    <t>Water use data by category, population, projections</t>
  </si>
  <si>
    <t>Water use by planning region, county, river basin, etc. and sector</t>
  </si>
  <si>
    <t>Detailed water use for 2016</t>
  </si>
  <si>
    <t>Location and type of well being drilled</t>
  </si>
  <si>
    <t>Soil moisture</t>
  </si>
  <si>
    <t>Groundwater levels</t>
  </si>
  <si>
    <t>http://www.twdb.texas.gov/surfacewater/conditions/evaporation/index.asp</t>
  </si>
  <si>
    <t>Lake Evaporation Data</t>
  </si>
  <si>
    <t>Contour map, elevation-area-capacity table</t>
  </si>
  <si>
    <t>Real and apparent loss, percent non-revenue water, conservation targets</t>
  </si>
  <si>
    <t>geology information; aquifer characteristics</t>
  </si>
  <si>
    <t>salinity; total dissolved solids</t>
  </si>
  <si>
    <t>Desalination plans for TX</t>
  </si>
  <si>
    <t>Desalination Plant Locations</t>
  </si>
  <si>
    <t>Desalination Plant Information</t>
  </si>
  <si>
    <t>Direct and Indirect Water Reuse Survey</t>
  </si>
  <si>
    <t>Water reuse as a management strategy for small communities</t>
  </si>
  <si>
    <t>Floodplain boundaires; low water crossing locations, High water marks inventory</t>
  </si>
  <si>
    <t>River basins; NHD streams and water bodies; Wetlands Inventory</t>
  </si>
  <si>
    <t>Water Districts, Well Locations; Groundwater Conservation Districts; Edwards Aquifer Regulatory Boundary; Reservoir locations</t>
  </si>
  <si>
    <t>Soil Survey</t>
  </si>
  <si>
    <t>Public Water Supply Boundaries</t>
  </si>
  <si>
    <t>List of flood control dams</t>
  </si>
  <si>
    <t>Reports on water quality improvements</t>
  </si>
  <si>
    <t>Watershed protection plans</t>
  </si>
  <si>
    <t>All kinds of reports: agricultural water conservation, nonpoint source, annual reports, water quality management plan reports</t>
  </si>
  <si>
    <t>All types of reports on groundwater quantity and quality</t>
  </si>
  <si>
    <t>Austin water consumptioni</t>
  </si>
  <si>
    <t>Water Quality data</t>
  </si>
  <si>
    <t>Location of intakes, reservoirs, watershed boundaries, etc</t>
  </si>
  <si>
    <t>Drought data</t>
  </si>
  <si>
    <t>Reservoir levels</t>
  </si>
  <si>
    <t>E.coli measurements</t>
  </si>
  <si>
    <t>rainfall gauges</t>
  </si>
  <si>
    <t>streamflow</t>
  </si>
  <si>
    <t>Drought Status</t>
  </si>
  <si>
    <t>Lake levels</t>
  </si>
  <si>
    <t>Drought contingency plans; Water Conservation plans</t>
  </si>
  <si>
    <t>Water chemistry; nutrients; dissolved metals; organic compounds…</t>
  </si>
  <si>
    <t>Summary of data in basin</t>
  </si>
  <si>
    <t>Rainfall</t>
  </si>
  <si>
    <t>location, elevations, capacity, surface area</t>
  </si>
  <si>
    <t>regions, reservoirs, water and wastwater treatment plants, water delivery pipelins</t>
  </si>
  <si>
    <t>rainfall totals</t>
  </si>
  <si>
    <t>Reservoir elevation</t>
  </si>
  <si>
    <t>Water plans and projections</t>
  </si>
  <si>
    <t>precipitation</t>
  </si>
  <si>
    <t>Stage</t>
  </si>
  <si>
    <t>Spillway and reservoir elevation</t>
  </si>
  <si>
    <t>Air temp, humidity, wind speed, direction</t>
  </si>
  <si>
    <t>Monthly pan evaporation</t>
  </si>
  <si>
    <t>Could not actually get any data to appear</t>
  </si>
  <si>
    <t>watersheds, streams</t>
  </si>
  <si>
    <t>reservoirs, irrigation service areas, water service areas</t>
  </si>
  <si>
    <t>temperature; humidity; wind;</t>
  </si>
  <si>
    <t>water temperature; conductivity</t>
  </si>
  <si>
    <t>drought monitor</t>
  </si>
  <si>
    <t>reservoir levels and forecasts</t>
  </si>
  <si>
    <t>streamflow levels and forecasts</t>
  </si>
  <si>
    <t>reservoir levels</t>
  </si>
  <si>
    <t>rainfall</t>
  </si>
  <si>
    <t>humidity; temperature</t>
  </si>
  <si>
    <t>reservoir descriptions</t>
  </si>
  <si>
    <t>reservoir levels and forecsts</t>
  </si>
  <si>
    <t>annual water use</t>
  </si>
  <si>
    <t>wastewater outfalls and land application permits</t>
  </si>
  <si>
    <t>air temperature</t>
  </si>
  <si>
    <t>days since rain; rain accumulated 3 days prior to sample</t>
  </si>
  <si>
    <t>water quality parameters</t>
  </si>
  <si>
    <t>air temperature, wind direction and speed</t>
  </si>
  <si>
    <t>reservoir levels, volume, percent capacity</t>
  </si>
  <si>
    <t>reservoir and estuary inforlow</t>
  </si>
  <si>
    <t>Lake Texana Usage; M&amp;I Diversions</t>
  </si>
  <si>
    <t>Water quality parameters</t>
  </si>
  <si>
    <t>links to real-time stream flow data</t>
  </si>
  <si>
    <t>floodplain boundaries</t>
  </si>
  <si>
    <t>flood risk maps by stream segments</t>
  </si>
  <si>
    <t>lake levels</t>
  </si>
  <si>
    <t>wind direction and speed, temperature</t>
  </si>
  <si>
    <t>water temperature</t>
  </si>
  <si>
    <t>water pumpage</t>
  </si>
  <si>
    <t>water delivery reports</t>
  </si>
  <si>
    <t>watershed boundaries</t>
  </si>
  <si>
    <t>http://www.ugra.org/public-information/streamflow</t>
  </si>
  <si>
    <t>water temperature and bacteria</t>
  </si>
  <si>
    <t>streamflow and springflow</t>
  </si>
  <si>
    <t>water and sewer utility service areas</t>
  </si>
  <si>
    <t>No idea</t>
  </si>
  <si>
    <t>Water and Sewer Utilities</t>
  </si>
  <si>
    <t>Public Drinking Water Systems Inventory</t>
  </si>
  <si>
    <t>State Water Districts</t>
  </si>
  <si>
    <t>Surface Water Quality Monitoring Reports</t>
  </si>
  <si>
    <t>Water Quality Reports on wastewater permits and monthly self-reporting parameters</t>
  </si>
  <si>
    <t>TX Utilities</t>
  </si>
  <si>
    <t>Has quantity, quality, and use data. Keep as Use for Utility. May rethink later.</t>
  </si>
  <si>
    <t>Might have other regulatory requirements but not sure.</t>
  </si>
  <si>
    <t>I'm not sure if this is regulatory or utility</t>
  </si>
  <si>
    <t>Unknown - cannot access</t>
  </si>
  <si>
    <t>VERY COOL - CAN GET DATA FROM API - CLICK ON ABOUT</t>
  </si>
  <si>
    <t>Has munisipal setting designations boundaries</t>
  </si>
  <si>
    <t>Austin Water Utility put up a ton of data if ever we want to do something in-depth</t>
  </si>
  <si>
    <t>Gave low discoverability score because you have to know the parameters collected to get data and it doesn't tell you.</t>
  </si>
  <si>
    <t>Software Required</t>
  </si>
  <si>
    <t>Link to Source; Individual Export; Web Services</t>
  </si>
  <si>
    <t>entityIDAbove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</si>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</sst>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2"/>
      <color theme="1"/>
      <name val="Calibri"/>
      <family val="2"/>
      <scheme val="minor"/>
    </font>
    <font>
      <b/>
      <sz val="12"/>
      <color theme="1"/>
      <name val="Calibri"/>
      <family val="2"/>
      <scheme val="minor"/>
    </font>
    <font>
      <sz val="10"/>
      <color rgb="FF000000"/>
      <name val="Arial"/>
      <family val="2"/>
    </font>
    <font>
      <u/>
      <sz val="12"/>
      <color theme="10"/>
      <name val="Calibri"/>
      <family val="2"/>
      <scheme val="minor"/>
    </font>
    <font>
      <b/>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
    <border>
      <left/>
      <right/>
      <top/>
      <bottom/>
      <diagonal/>
    </border>
    <border>
      <left/>
      <right/>
      <top/>
      <bottom style="thin">
        <color auto="1"/>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0" fillId="2" borderId="0" xfId="0" applyFill="1"/>
    <xf numFmtId="0" fontId="1" fillId="2" borderId="1" xfId="0" applyFont="1" applyFill="1" applyBorder="1" applyAlignment="1">
      <alignment horizontal="center"/>
    </xf>
    <xf numFmtId="0" fontId="1" fillId="2" borderId="0" xfId="0" applyFont="1" applyFill="1"/>
    <xf numFmtId="0" fontId="0" fillId="3" borderId="0" xfId="0" applyFill="1" applyAlignment="1">
      <alignment horizontal="center"/>
    </xf>
    <xf numFmtId="0" fontId="1" fillId="2" borderId="1" xfId="0" applyFont="1" applyFill="1" applyBorder="1"/>
    <xf numFmtId="0" fontId="3" fillId="2" borderId="0" xfId="1" applyFill="1"/>
    <xf numFmtId="0" fontId="0" fillId="3" borderId="0" xfId="0" applyFill="1"/>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4" fillId="2" borderId="0" xfId="0" applyFont="1" applyFill="1"/>
    <xf numFmtId="0" fontId="2" fillId="2" borderId="0" xfId="0" applyFont="1" applyFill="1"/>
    <xf numFmtId="0" fontId="0" fillId="2" borderId="0" xfId="0" applyFill="1" applyAlignment="1">
      <alignment horizontal="center"/>
    </xf>
  </cellXfs>
  <cellStyles count="2">
    <cellStyle name="Hyperlink"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tceq.texas.gov/permitting/water_rights/wr_technical-resources/wam.html" TargetMode="External"/><Relationship Id="rId3" Type="http://schemas.openxmlformats.org/officeDocument/2006/relationships/hyperlink" Target="https://tpwd.texas.gov/landwater/water/conservation/water_resources/water_quantity/sigsegs/" TargetMode="External"/><Relationship Id="rId7" Type="http://schemas.openxmlformats.org/officeDocument/2006/relationships/hyperlink" Target="https://www.tceq.texas.gov/permitting/water_rights/wr-permitting/wrwud" TargetMode="External"/><Relationship Id="rId2" Type="http://schemas.openxmlformats.org/officeDocument/2006/relationships/hyperlink" Target="https://tpwd.texas.gov/landwater/water/conservation/water_resources/water_quantity/pgma/" TargetMode="External"/><Relationship Id="rId1" Type="http://schemas.openxmlformats.org/officeDocument/2006/relationships/hyperlink" Target="http://www.texasagriculture.gov/Home/ProductionAgriculture/TheWaterSource.aspx" TargetMode="External"/><Relationship Id="rId6" Type="http://schemas.openxmlformats.org/officeDocument/2006/relationships/hyperlink" Target="https://www.tceq.texas.gov/drinkingwater" TargetMode="External"/><Relationship Id="rId5" Type="http://schemas.openxmlformats.org/officeDocument/2006/relationships/hyperlink" Target="https://tpwd.texas.gov/landwater/water/conservation/fwresources/reports.phtml" TargetMode="External"/><Relationship Id="rId10" Type="http://schemas.openxmlformats.org/officeDocument/2006/relationships/hyperlink" Target="https://www.tceq.texas.gov/waterquality/tmdl/nav/tmdlsegments" TargetMode="External"/><Relationship Id="rId4" Type="http://schemas.openxmlformats.org/officeDocument/2006/relationships/hyperlink" Target="https://tpwd.texas.gov/landwater/water/environconcerns/water_quality/wq_research/WQ_Reports.phtml" TargetMode="External"/><Relationship Id="rId9" Type="http://schemas.openxmlformats.org/officeDocument/2006/relationships/hyperlink" Target="https://www.tceq.texas.gov/waterquality/assessment/305_303.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4"/>
  <sheetViews>
    <sheetView tabSelected="1" topLeftCell="A93" zoomScale="80" zoomScaleNormal="80" workbookViewId="0">
      <selection activeCell="E95" sqref="E95"/>
    </sheetView>
  </sheetViews>
  <sheetFormatPr defaultRowHeight="15.6" x14ac:dyDescent="0.3"/>
  <cols>
    <col min="1" max="1" width="8.796875" style="1"/>
    <col min="2" max="2" width="19.19921875" style="1" customWidth="1"/>
    <col min="3" max="3" width="21.296875" style="1" customWidth="1"/>
    <col min="4" max="5" width="8.796875" style="1"/>
    <col min="6" max="6" width="24.69921875" style="1" customWidth="1"/>
    <col min="7" max="7" width="52.69921875" style="1" customWidth="1"/>
    <col min="8" max="16384" width="8.796875" style="1"/>
  </cols>
  <sheetData>
    <row r="1" spans="1:12" x14ac:dyDescent="0.3">
      <c r="A1" s="2" t="s">
        <v>174</v>
      </c>
      <c r="B1" s="2" t="s">
        <v>172</v>
      </c>
      <c r="C1" s="2" t="s">
        <v>173</v>
      </c>
      <c r="D1" s="2" t="s">
        <v>175</v>
      </c>
      <c r="E1" s="2" t="s">
        <v>1093</v>
      </c>
      <c r="F1" s="2" t="s">
        <v>73</v>
      </c>
      <c r="G1" s="2" t="s">
        <v>74</v>
      </c>
      <c r="H1" s="2" t="s">
        <v>75</v>
      </c>
      <c r="I1" s="2" t="s">
        <v>76</v>
      </c>
      <c r="J1" s="2" t="s">
        <v>77</v>
      </c>
      <c r="K1" s="2" t="s">
        <v>78</v>
      </c>
      <c r="L1" s="2" t="s">
        <v>79</v>
      </c>
    </row>
    <row r="2" spans="1:12" x14ac:dyDescent="0.3">
      <c r="A2" s="1" t="s">
        <v>80</v>
      </c>
      <c r="B2" s="1" t="s">
        <v>17</v>
      </c>
      <c r="C2" s="1" t="s">
        <v>17</v>
      </c>
      <c r="D2" s="1">
        <v>1</v>
      </c>
      <c r="E2" s="1" t="s">
        <v>1094</v>
      </c>
      <c r="G2" s="1" t="s">
        <v>72</v>
      </c>
      <c r="H2" s="1" t="s">
        <v>5</v>
      </c>
      <c r="I2" s="1" t="s">
        <v>5</v>
      </c>
      <c r="J2" s="1" t="s">
        <v>5</v>
      </c>
      <c r="K2" s="1" t="s">
        <v>5</v>
      </c>
      <c r="L2" s="1">
        <v>1</v>
      </c>
    </row>
    <row r="3" spans="1:12" x14ac:dyDescent="0.3">
      <c r="A3" s="1" t="s">
        <v>81</v>
      </c>
      <c r="B3" s="1" t="s">
        <v>18</v>
      </c>
      <c r="C3" s="1" t="s">
        <v>18</v>
      </c>
      <c r="D3" s="1">
        <v>2</v>
      </c>
      <c r="E3" s="1" t="s">
        <v>80</v>
      </c>
      <c r="F3" s="1" t="s">
        <v>62</v>
      </c>
      <c r="G3" s="1" t="s">
        <v>61</v>
      </c>
      <c r="H3" s="1" t="s">
        <v>5</v>
      </c>
      <c r="I3" s="1" t="s">
        <v>5</v>
      </c>
      <c r="J3" s="1" t="s">
        <v>12</v>
      </c>
      <c r="K3" s="1" t="s">
        <v>12</v>
      </c>
      <c r="L3" s="1">
        <v>2</v>
      </c>
    </row>
    <row r="4" spans="1:12" x14ac:dyDescent="0.3">
      <c r="A4" s="1" t="s">
        <v>82</v>
      </c>
      <c r="B4" s="1" t="s">
        <v>22</v>
      </c>
      <c r="C4" s="1" t="s">
        <v>22</v>
      </c>
      <c r="D4" s="1">
        <v>3</v>
      </c>
      <c r="E4" s="1" t="s">
        <v>80</v>
      </c>
      <c r="F4" s="1" t="s">
        <v>63</v>
      </c>
      <c r="G4" s="1" t="s">
        <v>66</v>
      </c>
      <c r="H4" s="1" t="s">
        <v>12</v>
      </c>
      <c r="I4" s="1" t="s">
        <v>5</v>
      </c>
      <c r="J4" s="1" t="s">
        <v>5</v>
      </c>
      <c r="K4" s="1" t="s">
        <v>5</v>
      </c>
      <c r="L4" s="1">
        <v>2</v>
      </c>
    </row>
    <row r="5" spans="1:12" x14ac:dyDescent="0.3">
      <c r="A5" s="1" t="s">
        <v>83</v>
      </c>
      <c r="B5" s="1" t="s">
        <v>33</v>
      </c>
      <c r="C5" s="1" t="s">
        <v>22</v>
      </c>
      <c r="D5" s="1">
        <v>3</v>
      </c>
      <c r="E5" s="1" t="s">
        <v>82</v>
      </c>
      <c r="F5" s="1" t="s">
        <v>65</v>
      </c>
      <c r="G5" s="1" t="s">
        <v>64</v>
      </c>
      <c r="H5" s="1" t="s">
        <v>12</v>
      </c>
      <c r="I5" s="1" t="s">
        <v>5</v>
      </c>
      <c r="J5" s="1" t="s">
        <v>5</v>
      </c>
      <c r="K5" s="1" t="s">
        <v>5</v>
      </c>
      <c r="L5" s="1">
        <v>3</v>
      </c>
    </row>
    <row r="6" spans="1:12" x14ac:dyDescent="0.3">
      <c r="A6" s="1" t="s">
        <v>84</v>
      </c>
      <c r="B6" s="1" t="s">
        <v>1</v>
      </c>
      <c r="C6" s="1" t="s">
        <v>22</v>
      </c>
      <c r="D6" s="1">
        <v>3</v>
      </c>
      <c r="E6" s="1" t="s">
        <v>83</v>
      </c>
      <c r="F6" s="1" t="s">
        <v>68</v>
      </c>
      <c r="G6" s="1" t="s">
        <v>67</v>
      </c>
      <c r="H6" s="1" t="s">
        <v>12</v>
      </c>
      <c r="I6" s="1" t="s">
        <v>5</v>
      </c>
      <c r="J6" s="1" t="s">
        <v>5</v>
      </c>
      <c r="K6" s="1" t="s">
        <v>5</v>
      </c>
      <c r="L6" s="1">
        <v>4</v>
      </c>
    </row>
    <row r="7" spans="1:12" x14ac:dyDescent="0.3">
      <c r="A7" s="1" t="s">
        <v>85</v>
      </c>
      <c r="B7" s="1" t="s">
        <v>23</v>
      </c>
      <c r="C7" s="1" t="s">
        <v>22</v>
      </c>
      <c r="D7" s="1">
        <v>3</v>
      </c>
      <c r="E7" s="1" t="s">
        <v>84</v>
      </c>
      <c r="F7" s="1" t="s">
        <v>86</v>
      </c>
      <c r="G7" s="1" t="s">
        <v>69</v>
      </c>
      <c r="H7" s="1" t="s">
        <v>12</v>
      </c>
      <c r="I7" s="1" t="s">
        <v>5</v>
      </c>
      <c r="J7" s="1" t="s">
        <v>5</v>
      </c>
      <c r="K7" s="1" t="s">
        <v>5</v>
      </c>
      <c r="L7" s="1">
        <v>5</v>
      </c>
    </row>
    <row r="8" spans="1:12" x14ac:dyDescent="0.3">
      <c r="A8" s="1" t="s">
        <v>87</v>
      </c>
      <c r="B8" s="1" t="s">
        <v>4</v>
      </c>
      <c r="C8" s="1" t="s">
        <v>22</v>
      </c>
      <c r="D8" s="1">
        <v>3</v>
      </c>
      <c r="E8" s="1" t="s">
        <v>84</v>
      </c>
      <c r="F8" s="1" t="s">
        <v>71</v>
      </c>
      <c r="G8" s="1" t="s">
        <v>70</v>
      </c>
      <c r="H8" s="1" t="s">
        <v>12</v>
      </c>
      <c r="I8" s="1" t="s">
        <v>5</v>
      </c>
      <c r="J8" s="1" t="s">
        <v>5</v>
      </c>
      <c r="K8" s="1" t="s">
        <v>12</v>
      </c>
      <c r="L8" s="1">
        <v>5</v>
      </c>
    </row>
    <row r="9" spans="1:12" x14ac:dyDescent="0.3">
      <c r="A9" s="1" t="s">
        <v>88</v>
      </c>
      <c r="B9" s="1" t="s">
        <v>30</v>
      </c>
      <c r="C9" s="1" t="s">
        <v>22</v>
      </c>
      <c r="D9" s="1">
        <v>3</v>
      </c>
      <c r="E9" s="1" t="s">
        <v>84</v>
      </c>
      <c r="F9" s="11" t="s">
        <v>96</v>
      </c>
      <c r="G9" s="1" t="s">
        <v>95</v>
      </c>
      <c r="H9" s="1" t="s">
        <v>12</v>
      </c>
      <c r="I9" s="1" t="s">
        <v>5</v>
      </c>
      <c r="J9" s="1" t="s">
        <v>12</v>
      </c>
      <c r="K9" s="1" t="s">
        <v>5</v>
      </c>
      <c r="L9" s="1">
        <v>5</v>
      </c>
    </row>
    <row r="10" spans="1:12" x14ac:dyDescent="0.3">
      <c r="A10" s="1" t="s">
        <v>89</v>
      </c>
      <c r="B10" s="1" t="s">
        <v>34</v>
      </c>
      <c r="C10" s="1" t="s">
        <v>34</v>
      </c>
      <c r="D10" s="1">
        <v>4</v>
      </c>
      <c r="E10" s="1" t="s">
        <v>80</v>
      </c>
      <c r="F10" s="1" t="s">
        <v>90</v>
      </c>
      <c r="G10" s="1" t="s">
        <v>41</v>
      </c>
      <c r="H10" s="1" t="s">
        <v>5</v>
      </c>
      <c r="I10" s="1" t="s">
        <v>5</v>
      </c>
      <c r="J10" s="1" t="s">
        <v>5</v>
      </c>
      <c r="K10" s="1" t="s">
        <v>5</v>
      </c>
      <c r="L10" s="1">
        <v>2</v>
      </c>
    </row>
    <row r="11" spans="1:12" x14ac:dyDescent="0.3">
      <c r="A11" s="1" t="s">
        <v>91</v>
      </c>
      <c r="B11" s="1" t="s">
        <v>35</v>
      </c>
      <c r="C11" s="1" t="s">
        <v>34</v>
      </c>
      <c r="D11" s="1">
        <v>4</v>
      </c>
      <c r="E11" s="1" t="s">
        <v>89</v>
      </c>
      <c r="F11" s="1" t="s">
        <v>37</v>
      </c>
      <c r="G11" s="1" t="s">
        <v>36</v>
      </c>
      <c r="H11" s="1" t="s">
        <v>5</v>
      </c>
      <c r="I11" s="1" t="s">
        <v>5</v>
      </c>
      <c r="J11" s="1" t="s">
        <v>5</v>
      </c>
      <c r="K11" s="1" t="s">
        <v>5</v>
      </c>
      <c r="L11" s="1">
        <v>3</v>
      </c>
    </row>
    <row r="12" spans="1:12" x14ac:dyDescent="0.3">
      <c r="A12" s="1" t="s">
        <v>92</v>
      </c>
      <c r="B12" s="1" t="s">
        <v>38</v>
      </c>
      <c r="C12" s="1" t="s">
        <v>34</v>
      </c>
      <c r="D12" s="1">
        <v>4</v>
      </c>
      <c r="E12" s="1" t="s">
        <v>91</v>
      </c>
      <c r="F12" s="1" t="s">
        <v>60</v>
      </c>
      <c r="G12" s="1" t="s">
        <v>59</v>
      </c>
      <c r="H12" s="1" t="s">
        <v>12</v>
      </c>
      <c r="I12" s="1" t="s">
        <v>5</v>
      </c>
      <c r="J12" s="1" t="s">
        <v>5</v>
      </c>
      <c r="K12" s="1" t="s">
        <v>12</v>
      </c>
      <c r="L12" s="1">
        <v>4</v>
      </c>
    </row>
    <row r="13" spans="1:12" x14ac:dyDescent="0.3">
      <c r="A13" s="1" t="s">
        <v>93</v>
      </c>
      <c r="B13" s="1" t="s">
        <v>4</v>
      </c>
      <c r="C13" s="1" t="s">
        <v>34</v>
      </c>
      <c r="D13" s="1">
        <v>4</v>
      </c>
      <c r="E13" s="1" t="s">
        <v>91</v>
      </c>
      <c r="F13" s="1" t="s">
        <v>397</v>
      </c>
      <c r="G13" s="1" t="s">
        <v>398</v>
      </c>
      <c r="H13" s="1" t="s">
        <v>12</v>
      </c>
      <c r="I13" s="1" t="s">
        <v>5</v>
      </c>
      <c r="J13" s="1" t="s">
        <v>12</v>
      </c>
      <c r="K13" s="1" t="s">
        <v>12</v>
      </c>
      <c r="L13" s="1">
        <v>4</v>
      </c>
    </row>
    <row r="14" spans="1:12" x14ac:dyDescent="0.3">
      <c r="A14" s="1" t="s">
        <v>94</v>
      </c>
      <c r="B14" s="1" t="s">
        <v>39</v>
      </c>
      <c r="C14" s="1" t="s">
        <v>34</v>
      </c>
      <c r="D14" s="1">
        <v>4</v>
      </c>
      <c r="E14" s="1" t="s">
        <v>91</v>
      </c>
      <c r="F14" s="1" t="s">
        <v>399</v>
      </c>
      <c r="G14" s="1" t="s">
        <v>400</v>
      </c>
      <c r="H14" s="1" t="s">
        <v>12</v>
      </c>
      <c r="I14" s="1" t="s">
        <v>5</v>
      </c>
      <c r="J14" s="1" t="s">
        <v>5</v>
      </c>
      <c r="K14" s="1" t="s">
        <v>12</v>
      </c>
      <c r="L14" s="1">
        <v>4</v>
      </c>
    </row>
    <row r="15" spans="1:12" x14ac:dyDescent="0.3">
      <c r="A15" s="1" t="s">
        <v>194</v>
      </c>
      <c r="B15" s="1" t="s">
        <v>57</v>
      </c>
      <c r="C15" s="1" t="s">
        <v>34</v>
      </c>
      <c r="D15" s="1">
        <v>4</v>
      </c>
      <c r="E15" s="1" t="s">
        <v>94</v>
      </c>
      <c r="F15" s="1" t="s">
        <v>401</v>
      </c>
      <c r="G15" s="1" t="s">
        <v>402</v>
      </c>
      <c r="H15" s="1" t="s">
        <v>12</v>
      </c>
      <c r="I15" s="1" t="s">
        <v>5</v>
      </c>
      <c r="J15" s="1" t="s">
        <v>5</v>
      </c>
      <c r="K15" s="1" t="s">
        <v>12</v>
      </c>
      <c r="L15" s="1">
        <v>5</v>
      </c>
    </row>
    <row r="16" spans="1:12" x14ac:dyDescent="0.3">
      <c r="A16" s="1" t="s">
        <v>195</v>
      </c>
      <c r="B16" s="1" t="s">
        <v>58</v>
      </c>
      <c r="C16" s="1" t="s">
        <v>34</v>
      </c>
      <c r="D16" s="1">
        <v>4</v>
      </c>
      <c r="E16" s="1" t="s">
        <v>94</v>
      </c>
      <c r="F16" s="1" t="s">
        <v>403</v>
      </c>
      <c r="G16" s="1" t="s">
        <v>404</v>
      </c>
      <c r="H16" s="1" t="s">
        <v>12</v>
      </c>
      <c r="I16" s="1" t="s">
        <v>5</v>
      </c>
      <c r="J16" s="1" t="s">
        <v>12</v>
      </c>
      <c r="K16" s="1" t="s">
        <v>12</v>
      </c>
      <c r="L16" s="1">
        <v>5</v>
      </c>
    </row>
    <row r="17" spans="1:12" x14ac:dyDescent="0.3">
      <c r="A17" s="1" t="s">
        <v>207</v>
      </c>
      <c r="B17" s="1" t="s">
        <v>208</v>
      </c>
      <c r="C17" s="1" t="s">
        <v>34</v>
      </c>
      <c r="D17" s="1">
        <v>4</v>
      </c>
      <c r="E17" s="1" t="s">
        <v>94</v>
      </c>
      <c r="F17" s="1" t="s">
        <v>405</v>
      </c>
      <c r="G17" s="1" t="s">
        <v>406</v>
      </c>
      <c r="H17" s="1" t="s">
        <v>12</v>
      </c>
      <c r="I17" s="1" t="s">
        <v>5</v>
      </c>
      <c r="J17" s="1" t="s">
        <v>12</v>
      </c>
      <c r="K17" s="1" t="s">
        <v>12</v>
      </c>
      <c r="L17" s="1">
        <v>5</v>
      </c>
    </row>
    <row r="18" spans="1:12" x14ac:dyDescent="0.3">
      <c r="A18" s="1" t="s">
        <v>209</v>
      </c>
      <c r="B18" s="1" t="s">
        <v>210</v>
      </c>
      <c r="C18" s="1" t="s">
        <v>34</v>
      </c>
      <c r="D18" s="1">
        <v>4</v>
      </c>
      <c r="E18" s="1" t="s">
        <v>94</v>
      </c>
      <c r="F18" s="1" t="s">
        <v>407</v>
      </c>
      <c r="G18" s="1" t="s">
        <v>408</v>
      </c>
      <c r="H18" s="1" t="s">
        <v>12</v>
      </c>
      <c r="I18" s="1" t="s">
        <v>5</v>
      </c>
      <c r="J18" s="1" t="s">
        <v>12</v>
      </c>
      <c r="K18" s="1" t="s">
        <v>12</v>
      </c>
      <c r="L18" s="1">
        <v>5</v>
      </c>
    </row>
    <row r="19" spans="1:12" x14ac:dyDescent="0.3">
      <c r="A19" s="1" t="s">
        <v>211</v>
      </c>
      <c r="B19" s="1" t="s">
        <v>212</v>
      </c>
      <c r="C19" s="1" t="s">
        <v>34</v>
      </c>
      <c r="D19" s="1">
        <v>4</v>
      </c>
      <c r="E19" s="1" t="s">
        <v>94</v>
      </c>
      <c r="F19" s="1" t="s">
        <v>409</v>
      </c>
      <c r="G19" s="1" t="s">
        <v>410</v>
      </c>
      <c r="H19" s="1" t="s">
        <v>12</v>
      </c>
      <c r="I19" s="1" t="s">
        <v>5</v>
      </c>
      <c r="J19" s="1" t="s">
        <v>12</v>
      </c>
      <c r="K19" s="1" t="s">
        <v>12</v>
      </c>
      <c r="L19" s="1">
        <v>5</v>
      </c>
    </row>
    <row r="20" spans="1:12" x14ac:dyDescent="0.3">
      <c r="A20" s="1" t="s">
        <v>196</v>
      </c>
      <c r="B20" s="1" t="s">
        <v>40</v>
      </c>
      <c r="C20" s="1" t="s">
        <v>34</v>
      </c>
      <c r="D20" s="1">
        <v>4</v>
      </c>
      <c r="E20" s="1" t="s">
        <v>91</v>
      </c>
      <c r="F20" s="1" t="s">
        <v>411</v>
      </c>
      <c r="G20" s="1" t="s">
        <v>412</v>
      </c>
      <c r="H20" s="1" t="s">
        <v>5</v>
      </c>
      <c r="I20" s="1" t="s">
        <v>12</v>
      </c>
      <c r="J20" s="1" t="s">
        <v>12</v>
      </c>
      <c r="K20" s="1" t="s">
        <v>12</v>
      </c>
      <c r="L20" s="1">
        <v>4</v>
      </c>
    </row>
    <row r="21" spans="1:12" x14ac:dyDescent="0.3">
      <c r="A21" s="1" t="s">
        <v>213</v>
      </c>
      <c r="B21" s="1" t="s">
        <v>638</v>
      </c>
      <c r="C21" s="1" t="s">
        <v>214</v>
      </c>
      <c r="D21" s="1">
        <v>5</v>
      </c>
      <c r="E21" s="1" t="s">
        <v>80</v>
      </c>
      <c r="F21" s="1" t="s">
        <v>413</v>
      </c>
      <c r="G21" s="1" t="s">
        <v>414</v>
      </c>
      <c r="H21" s="1" t="s">
        <v>5</v>
      </c>
      <c r="I21" s="1" t="s">
        <v>5</v>
      </c>
      <c r="J21" s="1" t="s">
        <v>5</v>
      </c>
      <c r="K21" s="1" t="s">
        <v>12</v>
      </c>
      <c r="L21" s="1">
        <v>2</v>
      </c>
    </row>
    <row r="22" spans="1:12" x14ac:dyDescent="0.3">
      <c r="A22" s="1" t="s">
        <v>215</v>
      </c>
      <c r="B22" s="1" t="s">
        <v>216</v>
      </c>
      <c r="C22" s="1" t="s">
        <v>214</v>
      </c>
      <c r="D22" s="1">
        <v>5</v>
      </c>
      <c r="E22" s="1" t="s">
        <v>213</v>
      </c>
      <c r="F22" s="1" t="s">
        <v>415</v>
      </c>
      <c r="G22" s="1" t="s">
        <v>416</v>
      </c>
      <c r="H22" s="1" t="s">
        <v>5</v>
      </c>
      <c r="I22" s="1" t="s">
        <v>12</v>
      </c>
      <c r="J22" s="1" t="s">
        <v>12</v>
      </c>
      <c r="K22" s="1" t="s">
        <v>12</v>
      </c>
      <c r="L22" s="1">
        <v>5</v>
      </c>
    </row>
    <row r="23" spans="1:12" x14ac:dyDescent="0.3">
      <c r="A23" s="1" t="s">
        <v>217</v>
      </c>
      <c r="B23" s="1" t="s">
        <v>218</v>
      </c>
      <c r="C23" s="1" t="s">
        <v>214</v>
      </c>
      <c r="D23" s="1">
        <v>5</v>
      </c>
      <c r="E23" s="1" t="s">
        <v>213</v>
      </c>
      <c r="F23" s="1" t="s">
        <v>417</v>
      </c>
      <c r="G23" s="1" t="s">
        <v>418</v>
      </c>
      <c r="H23" s="1" t="s">
        <v>12</v>
      </c>
      <c r="I23" s="1" t="s">
        <v>12</v>
      </c>
      <c r="J23" s="1" t="s">
        <v>5</v>
      </c>
      <c r="K23" s="1" t="s">
        <v>12</v>
      </c>
      <c r="L23" s="1">
        <v>5</v>
      </c>
    </row>
    <row r="24" spans="1:12" x14ac:dyDescent="0.3">
      <c r="A24" s="1" t="s">
        <v>220</v>
      </c>
      <c r="B24" s="1" t="s">
        <v>219</v>
      </c>
      <c r="C24" s="1" t="s">
        <v>214</v>
      </c>
      <c r="D24" s="1">
        <v>5</v>
      </c>
      <c r="E24" s="1" t="s">
        <v>213</v>
      </c>
      <c r="F24" s="1" t="s">
        <v>419</v>
      </c>
      <c r="G24" s="1" t="s">
        <v>420</v>
      </c>
      <c r="H24" s="1" t="s">
        <v>12</v>
      </c>
      <c r="I24" s="1" t="s">
        <v>5</v>
      </c>
      <c r="J24" s="1" t="s">
        <v>12</v>
      </c>
      <c r="K24" s="1" t="s">
        <v>12</v>
      </c>
      <c r="L24" s="1">
        <v>5</v>
      </c>
    </row>
    <row r="25" spans="1:12" x14ac:dyDescent="0.3">
      <c r="A25" s="1" t="s">
        <v>222</v>
      </c>
      <c r="B25" s="1" t="s">
        <v>221</v>
      </c>
      <c r="C25" s="1" t="s">
        <v>221</v>
      </c>
      <c r="D25" s="1">
        <v>6</v>
      </c>
      <c r="E25" s="1" t="s">
        <v>80</v>
      </c>
      <c r="F25" s="1" t="s">
        <v>421</v>
      </c>
      <c r="G25" s="1" t="s">
        <v>422</v>
      </c>
      <c r="H25" s="1" t="s">
        <v>5</v>
      </c>
      <c r="I25" s="1" t="s">
        <v>5</v>
      </c>
      <c r="J25" s="1" t="s">
        <v>5</v>
      </c>
      <c r="K25" s="1" t="s">
        <v>5</v>
      </c>
      <c r="L25" s="1">
        <v>2</v>
      </c>
    </row>
    <row r="26" spans="1:12" x14ac:dyDescent="0.3">
      <c r="A26" s="1" t="s">
        <v>224</v>
      </c>
      <c r="B26" s="1" t="s">
        <v>223</v>
      </c>
      <c r="C26" s="1" t="s">
        <v>221</v>
      </c>
      <c r="D26" s="1">
        <v>6</v>
      </c>
      <c r="E26" s="1" t="s">
        <v>222</v>
      </c>
      <c r="H26" s="1" t="s">
        <v>5</v>
      </c>
      <c r="I26" s="1" t="s">
        <v>5</v>
      </c>
      <c r="J26" s="1" t="s">
        <v>5</v>
      </c>
      <c r="K26" s="1" t="s">
        <v>12</v>
      </c>
      <c r="L26" s="1">
        <v>3</v>
      </c>
    </row>
    <row r="27" spans="1:12" x14ac:dyDescent="0.3">
      <c r="A27" s="1" t="s">
        <v>226</v>
      </c>
      <c r="B27" s="1" t="s">
        <v>225</v>
      </c>
      <c r="C27" s="1" t="s">
        <v>221</v>
      </c>
      <c r="D27" s="1">
        <v>6</v>
      </c>
      <c r="E27" s="1" t="s">
        <v>224</v>
      </c>
      <c r="F27" s="1" t="s">
        <v>423</v>
      </c>
      <c r="G27" s="1" t="s">
        <v>424</v>
      </c>
      <c r="H27" s="1" t="s">
        <v>12</v>
      </c>
      <c r="I27" s="1" t="s">
        <v>5</v>
      </c>
      <c r="J27" s="1" t="s">
        <v>5</v>
      </c>
      <c r="K27" s="1" t="s">
        <v>12</v>
      </c>
      <c r="L27" s="1">
        <v>4</v>
      </c>
    </row>
    <row r="28" spans="1:12" x14ac:dyDescent="0.3">
      <c r="A28" s="1" t="s">
        <v>228</v>
      </c>
      <c r="B28" s="1" t="s">
        <v>227</v>
      </c>
      <c r="C28" s="1" t="s">
        <v>221</v>
      </c>
      <c r="D28" s="1">
        <v>6</v>
      </c>
      <c r="E28" s="1" t="s">
        <v>226</v>
      </c>
      <c r="F28" s="1" t="s">
        <v>425</v>
      </c>
      <c r="G28" s="1" t="s">
        <v>426</v>
      </c>
      <c r="H28" s="1" t="s">
        <v>12</v>
      </c>
      <c r="I28" s="1" t="s">
        <v>5</v>
      </c>
      <c r="J28" s="1" t="s">
        <v>5</v>
      </c>
      <c r="K28" s="1" t="s">
        <v>12</v>
      </c>
      <c r="L28" s="1">
        <v>5</v>
      </c>
    </row>
    <row r="29" spans="1:12" x14ac:dyDescent="0.3">
      <c r="A29" s="1" t="s">
        <v>230</v>
      </c>
      <c r="B29" s="1" t="s">
        <v>229</v>
      </c>
      <c r="C29" s="1" t="s">
        <v>221</v>
      </c>
      <c r="D29" s="1">
        <v>6</v>
      </c>
      <c r="E29" s="1" t="s">
        <v>226</v>
      </c>
      <c r="F29" s="1" t="s">
        <v>427</v>
      </c>
      <c r="G29" s="1" t="s">
        <v>428</v>
      </c>
      <c r="H29" s="1" t="s">
        <v>12</v>
      </c>
      <c r="I29" s="1" t="s">
        <v>5</v>
      </c>
      <c r="J29" s="1" t="s">
        <v>12</v>
      </c>
      <c r="K29" s="1" t="s">
        <v>12</v>
      </c>
      <c r="L29" s="1">
        <v>5</v>
      </c>
    </row>
    <row r="30" spans="1:12" x14ac:dyDescent="0.3">
      <c r="A30" s="1" t="s">
        <v>232</v>
      </c>
      <c r="B30" s="1" t="s">
        <v>231</v>
      </c>
      <c r="C30" s="1" t="s">
        <v>221</v>
      </c>
      <c r="D30" s="1">
        <v>6</v>
      </c>
      <c r="E30" s="1" t="s">
        <v>222</v>
      </c>
      <c r="F30" s="1" t="s">
        <v>429</v>
      </c>
      <c r="G30" s="1" t="s">
        <v>430</v>
      </c>
      <c r="H30" s="1" t="s">
        <v>12</v>
      </c>
      <c r="I30" s="1" t="s">
        <v>5</v>
      </c>
      <c r="J30" s="1" t="s">
        <v>5</v>
      </c>
      <c r="K30" s="1" t="s">
        <v>5</v>
      </c>
      <c r="L30" s="1">
        <v>3</v>
      </c>
    </row>
    <row r="31" spans="1:12" x14ac:dyDescent="0.3">
      <c r="A31" s="1" t="s">
        <v>234</v>
      </c>
      <c r="B31" s="1" t="s">
        <v>233</v>
      </c>
      <c r="C31" s="1" t="s">
        <v>221</v>
      </c>
      <c r="D31" s="1">
        <v>6</v>
      </c>
      <c r="E31" s="1" t="s">
        <v>232</v>
      </c>
      <c r="H31" s="1" t="s">
        <v>12</v>
      </c>
      <c r="I31" s="1" t="s">
        <v>5</v>
      </c>
      <c r="J31" s="1" t="s">
        <v>5</v>
      </c>
      <c r="K31" s="1" t="s">
        <v>5</v>
      </c>
      <c r="L31" s="1">
        <v>4</v>
      </c>
    </row>
    <row r="32" spans="1:12" x14ac:dyDescent="0.3">
      <c r="A32" s="1" t="s">
        <v>236</v>
      </c>
      <c r="B32" s="1" t="s">
        <v>235</v>
      </c>
      <c r="C32" s="1" t="s">
        <v>221</v>
      </c>
      <c r="D32" s="1">
        <v>6</v>
      </c>
      <c r="E32" s="1" t="s">
        <v>234</v>
      </c>
      <c r="F32" s="1" t="s">
        <v>431</v>
      </c>
      <c r="G32" s="1" t="s">
        <v>432</v>
      </c>
      <c r="H32" s="1" t="s">
        <v>12</v>
      </c>
      <c r="I32" s="1" t="s">
        <v>12</v>
      </c>
      <c r="J32" s="1" t="s">
        <v>5</v>
      </c>
      <c r="K32" s="1" t="s">
        <v>12</v>
      </c>
      <c r="L32" s="1">
        <v>5</v>
      </c>
    </row>
    <row r="33" spans="1:12" x14ac:dyDescent="0.3">
      <c r="A33" s="1" t="s">
        <v>238</v>
      </c>
      <c r="B33" s="1" t="s">
        <v>237</v>
      </c>
      <c r="C33" s="1" t="s">
        <v>221</v>
      </c>
      <c r="D33" s="1">
        <v>6</v>
      </c>
      <c r="E33" s="1" t="s">
        <v>234</v>
      </c>
      <c r="F33" s="1" t="s">
        <v>433</v>
      </c>
      <c r="G33" s="1" t="s">
        <v>434</v>
      </c>
      <c r="H33" s="1" t="s">
        <v>12</v>
      </c>
      <c r="I33" s="1" t="s">
        <v>12</v>
      </c>
      <c r="J33" s="1" t="s">
        <v>12</v>
      </c>
      <c r="K33" s="1" t="s">
        <v>5</v>
      </c>
      <c r="L33" s="1">
        <v>5</v>
      </c>
    </row>
    <row r="34" spans="1:12" x14ac:dyDescent="0.3">
      <c r="A34" s="1" t="s">
        <v>239</v>
      </c>
      <c r="B34" s="1" t="s">
        <v>55</v>
      </c>
      <c r="C34" s="1" t="s">
        <v>221</v>
      </c>
      <c r="D34" s="1">
        <v>6</v>
      </c>
      <c r="E34" s="1" t="s">
        <v>232</v>
      </c>
      <c r="F34" s="1" t="s">
        <v>435</v>
      </c>
      <c r="G34" s="1" t="s">
        <v>436</v>
      </c>
      <c r="H34" s="1" t="s">
        <v>12</v>
      </c>
      <c r="I34" s="1" t="s">
        <v>5</v>
      </c>
      <c r="J34" s="1" t="s">
        <v>12</v>
      </c>
      <c r="K34" s="1" t="s">
        <v>5</v>
      </c>
      <c r="L34" s="1">
        <v>4</v>
      </c>
    </row>
    <row r="35" spans="1:12" x14ac:dyDescent="0.3">
      <c r="A35" s="1" t="s">
        <v>241</v>
      </c>
      <c r="B35" s="1" t="s">
        <v>240</v>
      </c>
      <c r="C35" s="1" t="s">
        <v>221</v>
      </c>
      <c r="D35" s="1">
        <v>6</v>
      </c>
      <c r="E35" s="1" t="s">
        <v>239</v>
      </c>
      <c r="F35" s="1" t="s">
        <v>437</v>
      </c>
      <c r="G35" s="1" t="s">
        <v>438</v>
      </c>
      <c r="H35" s="1" t="s">
        <v>12</v>
      </c>
      <c r="I35" s="1" t="s">
        <v>5</v>
      </c>
      <c r="J35" s="1" t="s">
        <v>12</v>
      </c>
      <c r="K35" s="1" t="s">
        <v>12</v>
      </c>
      <c r="L35" s="1">
        <v>5</v>
      </c>
    </row>
    <row r="36" spans="1:12" x14ac:dyDescent="0.3">
      <c r="A36" s="1" t="s">
        <v>243</v>
      </c>
      <c r="B36" s="1" t="s">
        <v>242</v>
      </c>
      <c r="C36" s="1" t="s">
        <v>221</v>
      </c>
      <c r="D36" s="1">
        <v>6</v>
      </c>
      <c r="E36" s="1" t="s">
        <v>239</v>
      </c>
      <c r="F36" s="1" t="s">
        <v>439</v>
      </c>
      <c r="G36" s="1" t="s">
        <v>440</v>
      </c>
      <c r="H36" s="1" t="s">
        <v>12</v>
      </c>
      <c r="I36" s="1" t="s">
        <v>5</v>
      </c>
      <c r="J36" s="1" t="s">
        <v>12</v>
      </c>
      <c r="K36" s="1" t="s">
        <v>12</v>
      </c>
      <c r="L36" s="1">
        <v>5</v>
      </c>
    </row>
    <row r="37" spans="1:12" x14ac:dyDescent="0.3">
      <c r="A37" s="1" t="s">
        <v>244</v>
      </c>
      <c r="B37" s="1" t="s">
        <v>3</v>
      </c>
      <c r="C37" s="1" t="s">
        <v>221</v>
      </c>
      <c r="D37" s="1">
        <v>6</v>
      </c>
      <c r="E37" s="1" t="s">
        <v>232</v>
      </c>
      <c r="F37" s="1" t="s">
        <v>441</v>
      </c>
      <c r="G37" s="1" t="s">
        <v>442</v>
      </c>
      <c r="H37" s="1" t="s">
        <v>12</v>
      </c>
      <c r="I37" s="1" t="s">
        <v>5</v>
      </c>
      <c r="J37" s="1" t="s">
        <v>12</v>
      </c>
      <c r="K37" s="1" t="s">
        <v>12</v>
      </c>
      <c r="L37" s="1">
        <v>4</v>
      </c>
    </row>
    <row r="38" spans="1:12" x14ac:dyDescent="0.3">
      <c r="A38" s="1" t="s">
        <v>246</v>
      </c>
      <c r="B38" s="1" t="s">
        <v>245</v>
      </c>
      <c r="C38" s="1" t="s">
        <v>221</v>
      </c>
      <c r="D38" s="1">
        <v>6</v>
      </c>
      <c r="E38" s="1" t="s">
        <v>244</v>
      </c>
      <c r="F38" s="1" t="s">
        <v>443</v>
      </c>
      <c r="G38" s="1" t="s">
        <v>444</v>
      </c>
      <c r="H38" s="1" t="s">
        <v>12</v>
      </c>
      <c r="I38" s="1" t="s">
        <v>5</v>
      </c>
      <c r="J38" s="1" t="s">
        <v>12</v>
      </c>
      <c r="K38" s="1" t="s">
        <v>12</v>
      </c>
      <c r="L38" s="1">
        <v>5</v>
      </c>
    </row>
    <row r="39" spans="1:12" x14ac:dyDescent="0.3">
      <c r="A39" s="1" t="s">
        <v>248</v>
      </c>
      <c r="B39" s="1" t="s">
        <v>247</v>
      </c>
      <c r="C39" s="1" t="s">
        <v>221</v>
      </c>
      <c r="D39" s="1">
        <v>6</v>
      </c>
      <c r="E39" s="1" t="s">
        <v>222</v>
      </c>
      <c r="F39" s="1" t="s">
        <v>445</v>
      </c>
      <c r="G39" s="1" t="s">
        <v>446</v>
      </c>
      <c r="H39" s="1" t="s">
        <v>12</v>
      </c>
      <c r="I39" s="1" t="s">
        <v>5</v>
      </c>
      <c r="J39" s="1" t="s">
        <v>12</v>
      </c>
      <c r="K39" s="1" t="s">
        <v>12</v>
      </c>
      <c r="L39" s="1">
        <v>3</v>
      </c>
    </row>
    <row r="40" spans="1:12" x14ac:dyDescent="0.3">
      <c r="A40" s="1" t="s">
        <v>250</v>
      </c>
      <c r="B40" s="1" t="s">
        <v>249</v>
      </c>
      <c r="C40" s="1" t="s">
        <v>221</v>
      </c>
      <c r="D40" s="1">
        <v>6</v>
      </c>
      <c r="E40" s="1" t="s">
        <v>248</v>
      </c>
      <c r="F40" s="1" t="s">
        <v>447</v>
      </c>
      <c r="G40" s="1" t="s">
        <v>448</v>
      </c>
      <c r="H40" s="1" t="s">
        <v>12</v>
      </c>
      <c r="I40" s="1" t="s">
        <v>5</v>
      </c>
      <c r="J40" s="1" t="s">
        <v>12</v>
      </c>
      <c r="K40" s="1" t="s">
        <v>12</v>
      </c>
      <c r="L40" s="1">
        <v>4</v>
      </c>
    </row>
    <row r="41" spans="1:12" x14ac:dyDescent="0.3">
      <c r="A41" s="1" t="s">
        <v>252</v>
      </c>
      <c r="B41" s="1" t="s">
        <v>251</v>
      </c>
      <c r="C41" s="1" t="s">
        <v>251</v>
      </c>
      <c r="D41" s="1">
        <v>7</v>
      </c>
      <c r="E41" s="1" t="s">
        <v>80</v>
      </c>
      <c r="F41" s="1" t="s">
        <v>449</v>
      </c>
      <c r="G41" s="1" t="s">
        <v>450</v>
      </c>
      <c r="H41" s="1" t="s">
        <v>5</v>
      </c>
      <c r="I41" s="1" t="s">
        <v>5</v>
      </c>
      <c r="J41" s="1" t="s">
        <v>5</v>
      </c>
      <c r="K41" s="1" t="s">
        <v>12</v>
      </c>
      <c r="L41" s="1">
        <v>2</v>
      </c>
    </row>
    <row r="42" spans="1:12" x14ac:dyDescent="0.3">
      <c r="A42" s="1" t="s">
        <v>563</v>
      </c>
      <c r="B42" s="1" t="s">
        <v>4</v>
      </c>
      <c r="C42" s="1" t="s">
        <v>251</v>
      </c>
      <c r="D42" s="1">
        <v>7</v>
      </c>
      <c r="E42" s="1" t="s">
        <v>252</v>
      </c>
      <c r="G42" s="1" t="s">
        <v>451</v>
      </c>
      <c r="H42" s="1" t="s">
        <v>12</v>
      </c>
      <c r="I42" s="1" t="s">
        <v>5</v>
      </c>
      <c r="J42" s="1" t="s">
        <v>12</v>
      </c>
      <c r="K42" s="1" t="s">
        <v>12</v>
      </c>
      <c r="L42" s="1">
        <v>3</v>
      </c>
    </row>
    <row r="43" spans="1:12" x14ac:dyDescent="0.3">
      <c r="A43" s="1" t="s">
        <v>253</v>
      </c>
      <c r="B43" s="1" t="s">
        <v>254</v>
      </c>
      <c r="C43" s="1" t="s">
        <v>251</v>
      </c>
      <c r="D43" s="1">
        <v>7</v>
      </c>
      <c r="E43" s="1" t="s">
        <v>252</v>
      </c>
      <c r="G43" s="1" t="s">
        <v>452</v>
      </c>
      <c r="H43" s="1" t="s">
        <v>5</v>
      </c>
      <c r="I43" s="1" t="s">
        <v>12</v>
      </c>
      <c r="J43" s="1" t="s">
        <v>12</v>
      </c>
      <c r="K43" s="1" t="s">
        <v>12</v>
      </c>
      <c r="L43" s="1">
        <v>3</v>
      </c>
    </row>
    <row r="44" spans="1:12" x14ac:dyDescent="0.3">
      <c r="A44" s="1" t="s">
        <v>255</v>
      </c>
      <c r="B44" s="1" t="s">
        <v>256</v>
      </c>
      <c r="C44" s="1" t="s">
        <v>251</v>
      </c>
      <c r="D44" s="1">
        <v>7</v>
      </c>
      <c r="E44" s="1" t="s">
        <v>252</v>
      </c>
      <c r="G44" s="1" t="s">
        <v>453</v>
      </c>
      <c r="H44" s="1" t="s">
        <v>5</v>
      </c>
      <c r="I44" s="1" t="s">
        <v>12</v>
      </c>
      <c r="J44" s="1" t="s">
        <v>5</v>
      </c>
      <c r="K44" s="1" t="s">
        <v>12</v>
      </c>
      <c r="L44" s="1">
        <v>3</v>
      </c>
    </row>
    <row r="45" spans="1:12" x14ac:dyDescent="0.3">
      <c r="A45" s="1" t="s">
        <v>257</v>
      </c>
      <c r="B45" s="1" t="s">
        <v>258</v>
      </c>
      <c r="C45" s="1" t="s">
        <v>251</v>
      </c>
      <c r="D45" s="1">
        <v>7</v>
      </c>
      <c r="E45" s="1" t="s">
        <v>252</v>
      </c>
      <c r="G45" s="1" t="s">
        <v>454</v>
      </c>
      <c r="H45" s="1" t="s">
        <v>5</v>
      </c>
      <c r="I45" s="1" t="s">
        <v>12</v>
      </c>
      <c r="J45" s="1" t="s">
        <v>5</v>
      </c>
      <c r="K45" s="1" t="s">
        <v>12</v>
      </c>
      <c r="L45" s="1">
        <v>3</v>
      </c>
    </row>
    <row r="46" spans="1:12" x14ac:dyDescent="0.3">
      <c r="A46" s="1" t="s">
        <v>259</v>
      </c>
      <c r="B46" s="1" t="s">
        <v>260</v>
      </c>
      <c r="C46" s="1" t="s">
        <v>260</v>
      </c>
      <c r="D46" s="1">
        <v>8</v>
      </c>
      <c r="E46" s="1" t="s">
        <v>80</v>
      </c>
      <c r="F46" s="1" t="s">
        <v>455</v>
      </c>
      <c r="G46" s="1" t="s">
        <v>456</v>
      </c>
      <c r="H46" s="1" t="s">
        <v>5</v>
      </c>
      <c r="I46" s="1" t="s">
        <v>5</v>
      </c>
      <c r="J46" s="1" t="s">
        <v>5</v>
      </c>
      <c r="K46" s="1" t="s">
        <v>12</v>
      </c>
      <c r="L46" s="1">
        <v>2</v>
      </c>
    </row>
    <row r="47" spans="1:12" x14ac:dyDescent="0.3">
      <c r="A47" s="1" t="s">
        <v>261</v>
      </c>
      <c r="B47" s="1" t="s">
        <v>3</v>
      </c>
      <c r="C47" s="1" t="s">
        <v>260</v>
      </c>
      <c r="D47" s="1">
        <v>8</v>
      </c>
      <c r="E47" s="1" t="s">
        <v>259</v>
      </c>
      <c r="H47" s="1" t="s">
        <v>12</v>
      </c>
      <c r="I47" s="1" t="s">
        <v>5</v>
      </c>
      <c r="J47" s="1" t="s">
        <v>12</v>
      </c>
      <c r="K47" s="1" t="s">
        <v>12</v>
      </c>
      <c r="L47" s="1">
        <v>3</v>
      </c>
    </row>
    <row r="48" spans="1:12" x14ac:dyDescent="0.3">
      <c r="A48" s="1" t="s">
        <v>262</v>
      </c>
      <c r="B48" s="1" t="s">
        <v>263</v>
      </c>
      <c r="C48" s="1" t="s">
        <v>260</v>
      </c>
      <c r="D48" s="1">
        <v>8</v>
      </c>
      <c r="E48" s="1" t="s">
        <v>261</v>
      </c>
      <c r="F48" s="1" t="s">
        <v>457</v>
      </c>
      <c r="G48" s="1" t="s">
        <v>458</v>
      </c>
      <c r="H48" s="1" t="s">
        <v>12</v>
      </c>
      <c r="I48" s="1" t="s">
        <v>5</v>
      </c>
      <c r="J48" s="1" t="s">
        <v>12</v>
      </c>
      <c r="K48" s="1" t="s">
        <v>12</v>
      </c>
      <c r="L48" s="1">
        <v>5</v>
      </c>
    </row>
    <row r="49" spans="1:12" x14ac:dyDescent="0.3">
      <c r="A49" s="1" t="s">
        <v>264</v>
      </c>
      <c r="B49" s="1" t="s">
        <v>55</v>
      </c>
      <c r="C49" s="1" t="s">
        <v>260</v>
      </c>
      <c r="D49" s="1">
        <v>8</v>
      </c>
      <c r="E49" s="1" t="s">
        <v>259</v>
      </c>
      <c r="H49" s="1" t="s">
        <v>12</v>
      </c>
      <c r="I49" s="1" t="s">
        <v>5</v>
      </c>
      <c r="J49" s="1" t="s">
        <v>12</v>
      </c>
      <c r="K49" s="1" t="s">
        <v>12</v>
      </c>
      <c r="L49" s="1">
        <v>3</v>
      </c>
    </row>
    <row r="50" spans="1:12" x14ac:dyDescent="0.3">
      <c r="A50" s="1" t="s">
        <v>265</v>
      </c>
      <c r="B50" s="1" t="s">
        <v>266</v>
      </c>
      <c r="C50" s="1" t="s">
        <v>260</v>
      </c>
      <c r="D50" s="1">
        <v>8</v>
      </c>
      <c r="E50" s="1" t="s">
        <v>264</v>
      </c>
      <c r="F50" s="1" t="s">
        <v>459</v>
      </c>
      <c r="G50" s="1" t="s">
        <v>460</v>
      </c>
      <c r="H50" s="1" t="s">
        <v>12</v>
      </c>
      <c r="I50" s="1" t="s">
        <v>5</v>
      </c>
      <c r="J50" s="1" t="s">
        <v>12</v>
      </c>
      <c r="K50" s="1" t="s">
        <v>12</v>
      </c>
      <c r="L50" s="1">
        <v>5</v>
      </c>
    </row>
    <row r="51" spans="1:12" x14ac:dyDescent="0.3">
      <c r="A51" s="1" t="s">
        <v>267</v>
      </c>
      <c r="B51" s="1" t="s">
        <v>268</v>
      </c>
      <c r="C51" s="1" t="s">
        <v>260</v>
      </c>
      <c r="D51" s="1">
        <v>8</v>
      </c>
      <c r="E51" s="1" t="s">
        <v>259</v>
      </c>
      <c r="H51" s="1" t="s">
        <v>5</v>
      </c>
      <c r="I51" s="1" t="s">
        <v>12</v>
      </c>
      <c r="J51" s="1" t="s">
        <v>12</v>
      </c>
      <c r="K51" s="1" t="s">
        <v>12</v>
      </c>
      <c r="L51" s="1">
        <v>3</v>
      </c>
    </row>
    <row r="52" spans="1:12" x14ac:dyDescent="0.3">
      <c r="A52" s="1" t="s">
        <v>269</v>
      </c>
      <c r="B52" s="1" t="s">
        <v>270</v>
      </c>
      <c r="C52" s="1" t="s">
        <v>270</v>
      </c>
      <c r="D52" s="1">
        <v>9</v>
      </c>
      <c r="E52" s="1" t="s">
        <v>80</v>
      </c>
      <c r="F52" s="1" t="s">
        <v>461</v>
      </c>
      <c r="G52" s="1" t="s">
        <v>462</v>
      </c>
      <c r="H52" s="1" t="s">
        <v>5</v>
      </c>
      <c r="I52" s="1" t="s">
        <v>5</v>
      </c>
      <c r="J52" s="1" t="s">
        <v>5</v>
      </c>
      <c r="K52" s="1" t="s">
        <v>12</v>
      </c>
      <c r="L52" s="1">
        <v>2</v>
      </c>
    </row>
    <row r="53" spans="1:12" x14ac:dyDescent="0.3">
      <c r="A53" s="1" t="s">
        <v>271</v>
      </c>
      <c r="B53" s="1" t="s">
        <v>258</v>
      </c>
      <c r="C53" s="1" t="s">
        <v>270</v>
      </c>
      <c r="D53" s="1">
        <v>9</v>
      </c>
      <c r="E53" s="1" t="s">
        <v>269</v>
      </c>
      <c r="F53" s="1" t="s">
        <v>463</v>
      </c>
      <c r="G53" s="1" t="s">
        <v>464</v>
      </c>
      <c r="H53" s="1" t="s">
        <v>5</v>
      </c>
      <c r="I53" s="1" t="s">
        <v>5</v>
      </c>
      <c r="J53" s="1" t="s">
        <v>5</v>
      </c>
      <c r="K53" s="1" t="s">
        <v>12</v>
      </c>
      <c r="L53" s="1">
        <v>3</v>
      </c>
    </row>
    <row r="54" spans="1:12" x14ac:dyDescent="0.3">
      <c r="A54" s="1" t="s">
        <v>272</v>
      </c>
      <c r="B54" s="1" t="s">
        <v>40</v>
      </c>
      <c r="C54" s="1" t="s">
        <v>270</v>
      </c>
      <c r="D54" s="1">
        <v>9</v>
      </c>
      <c r="E54" s="1" t="s">
        <v>269</v>
      </c>
      <c r="F54" s="1" t="s">
        <v>465</v>
      </c>
      <c r="G54" s="1" t="s">
        <v>466</v>
      </c>
      <c r="H54" s="1" t="s">
        <v>5</v>
      </c>
      <c r="I54" s="1" t="s">
        <v>5</v>
      </c>
      <c r="J54" s="1" t="s">
        <v>5</v>
      </c>
      <c r="K54" s="1" t="s">
        <v>12</v>
      </c>
      <c r="L54" s="1">
        <v>3</v>
      </c>
    </row>
    <row r="55" spans="1:12" x14ac:dyDescent="0.3">
      <c r="A55" s="1" t="s">
        <v>273</v>
      </c>
      <c r="B55" s="1" t="s">
        <v>274</v>
      </c>
      <c r="C55" s="1" t="s">
        <v>270</v>
      </c>
      <c r="D55" s="1">
        <v>9</v>
      </c>
      <c r="E55" s="1" t="s">
        <v>272</v>
      </c>
      <c r="F55" s="1" t="s">
        <v>467</v>
      </c>
      <c r="G55" s="1" t="s">
        <v>468</v>
      </c>
      <c r="H55" s="1" t="s">
        <v>5</v>
      </c>
      <c r="I55" s="1" t="s">
        <v>12</v>
      </c>
      <c r="J55" s="1" t="s">
        <v>12</v>
      </c>
      <c r="K55" s="1" t="s">
        <v>12</v>
      </c>
      <c r="L55" s="1">
        <v>4</v>
      </c>
    </row>
    <row r="56" spans="1:12" x14ac:dyDescent="0.3">
      <c r="A56" s="1" t="s">
        <v>275</v>
      </c>
      <c r="B56" s="1" t="s">
        <v>276</v>
      </c>
      <c r="C56" s="1" t="s">
        <v>270</v>
      </c>
      <c r="D56" s="1">
        <v>9</v>
      </c>
      <c r="E56" s="1" t="s">
        <v>272</v>
      </c>
      <c r="F56" s="1" t="s">
        <v>469</v>
      </c>
      <c r="G56" s="1" t="s">
        <v>470</v>
      </c>
      <c r="H56" s="1" t="s">
        <v>12</v>
      </c>
      <c r="I56" s="1" t="s">
        <v>5</v>
      </c>
      <c r="J56" s="1" t="s">
        <v>5</v>
      </c>
      <c r="K56" s="1" t="s">
        <v>12</v>
      </c>
      <c r="L56" s="1">
        <v>4</v>
      </c>
    </row>
    <row r="57" spans="1:12" x14ac:dyDescent="0.3">
      <c r="A57" s="1" t="s">
        <v>277</v>
      </c>
      <c r="B57" s="1" t="s">
        <v>4</v>
      </c>
      <c r="C57" s="1" t="s">
        <v>270</v>
      </c>
      <c r="D57" s="1">
        <v>9</v>
      </c>
      <c r="E57" s="1" t="s">
        <v>269</v>
      </c>
      <c r="F57" s="1" t="s">
        <v>471</v>
      </c>
      <c r="G57" s="1" t="s">
        <v>472</v>
      </c>
      <c r="H57" s="1" t="s">
        <v>12</v>
      </c>
      <c r="I57" s="1" t="s">
        <v>5</v>
      </c>
      <c r="J57" s="1" t="s">
        <v>12</v>
      </c>
      <c r="K57" s="1" t="s">
        <v>12</v>
      </c>
      <c r="L57" s="1">
        <v>3</v>
      </c>
    </row>
    <row r="58" spans="1:12" x14ac:dyDescent="0.3">
      <c r="A58" s="1" t="s">
        <v>278</v>
      </c>
      <c r="B58" s="1" t="s">
        <v>212</v>
      </c>
      <c r="C58" s="1" t="s">
        <v>270</v>
      </c>
      <c r="D58" s="1">
        <v>9</v>
      </c>
      <c r="E58" s="1" t="s">
        <v>277</v>
      </c>
      <c r="F58" s="1" t="s">
        <v>473</v>
      </c>
      <c r="G58" s="1" t="s">
        <v>474</v>
      </c>
      <c r="H58" s="1" t="s">
        <v>12</v>
      </c>
      <c r="I58" s="1" t="s">
        <v>5</v>
      </c>
      <c r="J58" s="1" t="s">
        <v>12</v>
      </c>
      <c r="K58" s="1" t="s">
        <v>12</v>
      </c>
      <c r="L58" s="1">
        <v>5</v>
      </c>
    </row>
    <row r="59" spans="1:12" x14ac:dyDescent="0.3">
      <c r="A59" s="1" t="s">
        <v>279</v>
      </c>
      <c r="B59" s="1" t="s">
        <v>280</v>
      </c>
      <c r="C59" s="1" t="s">
        <v>270</v>
      </c>
      <c r="D59" s="1">
        <v>9</v>
      </c>
      <c r="E59" s="1" t="s">
        <v>269</v>
      </c>
      <c r="F59" s="1" t="s">
        <v>475</v>
      </c>
      <c r="G59" s="1" t="s">
        <v>476</v>
      </c>
      <c r="H59" s="1" t="s">
        <v>5</v>
      </c>
      <c r="I59" s="1" t="s">
        <v>12</v>
      </c>
      <c r="J59" s="1" t="s">
        <v>12</v>
      </c>
      <c r="K59" s="1" t="s">
        <v>12</v>
      </c>
      <c r="L59" s="1">
        <v>3</v>
      </c>
    </row>
    <row r="60" spans="1:12" x14ac:dyDescent="0.3">
      <c r="A60" s="1" t="s">
        <v>281</v>
      </c>
      <c r="B60" s="1" t="s">
        <v>282</v>
      </c>
      <c r="C60" s="1" t="s">
        <v>282</v>
      </c>
      <c r="D60" s="1">
        <v>10</v>
      </c>
      <c r="E60" s="1" t="s">
        <v>80</v>
      </c>
      <c r="F60" s="1" t="s">
        <v>477</v>
      </c>
      <c r="G60" s="1" t="s">
        <v>478</v>
      </c>
      <c r="H60" s="1" t="s">
        <v>5</v>
      </c>
      <c r="I60" s="1" t="s">
        <v>5</v>
      </c>
      <c r="J60" s="1" t="s">
        <v>12</v>
      </c>
      <c r="K60" s="1" t="s">
        <v>12</v>
      </c>
      <c r="L60" s="1">
        <v>2</v>
      </c>
    </row>
    <row r="61" spans="1:12" x14ac:dyDescent="0.3">
      <c r="A61" s="1" t="s">
        <v>283</v>
      </c>
      <c r="B61" s="1" t="s">
        <v>284</v>
      </c>
      <c r="C61" s="1" t="s">
        <v>282</v>
      </c>
      <c r="D61" s="1">
        <v>10</v>
      </c>
      <c r="E61" s="1" t="s">
        <v>281</v>
      </c>
      <c r="H61" s="1" t="s">
        <v>5</v>
      </c>
      <c r="I61" s="1" t="s">
        <v>12</v>
      </c>
      <c r="J61" s="1" t="s">
        <v>12</v>
      </c>
      <c r="K61" s="1" t="s">
        <v>12</v>
      </c>
      <c r="L61" s="1">
        <v>3</v>
      </c>
    </row>
    <row r="62" spans="1:12" x14ac:dyDescent="0.3">
      <c r="A62" s="1" t="s">
        <v>285</v>
      </c>
      <c r="B62" s="1" t="s">
        <v>286</v>
      </c>
      <c r="C62" s="1" t="s">
        <v>282</v>
      </c>
      <c r="D62" s="1">
        <v>10</v>
      </c>
      <c r="E62" s="1" t="s">
        <v>281</v>
      </c>
      <c r="H62" s="1" t="s">
        <v>5</v>
      </c>
      <c r="I62" s="1" t="s">
        <v>12</v>
      </c>
      <c r="J62" s="1" t="s">
        <v>12</v>
      </c>
      <c r="K62" s="1" t="s">
        <v>12</v>
      </c>
      <c r="L62" s="1">
        <v>3</v>
      </c>
    </row>
    <row r="63" spans="1:12" x14ac:dyDescent="0.3">
      <c r="A63" s="1" t="s">
        <v>287</v>
      </c>
      <c r="B63" s="1" t="s">
        <v>288</v>
      </c>
      <c r="C63" s="1" t="s">
        <v>282</v>
      </c>
      <c r="D63" s="1">
        <v>10</v>
      </c>
      <c r="E63" s="1" t="s">
        <v>281</v>
      </c>
      <c r="H63" s="1" t="s">
        <v>12</v>
      </c>
      <c r="I63" s="1" t="s">
        <v>5</v>
      </c>
      <c r="J63" s="1" t="s">
        <v>12</v>
      </c>
      <c r="K63" s="1" t="s">
        <v>12</v>
      </c>
      <c r="L63" s="1">
        <v>3</v>
      </c>
    </row>
    <row r="64" spans="1:12" x14ac:dyDescent="0.3">
      <c r="A64" s="1" t="s">
        <v>289</v>
      </c>
      <c r="B64" s="1" t="s">
        <v>212</v>
      </c>
      <c r="C64" s="1" t="s">
        <v>282</v>
      </c>
      <c r="D64" s="1">
        <v>10</v>
      </c>
      <c r="E64" s="1" t="s">
        <v>283</v>
      </c>
      <c r="G64" s="1" t="s">
        <v>479</v>
      </c>
      <c r="H64" s="1" t="s">
        <v>12</v>
      </c>
      <c r="I64" s="1" t="s">
        <v>5</v>
      </c>
      <c r="J64" s="1" t="s">
        <v>12</v>
      </c>
      <c r="K64" s="1" t="s">
        <v>12</v>
      </c>
      <c r="L64" s="1">
        <v>5</v>
      </c>
    </row>
    <row r="65" spans="1:12" x14ac:dyDescent="0.3">
      <c r="A65" s="1" t="s">
        <v>290</v>
      </c>
      <c r="B65" s="1" t="s">
        <v>291</v>
      </c>
      <c r="C65" s="1" t="s">
        <v>291</v>
      </c>
      <c r="D65" s="1">
        <v>11</v>
      </c>
      <c r="E65" s="1" t="s">
        <v>80</v>
      </c>
      <c r="F65" s="1" t="s">
        <v>480</v>
      </c>
      <c r="G65" s="1" t="s">
        <v>481</v>
      </c>
      <c r="H65" s="1" t="s">
        <v>5</v>
      </c>
      <c r="I65" s="1" t="s">
        <v>5</v>
      </c>
      <c r="J65" s="1" t="s">
        <v>12</v>
      </c>
      <c r="K65" s="1" t="s">
        <v>12</v>
      </c>
      <c r="L65" s="1">
        <v>2</v>
      </c>
    </row>
    <row r="66" spans="1:12" x14ac:dyDescent="0.3">
      <c r="A66" s="1" t="s">
        <v>292</v>
      </c>
      <c r="B66" s="1" t="s">
        <v>254</v>
      </c>
      <c r="C66" s="1" t="s">
        <v>291</v>
      </c>
      <c r="D66" s="1">
        <v>11</v>
      </c>
      <c r="E66" s="1" t="s">
        <v>290</v>
      </c>
      <c r="F66" s="1" t="s">
        <v>482</v>
      </c>
      <c r="H66" s="1" t="s">
        <v>5</v>
      </c>
      <c r="I66" s="1" t="s">
        <v>12</v>
      </c>
      <c r="J66" s="1" t="s">
        <v>12</v>
      </c>
      <c r="K66" s="1" t="s">
        <v>12</v>
      </c>
      <c r="L66" s="1">
        <v>3</v>
      </c>
    </row>
    <row r="67" spans="1:12" x14ac:dyDescent="0.3">
      <c r="A67" s="1" t="s">
        <v>293</v>
      </c>
      <c r="B67" s="1" t="s">
        <v>294</v>
      </c>
      <c r="C67" s="1" t="s">
        <v>291</v>
      </c>
      <c r="D67" s="1">
        <v>11</v>
      </c>
      <c r="E67" s="1" t="s">
        <v>290</v>
      </c>
      <c r="F67" s="1" t="s">
        <v>483</v>
      </c>
      <c r="H67" s="1" t="s">
        <v>12</v>
      </c>
      <c r="I67" s="1" t="s">
        <v>5</v>
      </c>
      <c r="J67" s="1" t="s">
        <v>12</v>
      </c>
      <c r="K67" s="1" t="s">
        <v>12</v>
      </c>
      <c r="L67" s="1">
        <v>3</v>
      </c>
    </row>
    <row r="68" spans="1:12" x14ac:dyDescent="0.3">
      <c r="A68" s="1" t="s">
        <v>295</v>
      </c>
      <c r="B68" s="1" t="s">
        <v>56</v>
      </c>
      <c r="C68" s="1" t="s">
        <v>291</v>
      </c>
      <c r="D68" s="1">
        <v>11</v>
      </c>
      <c r="E68" s="1" t="s">
        <v>290</v>
      </c>
      <c r="F68" s="1" t="s">
        <v>484</v>
      </c>
      <c r="H68" s="1" t="s">
        <v>5</v>
      </c>
      <c r="I68" s="1" t="s">
        <v>12</v>
      </c>
      <c r="J68" s="1" t="s">
        <v>12</v>
      </c>
      <c r="K68" s="1" t="s">
        <v>12</v>
      </c>
      <c r="L68" s="1">
        <v>3</v>
      </c>
    </row>
    <row r="69" spans="1:12" x14ac:dyDescent="0.3">
      <c r="A69" s="1" t="s">
        <v>564</v>
      </c>
      <c r="B69" s="1" t="s">
        <v>297</v>
      </c>
      <c r="C69" s="1" t="s">
        <v>297</v>
      </c>
      <c r="D69" s="1">
        <v>12</v>
      </c>
      <c r="E69" s="1" t="s">
        <v>80</v>
      </c>
      <c r="F69" s="1" t="s">
        <v>485</v>
      </c>
      <c r="G69" s="1" t="s">
        <v>486</v>
      </c>
      <c r="H69" s="1" t="s">
        <v>5</v>
      </c>
      <c r="I69" s="1" t="s">
        <v>5</v>
      </c>
      <c r="J69" s="1" t="s">
        <v>5</v>
      </c>
      <c r="K69" s="1" t="s">
        <v>12</v>
      </c>
      <c r="L69" s="1">
        <v>2</v>
      </c>
    </row>
    <row r="70" spans="1:12" x14ac:dyDescent="0.3">
      <c r="A70" s="1" t="s">
        <v>296</v>
      </c>
      <c r="B70" s="1" t="s">
        <v>35</v>
      </c>
      <c r="C70" s="1" t="s">
        <v>297</v>
      </c>
      <c r="D70" s="1">
        <v>12</v>
      </c>
      <c r="E70" s="1" t="s">
        <v>564</v>
      </c>
      <c r="F70" s="1" t="s">
        <v>487</v>
      </c>
      <c r="G70" s="1" t="s">
        <v>488</v>
      </c>
      <c r="H70" s="1" t="s">
        <v>5</v>
      </c>
      <c r="I70" s="1" t="s">
        <v>5</v>
      </c>
      <c r="J70" s="1" t="s">
        <v>5</v>
      </c>
      <c r="K70" s="1" t="s">
        <v>12</v>
      </c>
      <c r="L70" s="1">
        <v>3</v>
      </c>
    </row>
    <row r="71" spans="1:12" x14ac:dyDescent="0.3">
      <c r="A71" s="1" t="s">
        <v>298</v>
      </c>
      <c r="B71" s="1" t="s">
        <v>1</v>
      </c>
      <c r="C71" s="1" t="s">
        <v>297</v>
      </c>
      <c r="D71" s="1">
        <v>12</v>
      </c>
      <c r="E71" s="1" t="s">
        <v>296</v>
      </c>
      <c r="H71" s="1" t="s">
        <v>5</v>
      </c>
      <c r="I71" s="1" t="s">
        <v>5</v>
      </c>
      <c r="J71" s="1" t="s">
        <v>5</v>
      </c>
      <c r="K71" s="1" t="s">
        <v>12</v>
      </c>
      <c r="L71" s="1">
        <v>4</v>
      </c>
    </row>
    <row r="72" spans="1:12" x14ac:dyDescent="0.3">
      <c r="A72" s="1" t="s">
        <v>299</v>
      </c>
      <c r="B72" s="1" t="s">
        <v>301</v>
      </c>
      <c r="C72" s="1" t="s">
        <v>297</v>
      </c>
      <c r="D72" s="1">
        <v>12</v>
      </c>
      <c r="E72" s="1" t="s">
        <v>298</v>
      </c>
      <c r="H72" s="1" t="s">
        <v>12</v>
      </c>
      <c r="I72" s="1" t="s">
        <v>5</v>
      </c>
      <c r="J72" s="1" t="s">
        <v>5</v>
      </c>
      <c r="K72" s="1" t="s">
        <v>12</v>
      </c>
      <c r="L72" s="1">
        <v>5</v>
      </c>
    </row>
    <row r="73" spans="1:12" x14ac:dyDescent="0.3">
      <c r="A73" s="1" t="s">
        <v>300</v>
      </c>
      <c r="B73" s="1" t="s">
        <v>303</v>
      </c>
      <c r="C73" s="1" t="s">
        <v>297</v>
      </c>
      <c r="D73" s="1">
        <v>12</v>
      </c>
      <c r="E73" s="1" t="s">
        <v>298</v>
      </c>
      <c r="H73" s="1" t="s">
        <v>12</v>
      </c>
      <c r="I73" s="1" t="s">
        <v>5</v>
      </c>
      <c r="J73" s="1" t="s">
        <v>12</v>
      </c>
      <c r="K73" s="1" t="s">
        <v>12</v>
      </c>
      <c r="L73" s="1">
        <v>5</v>
      </c>
    </row>
    <row r="74" spans="1:12" x14ac:dyDescent="0.3">
      <c r="A74" s="1" t="s">
        <v>302</v>
      </c>
      <c r="B74" s="1" t="s">
        <v>305</v>
      </c>
      <c r="C74" s="1" t="s">
        <v>297</v>
      </c>
      <c r="D74" s="1">
        <v>12</v>
      </c>
      <c r="E74" s="1" t="s">
        <v>298</v>
      </c>
      <c r="H74" s="1" t="s">
        <v>12</v>
      </c>
      <c r="I74" s="1" t="s">
        <v>5</v>
      </c>
      <c r="J74" s="1" t="s">
        <v>12</v>
      </c>
      <c r="K74" s="1" t="s">
        <v>12</v>
      </c>
      <c r="L74" s="1">
        <v>5</v>
      </c>
    </row>
    <row r="75" spans="1:12" x14ac:dyDescent="0.3">
      <c r="A75" s="1" t="s">
        <v>304</v>
      </c>
      <c r="B75" s="1" t="s">
        <v>307</v>
      </c>
      <c r="C75" s="1" t="s">
        <v>297</v>
      </c>
      <c r="D75" s="1">
        <v>12</v>
      </c>
      <c r="E75" s="1" t="s">
        <v>296</v>
      </c>
      <c r="H75" s="1" t="s">
        <v>5</v>
      </c>
      <c r="I75" s="1" t="s">
        <v>5</v>
      </c>
      <c r="J75" s="1" t="s">
        <v>5</v>
      </c>
      <c r="K75" s="1" t="s">
        <v>12</v>
      </c>
      <c r="L75" s="1">
        <v>4</v>
      </c>
    </row>
    <row r="76" spans="1:12" x14ac:dyDescent="0.3">
      <c r="A76" s="1" t="s">
        <v>306</v>
      </c>
      <c r="B76" s="1" t="s">
        <v>309</v>
      </c>
      <c r="C76" s="1" t="s">
        <v>297</v>
      </c>
      <c r="D76" s="1">
        <v>12</v>
      </c>
      <c r="E76" s="1" t="s">
        <v>304</v>
      </c>
      <c r="H76" s="1" t="s">
        <v>5</v>
      </c>
      <c r="I76" s="1" t="s">
        <v>12</v>
      </c>
      <c r="J76" s="1" t="s">
        <v>12</v>
      </c>
      <c r="K76" s="1" t="s">
        <v>12</v>
      </c>
      <c r="L76" s="1">
        <v>5</v>
      </c>
    </row>
    <row r="77" spans="1:12" x14ac:dyDescent="0.3">
      <c r="A77" s="1" t="s">
        <v>308</v>
      </c>
      <c r="B77" s="1" t="s">
        <v>311</v>
      </c>
      <c r="C77" s="1" t="s">
        <v>297</v>
      </c>
      <c r="D77" s="1">
        <v>12</v>
      </c>
      <c r="E77" s="1" t="s">
        <v>304</v>
      </c>
      <c r="H77" s="1" t="s">
        <v>5</v>
      </c>
      <c r="I77" s="1" t="s">
        <v>12</v>
      </c>
      <c r="J77" s="1" t="s">
        <v>12</v>
      </c>
      <c r="K77" s="1" t="s">
        <v>12</v>
      </c>
      <c r="L77" s="1">
        <v>5</v>
      </c>
    </row>
    <row r="78" spans="1:12" x14ac:dyDescent="0.3">
      <c r="A78" s="1" t="s">
        <v>310</v>
      </c>
      <c r="B78" s="1" t="s">
        <v>701</v>
      </c>
      <c r="C78" s="1" t="s">
        <v>297</v>
      </c>
      <c r="D78" s="1">
        <v>12</v>
      </c>
      <c r="E78" s="1" t="s">
        <v>304</v>
      </c>
      <c r="H78" s="1" t="s">
        <v>5</v>
      </c>
      <c r="I78" s="1" t="s">
        <v>12</v>
      </c>
      <c r="J78" s="1" t="s">
        <v>5</v>
      </c>
      <c r="K78" s="1" t="s">
        <v>12</v>
      </c>
      <c r="L78" s="1">
        <v>5</v>
      </c>
    </row>
    <row r="79" spans="1:12" x14ac:dyDescent="0.3">
      <c r="A79" s="1" t="s">
        <v>312</v>
      </c>
      <c r="B79" s="1" t="s">
        <v>314</v>
      </c>
      <c r="C79" s="1" t="s">
        <v>297</v>
      </c>
      <c r="D79" s="1">
        <v>12</v>
      </c>
      <c r="E79" s="1" t="s">
        <v>304</v>
      </c>
      <c r="H79" s="1" t="s">
        <v>5</v>
      </c>
      <c r="I79" s="1" t="s">
        <v>12</v>
      </c>
      <c r="J79" s="1" t="s">
        <v>12</v>
      </c>
      <c r="K79" s="1" t="s">
        <v>12</v>
      </c>
      <c r="L79" s="1">
        <v>5</v>
      </c>
    </row>
    <row r="80" spans="1:12" x14ac:dyDescent="0.3">
      <c r="A80" s="1" t="s">
        <v>313</v>
      </c>
      <c r="B80" s="1" t="s">
        <v>316</v>
      </c>
      <c r="C80" s="1" t="s">
        <v>297</v>
      </c>
      <c r="D80" s="1">
        <v>12</v>
      </c>
      <c r="E80" s="1" t="s">
        <v>564</v>
      </c>
      <c r="H80" s="1" t="s">
        <v>12</v>
      </c>
      <c r="I80" s="1" t="s">
        <v>5</v>
      </c>
      <c r="J80" s="1" t="s">
        <v>12</v>
      </c>
      <c r="K80" s="1" t="s">
        <v>12</v>
      </c>
      <c r="L80" s="1">
        <v>3</v>
      </c>
    </row>
    <row r="81" spans="1:12" x14ac:dyDescent="0.3">
      <c r="A81" s="1" t="s">
        <v>315</v>
      </c>
      <c r="B81" s="1" t="s">
        <v>318</v>
      </c>
      <c r="C81" s="1" t="s">
        <v>318</v>
      </c>
      <c r="D81" s="1">
        <v>13</v>
      </c>
      <c r="E81" s="1" t="s">
        <v>80</v>
      </c>
      <c r="F81" s="1" t="s">
        <v>489</v>
      </c>
      <c r="G81" s="1" t="s">
        <v>490</v>
      </c>
      <c r="H81" s="1" t="s">
        <v>12</v>
      </c>
      <c r="I81" s="1" t="s">
        <v>5</v>
      </c>
      <c r="J81" s="1" t="s">
        <v>12</v>
      </c>
      <c r="K81" s="1" t="s">
        <v>12</v>
      </c>
      <c r="L81" s="1">
        <v>2</v>
      </c>
    </row>
    <row r="82" spans="1:12" x14ac:dyDescent="0.3">
      <c r="A82" s="1" t="s">
        <v>317</v>
      </c>
      <c r="B82" s="1" t="s">
        <v>320</v>
      </c>
      <c r="C82" s="1" t="s">
        <v>320</v>
      </c>
      <c r="D82" s="1">
        <v>14</v>
      </c>
      <c r="E82" s="1" t="s">
        <v>80</v>
      </c>
      <c r="F82" s="1" t="s">
        <v>491</v>
      </c>
      <c r="G82" s="1" t="s">
        <v>492</v>
      </c>
      <c r="H82" s="1" t="s">
        <v>5</v>
      </c>
      <c r="I82" s="1" t="s">
        <v>5</v>
      </c>
      <c r="J82" s="1" t="s">
        <v>5</v>
      </c>
      <c r="K82" s="1" t="s">
        <v>12</v>
      </c>
      <c r="L82" s="1">
        <v>2</v>
      </c>
    </row>
    <row r="83" spans="1:12" x14ac:dyDescent="0.3">
      <c r="A83" s="1" t="s">
        <v>319</v>
      </c>
      <c r="B83" s="1" t="s">
        <v>322</v>
      </c>
      <c r="C83" s="1" t="s">
        <v>320</v>
      </c>
      <c r="D83" s="1">
        <v>14</v>
      </c>
      <c r="E83" s="1" t="s">
        <v>317</v>
      </c>
      <c r="G83" s="1" t="s">
        <v>493</v>
      </c>
      <c r="H83" s="1" t="s">
        <v>12</v>
      </c>
      <c r="I83" s="1" t="s">
        <v>5</v>
      </c>
      <c r="J83" s="1" t="s">
        <v>12</v>
      </c>
      <c r="K83" s="1" t="s">
        <v>12</v>
      </c>
      <c r="L83" s="1">
        <v>3</v>
      </c>
    </row>
    <row r="84" spans="1:12" x14ac:dyDescent="0.3">
      <c r="A84" s="1" t="s">
        <v>321</v>
      </c>
      <c r="B84" s="1" t="s">
        <v>323</v>
      </c>
      <c r="C84" s="1" t="s">
        <v>320</v>
      </c>
      <c r="D84" s="1">
        <v>14</v>
      </c>
      <c r="E84" s="1" t="s">
        <v>317</v>
      </c>
      <c r="H84" s="1" t="s">
        <v>5</v>
      </c>
      <c r="I84" s="1" t="s">
        <v>5</v>
      </c>
      <c r="J84" s="1" t="s">
        <v>12</v>
      </c>
      <c r="K84" s="1" t="s">
        <v>12</v>
      </c>
      <c r="L84" s="1">
        <v>3</v>
      </c>
    </row>
    <row r="85" spans="1:12" x14ac:dyDescent="0.3">
      <c r="A85" s="1" t="s">
        <v>324</v>
      </c>
      <c r="B85" s="1" t="s">
        <v>325</v>
      </c>
      <c r="C85" s="1" t="s">
        <v>325</v>
      </c>
      <c r="D85" s="1">
        <v>15</v>
      </c>
      <c r="E85" s="1" t="s">
        <v>80</v>
      </c>
      <c r="F85" s="1" t="s">
        <v>494</v>
      </c>
      <c r="G85" s="1" t="s">
        <v>495</v>
      </c>
      <c r="H85" s="1" t="s">
        <v>5</v>
      </c>
      <c r="I85" s="1" t="s">
        <v>5</v>
      </c>
      <c r="J85" s="1" t="s">
        <v>5</v>
      </c>
      <c r="K85" s="1" t="s">
        <v>12</v>
      </c>
      <c r="L85" s="1">
        <v>2</v>
      </c>
    </row>
    <row r="86" spans="1:12" x14ac:dyDescent="0.3">
      <c r="A86" s="1" t="s">
        <v>326</v>
      </c>
      <c r="B86" s="1" t="s">
        <v>327</v>
      </c>
      <c r="C86" s="1" t="s">
        <v>325</v>
      </c>
      <c r="D86" s="1">
        <v>15</v>
      </c>
      <c r="E86" s="1" t="s">
        <v>324</v>
      </c>
      <c r="F86" s="1" t="s">
        <v>496</v>
      </c>
      <c r="H86" s="1" t="s">
        <v>5</v>
      </c>
      <c r="I86" s="1" t="s">
        <v>5</v>
      </c>
      <c r="J86" s="1" t="s">
        <v>12</v>
      </c>
      <c r="K86" s="1" t="s">
        <v>12</v>
      </c>
      <c r="L86" s="1">
        <v>3</v>
      </c>
    </row>
    <row r="87" spans="1:12" x14ac:dyDescent="0.3">
      <c r="A87" s="1" t="s">
        <v>330</v>
      </c>
      <c r="B87" s="1" t="s">
        <v>328</v>
      </c>
      <c r="C87" s="1" t="s">
        <v>325</v>
      </c>
      <c r="D87" s="1">
        <v>15</v>
      </c>
      <c r="E87" s="1" t="s">
        <v>324</v>
      </c>
      <c r="H87" s="1" t="s">
        <v>5</v>
      </c>
      <c r="I87" s="1" t="s">
        <v>5</v>
      </c>
      <c r="J87" s="1" t="s">
        <v>5</v>
      </c>
      <c r="K87" s="1" t="s">
        <v>12</v>
      </c>
      <c r="L87" s="1">
        <v>3</v>
      </c>
    </row>
    <row r="88" spans="1:12" x14ac:dyDescent="0.3">
      <c r="A88" s="1" t="s">
        <v>332</v>
      </c>
      <c r="B88" s="1" t="s">
        <v>329</v>
      </c>
      <c r="C88" s="1" t="s">
        <v>325</v>
      </c>
      <c r="D88" s="1">
        <v>15</v>
      </c>
      <c r="E88" s="1" t="s">
        <v>330</v>
      </c>
      <c r="F88" s="1" t="s">
        <v>497</v>
      </c>
      <c r="H88" s="1" t="s">
        <v>5</v>
      </c>
      <c r="I88" s="1" t="s">
        <v>5</v>
      </c>
      <c r="J88" s="1" t="s">
        <v>5</v>
      </c>
      <c r="K88" s="1" t="s">
        <v>12</v>
      </c>
      <c r="L88" s="1">
        <v>4</v>
      </c>
    </row>
    <row r="89" spans="1:12" x14ac:dyDescent="0.3">
      <c r="A89" s="1" t="s">
        <v>334</v>
      </c>
      <c r="B89" s="1" t="s">
        <v>331</v>
      </c>
      <c r="C89" s="1" t="s">
        <v>325</v>
      </c>
      <c r="D89" s="1">
        <v>15</v>
      </c>
      <c r="E89" s="1" t="s">
        <v>330</v>
      </c>
      <c r="F89" s="1" t="s">
        <v>498</v>
      </c>
      <c r="H89" s="1" t="s">
        <v>12</v>
      </c>
      <c r="I89" s="1" t="s">
        <v>5</v>
      </c>
      <c r="J89" s="1" t="s">
        <v>12</v>
      </c>
      <c r="K89" s="1" t="s">
        <v>12</v>
      </c>
      <c r="L89" s="1">
        <v>4</v>
      </c>
    </row>
    <row r="90" spans="1:12" x14ac:dyDescent="0.3">
      <c r="A90" s="1" t="s">
        <v>335</v>
      </c>
      <c r="B90" s="1" t="s">
        <v>333</v>
      </c>
      <c r="C90" s="1" t="s">
        <v>333</v>
      </c>
      <c r="D90" s="1">
        <v>16</v>
      </c>
      <c r="E90" s="1" t="s">
        <v>80</v>
      </c>
      <c r="F90" s="1" t="s">
        <v>499</v>
      </c>
      <c r="G90" s="1" t="s">
        <v>500</v>
      </c>
      <c r="H90" s="1" t="s">
        <v>5</v>
      </c>
      <c r="I90" s="1" t="s">
        <v>5</v>
      </c>
      <c r="J90" s="1" t="s">
        <v>12</v>
      </c>
      <c r="K90" s="1" t="s">
        <v>12</v>
      </c>
      <c r="L90" s="1">
        <v>2</v>
      </c>
    </row>
    <row r="91" spans="1:12" x14ac:dyDescent="0.3">
      <c r="A91" s="1" t="s">
        <v>337</v>
      </c>
      <c r="B91" s="1" t="s">
        <v>331</v>
      </c>
      <c r="C91" s="1" t="s">
        <v>333</v>
      </c>
      <c r="D91" s="1">
        <v>16</v>
      </c>
      <c r="E91" s="1" t="s">
        <v>335</v>
      </c>
      <c r="F91" s="1" t="s">
        <v>501</v>
      </c>
      <c r="G91" s="1" t="s">
        <v>502</v>
      </c>
      <c r="H91" s="1" t="s">
        <v>12</v>
      </c>
      <c r="I91" s="1" t="s">
        <v>5</v>
      </c>
      <c r="J91" s="1" t="s">
        <v>12</v>
      </c>
      <c r="K91" s="1" t="s">
        <v>12</v>
      </c>
      <c r="L91" s="1">
        <v>3</v>
      </c>
    </row>
    <row r="92" spans="1:12" x14ac:dyDescent="0.3">
      <c r="A92" s="1" t="s">
        <v>339</v>
      </c>
      <c r="B92" s="1" t="s">
        <v>336</v>
      </c>
      <c r="C92" s="1" t="s">
        <v>336</v>
      </c>
      <c r="D92" s="1">
        <v>17</v>
      </c>
      <c r="E92" s="1" t="s">
        <v>80</v>
      </c>
      <c r="F92" s="1" t="s">
        <v>503</v>
      </c>
      <c r="G92" s="1" t="s">
        <v>504</v>
      </c>
      <c r="H92" s="1" t="s">
        <v>5</v>
      </c>
      <c r="I92" s="1" t="s">
        <v>5</v>
      </c>
      <c r="J92" s="1" t="s">
        <v>5</v>
      </c>
      <c r="K92" s="1" t="s">
        <v>5</v>
      </c>
      <c r="L92" s="1">
        <v>2</v>
      </c>
    </row>
    <row r="93" spans="1:12" x14ac:dyDescent="0.3">
      <c r="A93" s="1" t="s">
        <v>341</v>
      </c>
      <c r="B93" s="1" t="s">
        <v>338</v>
      </c>
      <c r="C93" s="1" t="s">
        <v>336</v>
      </c>
      <c r="D93" s="1">
        <v>17</v>
      </c>
      <c r="E93" s="1" t="s">
        <v>339</v>
      </c>
      <c r="F93" s="1" t="s">
        <v>505</v>
      </c>
      <c r="G93" s="1" t="s">
        <v>506</v>
      </c>
      <c r="H93" s="1" t="s">
        <v>12</v>
      </c>
      <c r="I93" s="1" t="s">
        <v>5</v>
      </c>
      <c r="J93" s="1" t="s">
        <v>12</v>
      </c>
      <c r="K93" s="1" t="s">
        <v>5</v>
      </c>
      <c r="L93" s="1">
        <v>3</v>
      </c>
    </row>
    <row r="94" spans="1:12" x14ac:dyDescent="0.3">
      <c r="A94" s="1" t="s">
        <v>342</v>
      </c>
      <c r="B94" s="1" t="s">
        <v>340</v>
      </c>
      <c r="C94" s="1" t="s">
        <v>336</v>
      </c>
      <c r="D94" s="1">
        <v>17</v>
      </c>
      <c r="E94" s="1" t="s">
        <v>339</v>
      </c>
      <c r="F94" s="1" t="s">
        <v>507</v>
      </c>
      <c r="G94" s="1" t="s">
        <v>508</v>
      </c>
      <c r="H94" s="1" t="s">
        <v>5</v>
      </c>
      <c r="I94" s="1" t="s">
        <v>5</v>
      </c>
      <c r="J94" s="1" t="s">
        <v>5</v>
      </c>
      <c r="K94" s="1" t="s">
        <v>12</v>
      </c>
      <c r="L94" s="1">
        <v>3</v>
      </c>
    </row>
    <row r="95" spans="1:12" x14ac:dyDescent="0.3">
      <c r="A95" s="1" t="s">
        <v>344</v>
      </c>
      <c r="B95" s="1" t="s">
        <v>268</v>
      </c>
      <c r="C95" s="1" t="s">
        <v>336</v>
      </c>
      <c r="D95" s="1">
        <v>17</v>
      </c>
      <c r="E95" s="1" t="s">
        <v>339</v>
      </c>
      <c r="F95" s="1" t="s">
        <v>509</v>
      </c>
      <c r="G95" s="1" t="s">
        <v>510</v>
      </c>
      <c r="H95" s="1" t="s">
        <v>5</v>
      </c>
      <c r="I95" s="1" t="s">
        <v>12</v>
      </c>
      <c r="J95" s="1" t="s">
        <v>12</v>
      </c>
      <c r="K95" s="1" t="s">
        <v>12</v>
      </c>
      <c r="L95" s="1">
        <v>3</v>
      </c>
    </row>
    <row r="96" spans="1:12" x14ac:dyDescent="0.3">
      <c r="A96" s="1" t="s">
        <v>346</v>
      </c>
      <c r="B96" s="1" t="s">
        <v>99</v>
      </c>
      <c r="C96" s="1" t="s">
        <v>336</v>
      </c>
      <c r="D96" s="1">
        <v>17</v>
      </c>
      <c r="E96" s="1" t="s">
        <v>344</v>
      </c>
      <c r="F96" s="1" t="s">
        <v>511</v>
      </c>
      <c r="G96" s="1" t="s">
        <v>512</v>
      </c>
      <c r="H96" s="1" t="s">
        <v>5</v>
      </c>
      <c r="I96" s="1" t="s">
        <v>5</v>
      </c>
      <c r="J96" s="1" t="s">
        <v>5</v>
      </c>
      <c r="K96" s="1" t="s">
        <v>12</v>
      </c>
      <c r="L96" s="1">
        <v>4</v>
      </c>
    </row>
    <row r="97" spans="1:12" x14ac:dyDescent="0.3">
      <c r="A97" s="1" t="s">
        <v>348</v>
      </c>
      <c r="B97" s="1" t="s">
        <v>343</v>
      </c>
      <c r="C97" s="1" t="s">
        <v>343</v>
      </c>
      <c r="D97" s="1">
        <v>18</v>
      </c>
      <c r="E97" s="1" t="s">
        <v>80</v>
      </c>
      <c r="F97" s="1" t="s">
        <v>513</v>
      </c>
      <c r="G97" s="1" t="s">
        <v>514</v>
      </c>
      <c r="H97" s="1" t="s">
        <v>5</v>
      </c>
      <c r="I97" s="1" t="s">
        <v>5</v>
      </c>
      <c r="J97" s="1" t="s">
        <v>5</v>
      </c>
      <c r="K97" s="1" t="s">
        <v>12</v>
      </c>
      <c r="L97" s="1">
        <v>2</v>
      </c>
    </row>
    <row r="98" spans="1:12" x14ac:dyDescent="0.3">
      <c r="A98" s="1" t="s">
        <v>350</v>
      </c>
      <c r="B98" s="1" t="s">
        <v>345</v>
      </c>
      <c r="C98" s="1" t="s">
        <v>343</v>
      </c>
      <c r="D98" s="1">
        <v>18</v>
      </c>
      <c r="E98" s="1" t="s">
        <v>348</v>
      </c>
      <c r="F98" s="1" t="s">
        <v>515</v>
      </c>
      <c r="G98" s="1" t="s">
        <v>516</v>
      </c>
      <c r="H98" s="1" t="s">
        <v>5</v>
      </c>
      <c r="I98" s="1" t="s">
        <v>5</v>
      </c>
      <c r="J98" s="1" t="s">
        <v>5</v>
      </c>
      <c r="K98" s="1" t="s">
        <v>12</v>
      </c>
      <c r="L98" s="1">
        <v>3</v>
      </c>
    </row>
    <row r="99" spans="1:12" x14ac:dyDescent="0.3">
      <c r="A99" s="1" t="s">
        <v>352</v>
      </c>
      <c r="B99" s="1" t="s">
        <v>347</v>
      </c>
      <c r="C99" s="1" t="s">
        <v>343</v>
      </c>
      <c r="D99" s="1">
        <v>18</v>
      </c>
      <c r="E99" s="1" t="s">
        <v>348</v>
      </c>
      <c r="F99" s="1" t="s">
        <v>517</v>
      </c>
      <c r="G99" s="1" t="s">
        <v>518</v>
      </c>
      <c r="H99" s="1" t="s">
        <v>5</v>
      </c>
      <c r="I99" s="1" t="s">
        <v>5</v>
      </c>
      <c r="J99" s="1" t="s">
        <v>5</v>
      </c>
      <c r="K99" s="1" t="s">
        <v>12</v>
      </c>
      <c r="L99" s="1">
        <v>3</v>
      </c>
    </row>
    <row r="100" spans="1:12" x14ac:dyDescent="0.3">
      <c r="A100" s="1" t="s">
        <v>354</v>
      </c>
      <c r="B100" s="1" t="s">
        <v>349</v>
      </c>
      <c r="C100" s="1" t="s">
        <v>343</v>
      </c>
      <c r="D100" s="1">
        <v>18</v>
      </c>
      <c r="E100" s="1" t="s">
        <v>348</v>
      </c>
      <c r="F100" s="1" t="s">
        <v>519</v>
      </c>
      <c r="G100" s="1" t="s">
        <v>520</v>
      </c>
      <c r="H100" s="1" t="s">
        <v>5</v>
      </c>
      <c r="I100" s="1" t="s">
        <v>5</v>
      </c>
      <c r="J100" s="1" t="s">
        <v>5</v>
      </c>
      <c r="K100" s="1" t="s">
        <v>12</v>
      </c>
      <c r="L100" s="1">
        <v>3</v>
      </c>
    </row>
    <row r="101" spans="1:12" x14ac:dyDescent="0.3">
      <c r="A101" s="1" t="s">
        <v>356</v>
      </c>
      <c r="B101" s="1" t="s">
        <v>351</v>
      </c>
      <c r="C101" s="1" t="s">
        <v>343</v>
      </c>
      <c r="D101" s="1">
        <v>18</v>
      </c>
      <c r="E101" s="1" t="s">
        <v>348</v>
      </c>
      <c r="F101" s="1" t="s">
        <v>521</v>
      </c>
      <c r="G101" s="1" t="s">
        <v>522</v>
      </c>
      <c r="H101" s="1" t="s">
        <v>12</v>
      </c>
      <c r="I101" s="1" t="s">
        <v>5</v>
      </c>
      <c r="J101" s="1" t="s">
        <v>12</v>
      </c>
      <c r="K101" s="1" t="s">
        <v>12</v>
      </c>
      <c r="L101" s="1">
        <v>3</v>
      </c>
    </row>
    <row r="102" spans="1:12" x14ac:dyDescent="0.3">
      <c r="A102" s="1" t="s">
        <v>357</v>
      </c>
      <c r="B102" s="1" t="s">
        <v>353</v>
      </c>
      <c r="C102" s="1" t="s">
        <v>343</v>
      </c>
      <c r="D102" s="1">
        <v>18</v>
      </c>
      <c r="E102" s="1" t="s">
        <v>348</v>
      </c>
      <c r="F102" s="1" t="s">
        <v>523</v>
      </c>
      <c r="G102" s="1" t="s">
        <v>524</v>
      </c>
      <c r="H102" s="1" t="s">
        <v>12</v>
      </c>
      <c r="I102" s="1" t="s">
        <v>5</v>
      </c>
      <c r="J102" s="1" t="s">
        <v>12</v>
      </c>
      <c r="K102" s="1" t="s">
        <v>12</v>
      </c>
      <c r="L102" s="1">
        <v>3</v>
      </c>
    </row>
    <row r="103" spans="1:12" x14ac:dyDescent="0.3">
      <c r="A103" s="1" t="s">
        <v>359</v>
      </c>
      <c r="B103" s="1" t="s">
        <v>355</v>
      </c>
      <c r="C103" s="1" t="s">
        <v>396</v>
      </c>
      <c r="D103" s="1">
        <v>19</v>
      </c>
      <c r="E103" s="1" t="s">
        <v>80</v>
      </c>
      <c r="F103" s="1" t="s">
        <v>525</v>
      </c>
      <c r="G103" s="1" t="s">
        <v>526</v>
      </c>
      <c r="H103" s="1" t="s">
        <v>12</v>
      </c>
      <c r="I103" s="1" t="s">
        <v>5</v>
      </c>
      <c r="J103" s="1" t="s">
        <v>12</v>
      </c>
      <c r="K103" s="1" t="s">
        <v>12</v>
      </c>
      <c r="L103" s="1">
        <v>2</v>
      </c>
    </row>
    <row r="104" spans="1:12" x14ac:dyDescent="0.3">
      <c r="A104" s="1" t="s">
        <v>361</v>
      </c>
      <c r="B104" s="1" t="s">
        <v>212</v>
      </c>
      <c r="C104" s="1" t="s">
        <v>396</v>
      </c>
      <c r="D104" s="1">
        <v>19</v>
      </c>
      <c r="E104" s="1" t="s">
        <v>359</v>
      </c>
      <c r="G104" s="1" t="s">
        <v>527</v>
      </c>
      <c r="H104" s="1" t="s">
        <v>12</v>
      </c>
      <c r="I104" s="1" t="s">
        <v>5</v>
      </c>
      <c r="J104" s="1" t="s">
        <v>12</v>
      </c>
      <c r="K104" s="1" t="s">
        <v>12</v>
      </c>
      <c r="L104" s="1">
        <v>5</v>
      </c>
    </row>
    <row r="105" spans="1:12" x14ac:dyDescent="0.3">
      <c r="A105" s="1" t="s">
        <v>363</v>
      </c>
      <c r="B105" s="1" t="s">
        <v>358</v>
      </c>
      <c r="C105" s="1" t="s">
        <v>358</v>
      </c>
      <c r="D105" s="1">
        <v>20</v>
      </c>
      <c r="E105" s="1" t="s">
        <v>80</v>
      </c>
      <c r="F105" s="1" t="s">
        <v>528</v>
      </c>
      <c r="G105" s="1" t="s">
        <v>529</v>
      </c>
      <c r="H105" s="1" t="s">
        <v>12</v>
      </c>
      <c r="I105" s="1" t="s">
        <v>5</v>
      </c>
      <c r="J105" s="1" t="s">
        <v>12</v>
      </c>
      <c r="K105" s="1" t="s">
        <v>12</v>
      </c>
      <c r="L105" s="1">
        <v>2</v>
      </c>
    </row>
    <row r="106" spans="1:12" x14ac:dyDescent="0.3">
      <c r="A106" s="1" t="s">
        <v>364</v>
      </c>
      <c r="B106" s="1" t="s">
        <v>360</v>
      </c>
      <c r="C106" s="1" t="s">
        <v>358</v>
      </c>
      <c r="D106" s="1">
        <v>20</v>
      </c>
      <c r="E106" s="1" t="s">
        <v>363</v>
      </c>
      <c r="F106" s="1" t="s">
        <v>530</v>
      </c>
      <c r="G106" s="1" t="s">
        <v>531</v>
      </c>
      <c r="H106" s="1" t="s">
        <v>12</v>
      </c>
      <c r="I106" s="1" t="s">
        <v>5</v>
      </c>
      <c r="J106" s="1" t="s">
        <v>12</v>
      </c>
      <c r="K106" s="1" t="s">
        <v>12</v>
      </c>
      <c r="L106" s="1">
        <v>3</v>
      </c>
    </row>
    <row r="107" spans="1:12" x14ac:dyDescent="0.3">
      <c r="A107" s="1" t="s">
        <v>366</v>
      </c>
      <c r="B107" s="1" t="s">
        <v>362</v>
      </c>
      <c r="C107" s="1" t="s">
        <v>362</v>
      </c>
      <c r="D107" s="1">
        <v>21</v>
      </c>
      <c r="E107" s="1" t="s">
        <v>80</v>
      </c>
      <c r="F107" s="1" t="s">
        <v>532</v>
      </c>
      <c r="G107" s="1" t="s">
        <v>533</v>
      </c>
      <c r="H107" s="1" t="s">
        <v>12</v>
      </c>
      <c r="I107" s="1" t="s">
        <v>5</v>
      </c>
      <c r="J107" s="1" t="s">
        <v>12</v>
      </c>
      <c r="K107" s="1" t="s">
        <v>12</v>
      </c>
      <c r="L107" s="1">
        <v>2</v>
      </c>
    </row>
    <row r="108" spans="1:12" x14ac:dyDescent="0.3">
      <c r="A108" s="1" t="s">
        <v>368</v>
      </c>
      <c r="B108" s="1" t="s">
        <v>212</v>
      </c>
      <c r="C108" s="1" t="s">
        <v>362</v>
      </c>
      <c r="D108" s="1">
        <v>21</v>
      </c>
      <c r="E108" s="1" t="s">
        <v>368</v>
      </c>
      <c r="G108" s="1" t="s">
        <v>534</v>
      </c>
      <c r="H108" s="1" t="s">
        <v>12</v>
      </c>
      <c r="I108" s="1" t="s">
        <v>5</v>
      </c>
      <c r="J108" s="1" t="s">
        <v>12</v>
      </c>
      <c r="K108" s="1" t="s">
        <v>12</v>
      </c>
      <c r="L108" s="1">
        <v>5</v>
      </c>
    </row>
    <row r="109" spans="1:12" x14ac:dyDescent="0.3">
      <c r="A109" s="1" t="s">
        <v>370</v>
      </c>
      <c r="B109" s="1" t="s">
        <v>365</v>
      </c>
      <c r="C109" s="1" t="s">
        <v>365</v>
      </c>
      <c r="D109" s="1">
        <v>22</v>
      </c>
      <c r="E109" s="1" t="s">
        <v>80</v>
      </c>
      <c r="F109" s="1" t="s">
        <v>535</v>
      </c>
      <c r="G109" s="1" t="s">
        <v>536</v>
      </c>
      <c r="H109" s="1" t="s">
        <v>12</v>
      </c>
      <c r="I109" s="1" t="s">
        <v>5</v>
      </c>
      <c r="J109" s="1" t="s">
        <v>12</v>
      </c>
      <c r="K109" s="1" t="s">
        <v>12</v>
      </c>
      <c r="L109" s="1">
        <v>2</v>
      </c>
    </row>
    <row r="110" spans="1:12" x14ac:dyDescent="0.3">
      <c r="A110" s="1" t="s">
        <v>372</v>
      </c>
      <c r="B110" s="1" t="s">
        <v>367</v>
      </c>
      <c r="C110" s="1" t="s">
        <v>367</v>
      </c>
      <c r="D110" s="1">
        <v>23</v>
      </c>
      <c r="E110" s="1" t="s">
        <v>80</v>
      </c>
      <c r="F110" s="1" t="s">
        <v>537</v>
      </c>
      <c r="G110" s="1" t="s">
        <v>538</v>
      </c>
      <c r="H110" s="1" t="s">
        <v>5</v>
      </c>
      <c r="I110" s="1" t="s">
        <v>5</v>
      </c>
      <c r="J110" s="1" t="s">
        <v>5</v>
      </c>
      <c r="K110" s="1" t="s">
        <v>5</v>
      </c>
      <c r="L110" s="1">
        <v>2</v>
      </c>
    </row>
    <row r="111" spans="1:12" x14ac:dyDescent="0.3">
      <c r="A111" s="1" t="s">
        <v>374</v>
      </c>
      <c r="B111" s="1" t="s">
        <v>369</v>
      </c>
      <c r="C111" s="1" t="s">
        <v>367</v>
      </c>
      <c r="D111" s="1">
        <v>23</v>
      </c>
      <c r="E111" s="1" t="s">
        <v>372</v>
      </c>
      <c r="G111" s="1" t="s">
        <v>539</v>
      </c>
      <c r="H111" s="1" t="s">
        <v>5</v>
      </c>
      <c r="I111" s="1" t="s">
        <v>5</v>
      </c>
      <c r="J111" s="1" t="s">
        <v>5</v>
      </c>
      <c r="K111" s="1" t="s">
        <v>5</v>
      </c>
      <c r="L111" s="1">
        <v>3</v>
      </c>
    </row>
    <row r="112" spans="1:12" x14ac:dyDescent="0.3">
      <c r="A112" s="1" t="s">
        <v>376</v>
      </c>
      <c r="B112" s="1" t="s">
        <v>371</v>
      </c>
      <c r="C112" s="1" t="s">
        <v>367</v>
      </c>
      <c r="D112" s="1">
        <v>23</v>
      </c>
      <c r="E112" s="1" t="s">
        <v>374</v>
      </c>
      <c r="F112" s="1" t="s">
        <v>540</v>
      </c>
      <c r="G112" s="1" t="s">
        <v>539</v>
      </c>
      <c r="H112" s="1" t="s">
        <v>5</v>
      </c>
      <c r="I112" s="1" t="s">
        <v>5</v>
      </c>
      <c r="J112" s="1" t="s">
        <v>5</v>
      </c>
      <c r="K112" s="1" t="s">
        <v>5</v>
      </c>
      <c r="L112" s="1">
        <v>4</v>
      </c>
    </row>
    <row r="113" spans="1:12" x14ac:dyDescent="0.3">
      <c r="A113" s="1" t="s">
        <v>378</v>
      </c>
      <c r="B113" s="1" t="s">
        <v>373</v>
      </c>
      <c r="C113" s="1" t="s">
        <v>367</v>
      </c>
      <c r="D113" s="1">
        <v>23</v>
      </c>
      <c r="E113" s="1" t="s">
        <v>376</v>
      </c>
      <c r="F113" s="1" t="s">
        <v>541</v>
      </c>
      <c r="G113" s="1" t="s">
        <v>542</v>
      </c>
      <c r="H113" s="1" t="s">
        <v>5</v>
      </c>
      <c r="I113" s="1" t="s">
        <v>5</v>
      </c>
      <c r="J113" s="1" t="s">
        <v>5</v>
      </c>
      <c r="K113" s="1" t="s">
        <v>5</v>
      </c>
      <c r="L113" s="1">
        <v>5</v>
      </c>
    </row>
    <row r="114" spans="1:12" x14ac:dyDescent="0.3">
      <c r="A114" s="1" t="s">
        <v>380</v>
      </c>
      <c r="B114" s="1" t="s">
        <v>375</v>
      </c>
      <c r="C114" s="1" t="s">
        <v>367</v>
      </c>
      <c r="D114" s="1">
        <v>23</v>
      </c>
      <c r="E114" s="1" t="s">
        <v>376</v>
      </c>
      <c r="F114" s="1" t="s">
        <v>543</v>
      </c>
      <c r="G114" s="1" t="s">
        <v>544</v>
      </c>
      <c r="H114" s="1" t="s">
        <v>5</v>
      </c>
      <c r="I114" s="1" t="s">
        <v>5</v>
      </c>
      <c r="J114" s="1" t="s">
        <v>5</v>
      </c>
      <c r="K114" s="1" t="s">
        <v>5</v>
      </c>
      <c r="L114" s="1">
        <v>5</v>
      </c>
    </row>
    <row r="115" spans="1:12" x14ac:dyDescent="0.3">
      <c r="A115" s="1" t="s">
        <v>382</v>
      </c>
      <c r="B115" s="1" t="s">
        <v>377</v>
      </c>
      <c r="C115" s="1" t="s">
        <v>367</v>
      </c>
      <c r="D115" s="1">
        <v>23</v>
      </c>
      <c r="E115" s="1" t="s">
        <v>376</v>
      </c>
      <c r="G115" s="1" t="s">
        <v>545</v>
      </c>
      <c r="H115" s="1" t="s">
        <v>5</v>
      </c>
      <c r="I115" s="1" t="s">
        <v>5</v>
      </c>
      <c r="J115" s="1" t="s">
        <v>5</v>
      </c>
      <c r="K115" s="1" t="s">
        <v>5</v>
      </c>
      <c r="L115" s="1">
        <v>5</v>
      </c>
    </row>
    <row r="116" spans="1:12" x14ac:dyDescent="0.3">
      <c r="A116" s="1" t="s">
        <v>384</v>
      </c>
      <c r="B116" s="1" t="s">
        <v>379</v>
      </c>
      <c r="C116" s="1" t="s">
        <v>379</v>
      </c>
      <c r="D116" s="1">
        <v>24</v>
      </c>
      <c r="E116" s="1" t="s">
        <v>80</v>
      </c>
      <c r="F116" s="1" t="s">
        <v>546</v>
      </c>
      <c r="G116" s="1" t="s">
        <v>547</v>
      </c>
      <c r="H116" s="1" t="s">
        <v>5</v>
      </c>
      <c r="I116" s="1" t="s">
        <v>12</v>
      </c>
      <c r="J116" s="1" t="s">
        <v>5</v>
      </c>
      <c r="K116" s="1" t="s">
        <v>12</v>
      </c>
      <c r="L116" s="1">
        <v>2</v>
      </c>
    </row>
    <row r="117" spans="1:12" x14ac:dyDescent="0.3">
      <c r="A117" s="1" t="s">
        <v>386</v>
      </c>
      <c r="B117" s="1" t="s">
        <v>381</v>
      </c>
      <c r="C117" s="1" t="s">
        <v>379</v>
      </c>
      <c r="D117" s="1">
        <v>24</v>
      </c>
      <c r="E117" s="1" t="s">
        <v>384</v>
      </c>
      <c r="G117" s="1" t="s">
        <v>548</v>
      </c>
      <c r="H117" s="1" t="s">
        <v>5</v>
      </c>
      <c r="I117" s="1" t="s">
        <v>12</v>
      </c>
      <c r="J117" s="1" t="s">
        <v>5</v>
      </c>
      <c r="K117" s="1" t="s">
        <v>12</v>
      </c>
      <c r="L117" s="1">
        <v>5</v>
      </c>
    </row>
    <row r="118" spans="1:12" x14ac:dyDescent="0.3">
      <c r="A118" s="1" t="s">
        <v>388</v>
      </c>
      <c r="B118" s="1" t="s">
        <v>383</v>
      </c>
      <c r="C118" s="1" t="s">
        <v>383</v>
      </c>
      <c r="D118" s="1">
        <v>25</v>
      </c>
      <c r="E118" s="1" t="s">
        <v>80</v>
      </c>
      <c r="F118" s="1" t="s">
        <v>549</v>
      </c>
      <c r="G118" s="1" t="s">
        <v>550</v>
      </c>
      <c r="H118" s="1" t="s">
        <v>12</v>
      </c>
      <c r="I118" s="1" t="s">
        <v>5</v>
      </c>
      <c r="J118" s="1" t="s">
        <v>5</v>
      </c>
      <c r="K118" s="1" t="s">
        <v>12</v>
      </c>
      <c r="L118" s="1">
        <v>2</v>
      </c>
    </row>
    <row r="119" spans="1:12" x14ac:dyDescent="0.3">
      <c r="A119" s="1" t="s">
        <v>390</v>
      </c>
      <c r="B119" s="1" t="s">
        <v>385</v>
      </c>
      <c r="C119" s="1" t="s">
        <v>383</v>
      </c>
      <c r="D119" s="1">
        <v>25</v>
      </c>
      <c r="E119" s="1" t="s">
        <v>388</v>
      </c>
      <c r="F119" s="1" t="s">
        <v>551</v>
      </c>
      <c r="G119" s="1" t="s">
        <v>552</v>
      </c>
      <c r="H119" s="1" t="s">
        <v>12</v>
      </c>
      <c r="I119" s="1" t="s">
        <v>5</v>
      </c>
      <c r="J119" s="1" t="s">
        <v>5</v>
      </c>
      <c r="K119" s="1" t="s">
        <v>12</v>
      </c>
      <c r="L119" s="1">
        <v>3</v>
      </c>
    </row>
    <row r="120" spans="1:12" x14ac:dyDescent="0.3">
      <c r="A120" s="1" t="s">
        <v>392</v>
      </c>
      <c r="B120" s="1" t="s">
        <v>387</v>
      </c>
      <c r="C120" s="1" t="s">
        <v>383</v>
      </c>
      <c r="D120" s="1">
        <v>25</v>
      </c>
      <c r="E120" s="1" t="s">
        <v>388</v>
      </c>
      <c r="F120" s="1" t="s">
        <v>553</v>
      </c>
      <c r="G120" s="1" t="s">
        <v>554</v>
      </c>
      <c r="H120" s="1" t="s">
        <v>12</v>
      </c>
      <c r="I120" s="1" t="s">
        <v>5</v>
      </c>
      <c r="J120" s="1" t="s">
        <v>5</v>
      </c>
      <c r="K120" s="1" t="s">
        <v>12</v>
      </c>
      <c r="L120" s="1">
        <v>3</v>
      </c>
    </row>
    <row r="121" spans="1:12" x14ac:dyDescent="0.3">
      <c r="A121" s="1" t="s">
        <v>394</v>
      </c>
      <c r="B121" s="1" t="s">
        <v>389</v>
      </c>
      <c r="C121" s="1" t="s">
        <v>389</v>
      </c>
      <c r="D121" s="1">
        <v>26</v>
      </c>
      <c r="E121" s="1" t="s">
        <v>80</v>
      </c>
      <c r="F121" s="1" t="s">
        <v>555</v>
      </c>
      <c r="G121" s="1" t="s">
        <v>556</v>
      </c>
      <c r="H121" s="1" t="s">
        <v>12</v>
      </c>
      <c r="I121" s="1" t="s">
        <v>5</v>
      </c>
      <c r="J121" s="1" t="s">
        <v>12</v>
      </c>
      <c r="K121" s="1" t="s">
        <v>12</v>
      </c>
      <c r="L121" s="1">
        <v>2</v>
      </c>
    </row>
    <row r="122" spans="1:12" x14ac:dyDescent="0.3">
      <c r="A122" s="1" t="s">
        <v>565</v>
      </c>
      <c r="B122" s="1" t="s">
        <v>391</v>
      </c>
      <c r="C122" s="1" t="s">
        <v>389</v>
      </c>
      <c r="D122" s="1">
        <v>26</v>
      </c>
      <c r="E122" s="1" t="s">
        <v>394</v>
      </c>
      <c r="F122" s="1" t="s">
        <v>557</v>
      </c>
      <c r="G122" s="1" t="s">
        <v>558</v>
      </c>
      <c r="H122" s="1" t="s">
        <v>12</v>
      </c>
      <c r="I122" s="1" t="s">
        <v>5</v>
      </c>
      <c r="J122" s="1" t="s">
        <v>12</v>
      </c>
      <c r="K122" s="1" t="s">
        <v>12</v>
      </c>
      <c r="L122" s="1">
        <v>5</v>
      </c>
    </row>
    <row r="123" spans="1:12" x14ac:dyDescent="0.3">
      <c r="A123" s="1" t="s">
        <v>566</v>
      </c>
      <c r="B123" s="1" t="s">
        <v>393</v>
      </c>
      <c r="C123" s="1" t="s">
        <v>393</v>
      </c>
      <c r="D123" s="1">
        <v>27</v>
      </c>
      <c r="E123" s="1" t="s">
        <v>80</v>
      </c>
      <c r="F123" s="1" t="s">
        <v>559</v>
      </c>
      <c r="G123" s="1" t="s">
        <v>560</v>
      </c>
      <c r="H123" s="1" t="s">
        <v>12</v>
      </c>
      <c r="I123" s="1" t="s">
        <v>5</v>
      </c>
      <c r="J123" s="1" t="s">
        <v>12</v>
      </c>
      <c r="K123" s="1" t="s">
        <v>12</v>
      </c>
      <c r="L123" s="1">
        <v>2</v>
      </c>
    </row>
    <row r="124" spans="1:12" x14ac:dyDescent="0.3">
      <c r="A124" s="1" t="s">
        <v>567</v>
      </c>
      <c r="B124" s="1" t="s">
        <v>395</v>
      </c>
      <c r="C124" s="1" t="s">
        <v>395</v>
      </c>
      <c r="D124" s="1">
        <v>28</v>
      </c>
      <c r="E124" s="1" t="s">
        <v>80</v>
      </c>
      <c r="F124" s="1" t="s">
        <v>561</v>
      </c>
      <c r="G124" s="1" t="s">
        <v>562</v>
      </c>
      <c r="H124" s="1" t="s">
        <v>12</v>
      </c>
      <c r="I124" s="1" t="s">
        <v>5</v>
      </c>
      <c r="J124" s="1" t="s">
        <v>5</v>
      </c>
      <c r="K124" s="1" t="s">
        <v>12</v>
      </c>
      <c r="L124" s="1">
        <v>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3"/>
  <sheetViews>
    <sheetView topLeftCell="A87" workbookViewId="0">
      <selection activeCell="C87" sqref="C1:C1048576"/>
    </sheetView>
  </sheetViews>
  <sheetFormatPr defaultRowHeight="15.6" x14ac:dyDescent="0.3"/>
  <cols>
    <col min="1" max="16384" width="8.796875" style="1"/>
  </cols>
  <sheetData>
    <row r="1" spans="1:2" x14ac:dyDescent="0.3">
      <c r="A1" s="5" t="s">
        <v>97</v>
      </c>
      <c r="B1" s="5" t="s">
        <v>98</v>
      </c>
    </row>
    <row r="2" spans="1:2" x14ac:dyDescent="0.3">
      <c r="A2" s="1" t="s">
        <v>80</v>
      </c>
      <c r="B2" s="1" t="s">
        <v>81</v>
      </c>
    </row>
    <row r="3" spans="1:2" x14ac:dyDescent="0.3">
      <c r="A3" s="1" t="s">
        <v>80</v>
      </c>
      <c r="B3" s="1" t="s">
        <v>82</v>
      </c>
    </row>
    <row r="4" spans="1:2" x14ac:dyDescent="0.3">
      <c r="A4" s="1" t="s">
        <v>82</v>
      </c>
      <c r="B4" s="1" t="s">
        <v>83</v>
      </c>
    </row>
    <row r="5" spans="1:2" x14ac:dyDescent="0.3">
      <c r="A5" s="1" t="s">
        <v>83</v>
      </c>
      <c r="B5" s="1" t="s">
        <v>84</v>
      </c>
    </row>
    <row r="6" spans="1:2" x14ac:dyDescent="0.3">
      <c r="A6" s="1" t="s">
        <v>84</v>
      </c>
      <c r="B6" s="1" t="s">
        <v>85</v>
      </c>
    </row>
    <row r="7" spans="1:2" x14ac:dyDescent="0.3">
      <c r="A7" s="1" t="s">
        <v>84</v>
      </c>
      <c r="B7" s="1" t="s">
        <v>87</v>
      </c>
    </row>
    <row r="8" spans="1:2" x14ac:dyDescent="0.3">
      <c r="A8" s="1" t="s">
        <v>84</v>
      </c>
      <c r="B8" s="1" t="s">
        <v>88</v>
      </c>
    </row>
    <row r="9" spans="1:2" x14ac:dyDescent="0.3">
      <c r="A9" s="1" t="s">
        <v>80</v>
      </c>
      <c r="B9" s="1" t="s">
        <v>89</v>
      </c>
    </row>
    <row r="10" spans="1:2" x14ac:dyDescent="0.3">
      <c r="A10" s="1" t="s">
        <v>89</v>
      </c>
      <c r="B10" s="1" t="s">
        <v>91</v>
      </c>
    </row>
    <row r="11" spans="1:2" x14ac:dyDescent="0.3">
      <c r="A11" s="1" t="s">
        <v>91</v>
      </c>
      <c r="B11" s="1" t="s">
        <v>92</v>
      </c>
    </row>
    <row r="12" spans="1:2" x14ac:dyDescent="0.3">
      <c r="A12" s="1" t="s">
        <v>91</v>
      </c>
      <c r="B12" s="1" t="s">
        <v>93</v>
      </c>
    </row>
    <row r="13" spans="1:2" x14ac:dyDescent="0.3">
      <c r="A13" s="1" t="s">
        <v>91</v>
      </c>
      <c r="B13" s="1" t="s">
        <v>94</v>
      </c>
    </row>
    <row r="14" spans="1:2" x14ac:dyDescent="0.3">
      <c r="A14" s="1" t="s">
        <v>94</v>
      </c>
      <c r="B14" s="1" t="s">
        <v>194</v>
      </c>
    </row>
    <row r="15" spans="1:2" x14ac:dyDescent="0.3">
      <c r="A15" s="1" t="s">
        <v>94</v>
      </c>
      <c r="B15" s="1" t="s">
        <v>195</v>
      </c>
    </row>
    <row r="16" spans="1:2" x14ac:dyDescent="0.3">
      <c r="A16" s="1" t="s">
        <v>94</v>
      </c>
      <c r="B16" s="1" t="s">
        <v>207</v>
      </c>
    </row>
    <row r="17" spans="1:2" x14ac:dyDescent="0.3">
      <c r="A17" s="1" t="s">
        <v>94</v>
      </c>
      <c r="B17" s="1" t="s">
        <v>209</v>
      </c>
    </row>
    <row r="18" spans="1:2" x14ac:dyDescent="0.3">
      <c r="A18" s="1" t="s">
        <v>94</v>
      </c>
      <c r="B18" s="1" t="s">
        <v>211</v>
      </c>
    </row>
    <row r="19" spans="1:2" x14ac:dyDescent="0.3">
      <c r="A19" s="1" t="s">
        <v>91</v>
      </c>
      <c r="B19" s="1" t="s">
        <v>196</v>
      </c>
    </row>
    <row r="20" spans="1:2" x14ac:dyDescent="0.3">
      <c r="A20" s="1" t="s">
        <v>80</v>
      </c>
      <c r="B20" s="1" t="s">
        <v>213</v>
      </c>
    </row>
    <row r="21" spans="1:2" x14ac:dyDescent="0.3">
      <c r="A21" s="1" t="s">
        <v>213</v>
      </c>
      <c r="B21" s="1" t="s">
        <v>215</v>
      </c>
    </row>
    <row r="22" spans="1:2" x14ac:dyDescent="0.3">
      <c r="A22" s="1" t="s">
        <v>213</v>
      </c>
      <c r="B22" s="1" t="s">
        <v>217</v>
      </c>
    </row>
    <row r="23" spans="1:2" x14ac:dyDescent="0.3">
      <c r="A23" s="1" t="s">
        <v>213</v>
      </c>
      <c r="B23" s="1" t="s">
        <v>220</v>
      </c>
    </row>
    <row r="24" spans="1:2" x14ac:dyDescent="0.3">
      <c r="A24" s="1" t="s">
        <v>80</v>
      </c>
      <c r="B24" s="1" t="s">
        <v>222</v>
      </c>
    </row>
    <row r="25" spans="1:2" x14ac:dyDescent="0.3">
      <c r="A25" s="1" t="s">
        <v>222</v>
      </c>
      <c r="B25" s="1" t="s">
        <v>224</v>
      </c>
    </row>
    <row r="26" spans="1:2" x14ac:dyDescent="0.3">
      <c r="A26" s="1" t="s">
        <v>224</v>
      </c>
      <c r="B26" s="1" t="s">
        <v>226</v>
      </c>
    </row>
    <row r="27" spans="1:2" x14ac:dyDescent="0.3">
      <c r="A27" s="1" t="s">
        <v>226</v>
      </c>
      <c r="B27" s="1" t="s">
        <v>228</v>
      </c>
    </row>
    <row r="28" spans="1:2" x14ac:dyDescent="0.3">
      <c r="A28" s="1" t="s">
        <v>226</v>
      </c>
      <c r="B28" s="1" t="s">
        <v>230</v>
      </c>
    </row>
    <row r="29" spans="1:2" x14ac:dyDescent="0.3">
      <c r="A29" s="1" t="s">
        <v>222</v>
      </c>
      <c r="B29" s="1" t="s">
        <v>232</v>
      </c>
    </row>
    <row r="30" spans="1:2" x14ac:dyDescent="0.3">
      <c r="A30" s="1" t="s">
        <v>232</v>
      </c>
      <c r="B30" s="1" t="s">
        <v>234</v>
      </c>
    </row>
    <row r="31" spans="1:2" x14ac:dyDescent="0.3">
      <c r="A31" s="1" t="s">
        <v>234</v>
      </c>
      <c r="B31" s="1" t="s">
        <v>236</v>
      </c>
    </row>
    <row r="32" spans="1:2" x14ac:dyDescent="0.3">
      <c r="A32" s="1" t="s">
        <v>234</v>
      </c>
      <c r="B32" s="1" t="s">
        <v>238</v>
      </c>
    </row>
    <row r="33" spans="1:2" x14ac:dyDescent="0.3">
      <c r="A33" s="1" t="s">
        <v>232</v>
      </c>
      <c r="B33" s="1" t="s">
        <v>239</v>
      </c>
    </row>
    <row r="34" spans="1:2" x14ac:dyDescent="0.3">
      <c r="A34" s="1" t="s">
        <v>239</v>
      </c>
      <c r="B34" s="1" t="s">
        <v>241</v>
      </c>
    </row>
    <row r="35" spans="1:2" x14ac:dyDescent="0.3">
      <c r="A35" s="1" t="s">
        <v>239</v>
      </c>
      <c r="B35" s="1" t="s">
        <v>243</v>
      </c>
    </row>
    <row r="36" spans="1:2" x14ac:dyDescent="0.3">
      <c r="A36" s="1" t="s">
        <v>232</v>
      </c>
      <c r="B36" s="1" t="s">
        <v>244</v>
      </c>
    </row>
    <row r="37" spans="1:2" x14ac:dyDescent="0.3">
      <c r="A37" s="1" t="s">
        <v>244</v>
      </c>
      <c r="B37" s="1" t="s">
        <v>246</v>
      </c>
    </row>
    <row r="38" spans="1:2" x14ac:dyDescent="0.3">
      <c r="A38" s="1" t="s">
        <v>222</v>
      </c>
      <c r="B38" s="1" t="s">
        <v>248</v>
      </c>
    </row>
    <row r="39" spans="1:2" x14ac:dyDescent="0.3">
      <c r="A39" s="1" t="s">
        <v>248</v>
      </c>
      <c r="B39" s="1" t="s">
        <v>250</v>
      </c>
    </row>
    <row r="40" spans="1:2" x14ac:dyDescent="0.3">
      <c r="A40" s="1" t="s">
        <v>80</v>
      </c>
      <c r="B40" s="1" t="s">
        <v>252</v>
      </c>
    </row>
    <row r="41" spans="1:2" x14ac:dyDescent="0.3">
      <c r="A41" s="1" t="s">
        <v>252</v>
      </c>
      <c r="B41" s="1" t="s">
        <v>563</v>
      </c>
    </row>
    <row r="42" spans="1:2" x14ac:dyDescent="0.3">
      <c r="A42" s="1" t="s">
        <v>252</v>
      </c>
      <c r="B42" s="1" t="s">
        <v>253</v>
      </c>
    </row>
    <row r="43" spans="1:2" x14ac:dyDescent="0.3">
      <c r="A43" s="1" t="s">
        <v>252</v>
      </c>
      <c r="B43" s="1" t="s">
        <v>255</v>
      </c>
    </row>
    <row r="44" spans="1:2" x14ac:dyDescent="0.3">
      <c r="A44" s="1" t="s">
        <v>252</v>
      </c>
      <c r="B44" s="1" t="s">
        <v>257</v>
      </c>
    </row>
    <row r="45" spans="1:2" x14ac:dyDescent="0.3">
      <c r="A45" s="1" t="s">
        <v>80</v>
      </c>
      <c r="B45" s="1" t="s">
        <v>259</v>
      </c>
    </row>
    <row r="46" spans="1:2" x14ac:dyDescent="0.3">
      <c r="A46" s="1" t="s">
        <v>259</v>
      </c>
      <c r="B46" s="1" t="s">
        <v>261</v>
      </c>
    </row>
    <row r="47" spans="1:2" x14ac:dyDescent="0.3">
      <c r="A47" s="1" t="s">
        <v>261</v>
      </c>
      <c r="B47" s="1" t="s">
        <v>262</v>
      </c>
    </row>
    <row r="48" spans="1:2" x14ac:dyDescent="0.3">
      <c r="A48" s="1" t="s">
        <v>259</v>
      </c>
      <c r="B48" s="1" t="s">
        <v>264</v>
      </c>
    </row>
    <row r="49" spans="1:2" x14ac:dyDescent="0.3">
      <c r="A49" s="1" t="s">
        <v>264</v>
      </c>
      <c r="B49" s="1" t="s">
        <v>265</v>
      </c>
    </row>
    <row r="50" spans="1:2" x14ac:dyDescent="0.3">
      <c r="A50" s="1" t="s">
        <v>259</v>
      </c>
      <c r="B50" s="1" t="s">
        <v>267</v>
      </c>
    </row>
    <row r="51" spans="1:2" x14ac:dyDescent="0.3">
      <c r="A51" s="1" t="s">
        <v>80</v>
      </c>
      <c r="B51" s="1" t="s">
        <v>269</v>
      </c>
    </row>
    <row r="52" spans="1:2" x14ac:dyDescent="0.3">
      <c r="A52" s="1" t="s">
        <v>269</v>
      </c>
      <c r="B52" s="1" t="s">
        <v>271</v>
      </c>
    </row>
    <row r="53" spans="1:2" x14ac:dyDescent="0.3">
      <c r="A53" s="1" t="s">
        <v>269</v>
      </c>
      <c r="B53" s="1" t="s">
        <v>272</v>
      </c>
    </row>
    <row r="54" spans="1:2" x14ac:dyDescent="0.3">
      <c r="A54" s="1" t="s">
        <v>272</v>
      </c>
      <c r="B54" s="1" t="s">
        <v>273</v>
      </c>
    </row>
    <row r="55" spans="1:2" x14ac:dyDescent="0.3">
      <c r="A55" s="1" t="s">
        <v>272</v>
      </c>
      <c r="B55" s="1" t="s">
        <v>275</v>
      </c>
    </row>
    <row r="56" spans="1:2" x14ac:dyDescent="0.3">
      <c r="A56" s="1" t="s">
        <v>269</v>
      </c>
      <c r="B56" s="1" t="s">
        <v>277</v>
      </c>
    </row>
    <row r="57" spans="1:2" x14ac:dyDescent="0.3">
      <c r="A57" s="1" t="s">
        <v>277</v>
      </c>
      <c r="B57" s="1" t="s">
        <v>278</v>
      </c>
    </row>
    <row r="58" spans="1:2" x14ac:dyDescent="0.3">
      <c r="A58" s="1" t="s">
        <v>269</v>
      </c>
      <c r="B58" s="1" t="s">
        <v>279</v>
      </c>
    </row>
    <row r="59" spans="1:2" x14ac:dyDescent="0.3">
      <c r="A59" s="1" t="s">
        <v>80</v>
      </c>
      <c r="B59" s="1" t="s">
        <v>281</v>
      </c>
    </row>
    <row r="60" spans="1:2" x14ac:dyDescent="0.3">
      <c r="A60" s="1" t="s">
        <v>281</v>
      </c>
      <c r="B60" s="1" t="s">
        <v>283</v>
      </c>
    </row>
    <row r="61" spans="1:2" x14ac:dyDescent="0.3">
      <c r="A61" s="1" t="s">
        <v>281</v>
      </c>
      <c r="B61" s="1" t="s">
        <v>285</v>
      </c>
    </row>
    <row r="62" spans="1:2" x14ac:dyDescent="0.3">
      <c r="A62" s="1" t="s">
        <v>281</v>
      </c>
      <c r="B62" s="1" t="s">
        <v>287</v>
      </c>
    </row>
    <row r="63" spans="1:2" x14ac:dyDescent="0.3">
      <c r="A63" s="1" t="s">
        <v>283</v>
      </c>
      <c r="B63" s="1" t="s">
        <v>289</v>
      </c>
    </row>
    <row r="64" spans="1:2" x14ac:dyDescent="0.3">
      <c r="A64" s="1" t="s">
        <v>80</v>
      </c>
      <c r="B64" s="1" t="s">
        <v>290</v>
      </c>
    </row>
    <row r="65" spans="1:2" x14ac:dyDescent="0.3">
      <c r="A65" s="1" t="s">
        <v>290</v>
      </c>
      <c r="B65" s="1" t="s">
        <v>292</v>
      </c>
    </row>
    <row r="66" spans="1:2" x14ac:dyDescent="0.3">
      <c r="A66" s="1" t="s">
        <v>290</v>
      </c>
      <c r="B66" s="1" t="s">
        <v>293</v>
      </c>
    </row>
    <row r="67" spans="1:2" x14ac:dyDescent="0.3">
      <c r="A67" s="1" t="s">
        <v>290</v>
      </c>
      <c r="B67" s="1" t="s">
        <v>295</v>
      </c>
    </row>
    <row r="68" spans="1:2" x14ac:dyDescent="0.3">
      <c r="A68" s="1" t="s">
        <v>80</v>
      </c>
      <c r="B68" s="1" t="s">
        <v>564</v>
      </c>
    </row>
    <row r="69" spans="1:2" x14ac:dyDescent="0.3">
      <c r="A69" s="1" t="s">
        <v>564</v>
      </c>
      <c r="B69" s="1" t="s">
        <v>296</v>
      </c>
    </row>
    <row r="70" spans="1:2" x14ac:dyDescent="0.3">
      <c r="A70" s="1" t="s">
        <v>296</v>
      </c>
      <c r="B70" s="1" t="s">
        <v>298</v>
      </c>
    </row>
    <row r="71" spans="1:2" x14ac:dyDescent="0.3">
      <c r="A71" s="1" t="s">
        <v>298</v>
      </c>
      <c r="B71" s="1" t="s">
        <v>299</v>
      </c>
    </row>
    <row r="72" spans="1:2" x14ac:dyDescent="0.3">
      <c r="A72" s="1" t="s">
        <v>298</v>
      </c>
      <c r="B72" s="1" t="s">
        <v>300</v>
      </c>
    </row>
    <row r="73" spans="1:2" x14ac:dyDescent="0.3">
      <c r="A73" s="1" t="s">
        <v>298</v>
      </c>
      <c r="B73" s="1" t="s">
        <v>302</v>
      </c>
    </row>
    <row r="74" spans="1:2" x14ac:dyDescent="0.3">
      <c r="A74" s="1" t="s">
        <v>296</v>
      </c>
      <c r="B74" s="1" t="s">
        <v>304</v>
      </c>
    </row>
    <row r="75" spans="1:2" x14ac:dyDescent="0.3">
      <c r="A75" s="1" t="s">
        <v>304</v>
      </c>
      <c r="B75" s="1" t="s">
        <v>306</v>
      </c>
    </row>
    <row r="76" spans="1:2" x14ac:dyDescent="0.3">
      <c r="A76" s="1" t="s">
        <v>304</v>
      </c>
      <c r="B76" s="1" t="s">
        <v>308</v>
      </c>
    </row>
    <row r="77" spans="1:2" x14ac:dyDescent="0.3">
      <c r="A77" s="1" t="s">
        <v>304</v>
      </c>
      <c r="B77" s="1" t="s">
        <v>310</v>
      </c>
    </row>
    <row r="78" spans="1:2" x14ac:dyDescent="0.3">
      <c r="A78" s="1" t="s">
        <v>304</v>
      </c>
      <c r="B78" s="1" t="s">
        <v>312</v>
      </c>
    </row>
    <row r="79" spans="1:2" x14ac:dyDescent="0.3">
      <c r="A79" s="1" t="s">
        <v>564</v>
      </c>
      <c r="B79" s="1" t="s">
        <v>313</v>
      </c>
    </row>
    <row r="80" spans="1:2" x14ac:dyDescent="0.3">
      <c r="A80" s="1" t="s">
        <v>80</v>
      </c>
      <c r="B80" s="1" t="s">
        <v>315</v>
      </c>
    </row>
    <row r="81" spans="1:2" x14ac:dyDescent="0.3">
      <c r="A81" s="1" t="s">
        <v>80</v>
      </c>
      <c r="B81" s="1" t="s">
        <v>317</v>
      </c>
    </row>
    <row r="82" spans="1:2" x14ac:dyDescent="0.3">
      <c r="A82" s="1" t="s">
        <v>317</v>
      </c>
      <c r="B82" s="1" t="s">
        <v>319</v>
      </c>
    </row>
    <row r="83" spans="1:2" x14ac:dyDescent="0.3">
      <c r="A83" s="1" t="s">
        <v>317</v>
      </c>
      <c r="B83" s="1" t="s">
        <v>321</v>
      </c>
    </row>
    <row r="84" spans="1:2" x14ac:dyDescent="0.3">
      <c r="A84" s="1" t="s">
        <v>80</v>
      </c>
      <c r="B84" s="1" t="s">
        <v>324</v>
      </c>
    </row>
    <row r="85" spans="1:2" x14ac:dyDescent="0.3">
      <c r="A85" s="1" t="s">
        <v>324</v>
      </c>
      <c r="B85" s="1" t="s">
        <v>326</v>
      </c>
    </row>
    <row r="86" spans="1:2" x14ac:dyDescent="0.3">
      <c r="A86" s="1" t="s">
        <v>324</v>
      </c>
      <c r="B86" s="1" t="s">
        <v>330</v>
      </c>
    </row>
    <row r="87" spans="1:2" x14ac:dyDescent="0.3">
      <c r="A87" s="1" t="s">
        <v>330</v>
      </c>
      <c r="B87" s="1" t="s">
        <v>332</v>
      </c>
    </row>
    <row r="88" spans="1:2" x14ac:dyDescent="0.3">
      <c r="A88" s="1" t="s">
        <v>330</v>
      </c>
      <c r="B88" s="1" t="s">
        <v>334</v>
      </c>
    </row>
    <row r="89" spans="1:2" x14ac:dyDescent="0.3">
      <c r="A89" s="1" t="s">
        <v>80</v>
      </c>
      <c r="B89" s="1" t="s">
        <v>335</v>
      </c>
    </row>
    <row r="90" spans="1:2" x14ac:dyDescent="0.3">
      <c r="A90" s="1" t="s">
        <v>335</v>
      </c>
      <c r="B90" s="1" t="s">
        <v>337</v>
      </c>
    </row>
    <row r="91" spans="1:2" x14ac:dyDescent="0.3">
      <c r="A91" s="1" t="s">
        <v>80</v>
      </c>
      <c r="B91" s="1" t="s">
        <v>339</v>
      </c>
    </row>
    <row r="92" spans="1:2" x14ac:dyDescent="0.3">
      <c r="A92" s="1" t="s">
        <v>339</v>
      </c>
      <c r="B92" s="1" t="s">
        <v>341</v>
      </c>
    </row>
    <row r="93" spans="1:2" x14ac:dyDescent="0.3">
      <c r="A93" s="1" t="s">
        <v>339</v>
      </c>
      <c r="B93" s="1" t="s">
        <v>342</v>
      </c>
    </row>
    <row r="94" spans="1:2" x14ac:dyDescent="0.3">
      <c r="A94" s="1" t="s">
        <v>339</v>
      </c>
      <c r="B94" s="1" t="s">
        <v>344</v>
      </c>
    </row>
    <row r="95" spans="1:2" x14ac:dyDescent="0.3">
      <c r="A95" s="1" t="s">
        <v>344</v>
      </c>
      <c r="B95" s="1" t="s">
        <v>346</v>
      </c>
    </row>
    <row r="96" spans="1:2" x14ac:dyDescent="0.3">
      <c r="A96" s="1" t="s">
        <v>80</v>
      </c>
      <c r="B96" s="1" t="s">
        <v>348</v>
      </c>
    </row>
    <row r="97" spans="1:2" x14ac:dyDescent="0.3">
      <c r="A97" s="1" t="s">
        <v>348</v>
      </c>
      <c r="B97" s="1" t="s">
        <v>350</v>
      </c>
    </row>
    <row r="98" spans="1:2" x14ac:dyDescent="0.3">
      <c r="A98" s="1" t="s">
        <v>348</v>
      </c>
      <c r="B98" s="1" t="s">
        <v>352</v>
      </c>
    </row>
    <row r="99" spans="1:2" x14ac:dyDescent="0.3">
      <c r="A99" s="1" t="s">
        <v>348</v>
      </c>
      <c r="B99" s="1" t="s">
        <v>354</v>
      </c>
    </row>
    <row r="100" spans="1:2" x14ac:dyDescent="0.3">
      <c r="A100" s="1" t="s">
        <v>348</v>
      </c>
      <c r="B100" s="1" t="s">
        <v>356</v>
      </c>
    </row>
    <row r="101" spans="1:2" x14ac:dyDescent="0.3">
      <c r="A101" s="1" t="s">
        <v>348</v>
      </c>
      <c r="B101" s="1" t="s">
        <v>357</v>
      </c>
    </row>
    <row r="102" spans="1:2" x14ac:dyDescent="0.3">
      <c r="A102" s="1" t="s">
        <v>80</v>
      </c>
      <c r="B102" s="1" t="s">
        <v>359</v>
      </c>
    </row>
    <row r="103" spans="1:2" x14ac:dyDescent="0.3">
      <c r="A103" s="1" t="s">
        <v>359</v>
      </c>
      <c r="B103" s="1" t="s">
        <v>361</v>
      </c>
    </row>
    <row r="104" spans="1:2" x14ac:dyDescent="0.3">
      <c r="A104" s="1" t="s">
        <v>80</v>
      </c>
      <c r="B104" s="1" t="s">
        <v>363</v>
      </c>
    </row>
    <row r="105" spans="1:2" x14ac:dyDescent="0.3">
      <c r="A105" s="1" t="s">
        <v>363</v>
      </c>
      <c r="B105" s="1" t="s">
        <v>364</v>
      </c>
    </row>
    <row r="106" spans="1:2" x14ac:dyDescent="0.3">
      <c r="A106" s="1" t="s">
        <v>80</v>
      </c>
      <c r="B106" s="1" t="s">
        <v>366</v>
      </c>
    </row>
    <row r="107" spans="1:2" x14ac:dyDescent="0.3">
      <c r="A107" s="1" t="s">
        <v>368</v>
      </c>
      <c r="B107" s="1" t="s">
        <v>368</v>
      </c>
    </row>
    <row r="108" spans="1:2" x14ac:dyDescent="0.3">
      <c r="A108" s="1" t="s">
        <v>80</v>
      </c>
      <c r="B108" s="1" t="s">
        <v>370</v>
      </c>
    </row>
    <row r="109" spans="1:2" x14ac:dyDescent="0.3">
      <c r="A109" s="1" t="s">
        <v>80</v>
      </c>
      <c r="B109" s="1" t="s">
        <v>372</v>
      </c>
    </row>
    <row r="110" spans="1:2" x14ac:dyDescent="0.3">
      <c r="A110" s="1" t="s">
        <v>372</v>
      </c>
      <c r="B110" s="1" t="s">
        <v>374</v>
      </c>
    </row>
    <row r="111" spans="1:2" x14ac:dyDescent="0.3">
      <c r="A111" s="1" t="s">
        <v>374</v>
      </c>
      <c r="B111" s="1" t="s">
        <v>376</v>
      </c>
    </row>
    <row r="112" spans="1:2" x14ac:dyDescent="0.3">
      <c r="A112" s="1" t="s">
        <v>376</v>
      </c>
      <c r="B112" s="1" t="s">
        <v>378</v>
      </c>
    </row>
    <row r="113" spans="1:2" x14ac:dyDescent="0.3">
      <c r="A113" s="1" t="s">
        <v>376</v>
      </c>
      <c r="B113" s="1" t="s">
        <v>380</v>
      </c>
    </row>
    <row r="114" spans="1:2" x14ac:dyDescent="0.3">
      <c r="A114" s="1" t="s">
        <v>376</v>
      </c>
      <c r="B114" s="1" t="s">
        <v>382</v>
      </c>
    </row>
    <row r="115" spans="1:2" x14ac:dyDescent="0.3">
      <c r="A115" s="1" t="s">
        <v>80</v>
      </c>
      <c r="B115" s="1" t="s">
        <v>384</v>
      </c>
    </row>
    <row r="116" spans="1:2" x14ac:dyDescent="0.3">
      <c r="A116" s="1" t="s">
        <v>384</v>
      </c>
      <c r="B116" s="1" t="s">
        <v>386</v>
      </c>
    </row>
    <row r="117" spans="1:2" x14ac:dyDescent="0.3">
      <c r="A117" s="1" t="s">
        <v>80</v>
      </c>
      <c r="B117" s="1" t="s">
        <v>388</v>
      </c>
    </row>
    <row r="118" spans="1:2" x14ac:dyDescent="0.3">
      <c r="A118" s="1" t="s">
        <v>388</v>
      </c>
      <c r="B118" s="1" t="s">
        <v>390</v>
      </c>
    </row>
    <row r="119" spans="1:2" x14ac:dyDescent="0.3">
      <c r="A119" s="1" t="s">
        <v>388</v>
      </c>
      <c r="B119" s="1" t="s">
        <v>392</v>
      </c>
    </row>
    <row r="120" spans="1:2" x14ac:dyDescent="0.3">
      <c r="A120" s="1" t="s">
        <v>80</v>
      </c>
      <c r="B120" s="1" t="s">
        <v>394</v>
      </c>
    </row>
    <row r="121" spans="1:2" x14ac:dyDescent="0.3">
      <c r="A121" s="1" t="s">
        <v>394</v>
      </c>
      <c r="B121" s="1" t="s">
        <v>565</v>
      </c>
    </row>
    <row r="122" spans="1:2" x14ac:dyDescent="0.3">
      <c r="A122" s="1" t="s">
        <v>80</v>
      </c>
      <c r="B122" s="1" t="s">
        <v>566</v>
      </c>
    </row>
    <row r="123" spans="1:2" x14ac:dyDescent="0.3">
      <c r="A123" s="1" t="s">
        <v>80</v>
      </c>
      <c r="B123" s="1" t="s">
        <v>567</v>
      </c>
    </row>
  </sheetData>
  <sortState ref="A2:B123">
    <sortCondition ref="A2:A123"/>
    <sortCondition ref="B2:B123"/>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8"/>
  <sheetViews>
    <sheetView zoomScale="80" zoomScaleNormal="80" workbookViewId="0">
      <pane xSplit="5" ySplit="1" topLeftCell="F71" activePane="bottomRight" state="frozen"/>
      <selection pane="topRight" activeCell="E1" sqref="E1"/>
      <selection pane="bottomLeft" activeCell="A2" sqref="A2"/>
      <selection pane="bottomRight" activeCell="E1" sqref="E1:E1048576"/>
    </sheetView>
  </sheetViews>
  <sheetFormatPr defaultRowHeight="15.6" x14ac:dyDescent="0.3"/>
  <cols>
    <col min="1" max="1" width="9.8984375" style="1" bestFit="1" customWidth="1"/>
    <col min="2" max="2" width="29.19921875" style="1" customWidth="1"/>
    <col min="3" max="4" width="17.3984375" style="1" customWidth="1"/>
    <col min="5" max="6" width="30.69921875" style="1" customWidth="1"/>
    <col min="7" max="7" width="37.8984375" style="1" customWidth="1"/>
    <col min="8" max="8" width="16.09765625" style="1" bestFit="1" customWidth="1"/>
    <col min="9" max="9" width="46.3984375" style="1" customWidth="1"/>
    <col min="10" max="16384" width="8.796875" style="1"/>
  </cols>
  <sheetData>
    <row r="1" spans="1:21" x14ac:dyDescent="0.3">
      <c r="A1" s="3" t="s">
        <v>176</v>
      </c>
      <c r="B1" s="3" t="s">
        <v>177</v>
      </c>
      <c r="C1" s="3" t="s">
        <v>172</v>
      </c>
      <c r="D1" s="3" t="s">
        <v>174</v>
      </c>
      <c r="E1" s="3" t="s">
        <v>178</v>
      </c>
      <c r="F1" s="3" t="s">
        <v>197</v>
      </c>
      <c r="G1" s="3" t="s">
        <v>173</v>
      </c>
      <c r="H1" s="3" t="s">
        <v>175</v>
      </c>
      <c r="I1" s="3" t="s">
        <v>74</v>
      </c>
      <c r="J1" s="3" t="s">
        <v>179</v>
      </c>
      <c r="K1" s="3" t="s">
        <v>180</v>
      </c>
      <c r="L1" s="3" t="s">
        <v>181</v>
      </c>
      <c r="M1" s="3" t="s">
        <v>182</v>
      </c>
      <c r="N1" s="3" t="s">
        <v>183</v>
      </c>
      <c r="O1" s="3" t="s">
        <v>168</v>
      </c>
      <c r="P1" s="3" t="s">
        <v>184</v>
      </c>
      <c r="Q1" s="3" t="s">
        <v>169</v>
      </c>
      <c r="R1" s="3" t="s">
        <v>185</v>
      </c>
      <c r="S1" s="3" t="s">
        <v>186</v>
      </c>
      <c r="T1" s="3" t="s">
        <v>187</v>
      </c>
      <c r="U1" s="3" t="s">
        <v>162</v>
      </c>
    </row>
    <row r="2" spans="1:21" x14ac:dyDescent="0.3">
      <c r="A2" s="1" t="s">
        <v>100</v>
      </c>
      <c r="B2" s="1" t="s">
        <v>20</v>
      </c>
      <c r="C2" s="1" t="s">
        <v>18</v>
      </c>
      <c r="D2" s="12" t="s">
        <v>81</v>
      </c>
      <c r="E2" s="1" t="s">
        <v>198</v>
      </c>
      <c r="F2" s="1" t="str">
        <f>CONCATENATE(E2,": ",B2)</f>
        <v>Ag-Production Ag: The Water Source</v>
      </c>
      <c r="G2" s="1" t="str">
        <f>VLOOKUP($D2,orgNodes!$A$2:$D$124,3,FALSE)</f>
        <v>Department of Agriculture</v>
      </c>
      <c r="H2" s="12">
        <f>VLOOKUP($D2,orgNodes!$A$2:$D$124,4,FALSE)</f>
        <v>2</v>
      </c>
      <c r="I2" s="6" t="s">
        <v>21</v>
      </c>
      <c r="J2" s="1" t="s">
        <v>8</v>
      </c>
      <c r="K2" s="1" t="s">
        <v>2</v>
      </c>
      <c r="L2" s="1" t="s">
        <v>5</v>
      </c>
      <c r="M2" s="1" t="s">
        <v>10</v>
      </c>
      <c r="N2" s="1" t="s">
        <v>163</v>
      </c>
      <c r="O2" s="1" t="s">
        <v>12</v>
      </c>
      <c r="P2" s="1" t="s">
        <v>170</v>
      </c>
      <c r="Q2" s="1" t="s">
        <v>12</v>
      </c>
      <c r="R2" s="1" t="s">
        <v>12</v>
      </c>
      <c r="S2" s="1" t="s">
        <v>12</v>
      </c>
      <c r="T2" s="1" t="s">
        <v>13</v>
      </c>
      <c r="U2" s="1" t="s">
        <v>164</v>
      </c>
    </row>
    <row r="3" spans="1:21" x14ac:dyDescent="0.3">
      <c r="A3" s="1" t="s">
        <v>101</v>
      </c>
      <c r="B3" s="1" t="s">
        <v>25</v>
      </c>
      <c r="C3" s="1" t="s">
        <v>23</v>
      </c>
      <c r="D3" s="12" t="s">
        <v>85</v>
      </c>
      <c r="E3" s="1" t="s">
        <v>199</v>
      </c>
      <c r="F3" s="1" t="str">
        <f>CONCATENATE(E3,": ",B3)</f>
        <v>TPWD-Water Quantity: Studies of Priority Groundwater Management Areas</v>
      </c>
      <c r="G3" s="1" t="str">
        <f>VLOOKUP($D3,orgNodes!$A$2:$D$124,3,FALSE)</f>
        <v>Department of Parks and Wildlife</v>
      </c>
      <c r="H3" s="12">
        <f>VLOOKUP($D3,orgNodes!$A$2:$D$124,4,FALSE)</f>
        <v>3</v>
      </c>
      <c r="I3" s="6" t="s">
        <v>24</v>
      </c>
      <c r="J3" s="1" t="s">
        <v>8</v>
      </c>
      <c r="K3" s="1" t="s">
        <v>2</v>
      </c>
      <c r="L3" s="1" t="s">
        <v>5</v>
      </c>
      <c r="M3" s="1" t="s">
        <v>9</v>
      </c>
      <c r="N3" s="1" t="s">
        <v>7</v>
      </c>
      <c r="O3" s="1" t="s">
        <v>12</v>
      </c>
      <c r="P3" s="1" t="s">
        <v>170</v>
      </c>
      <c r="Q3" s="1" t="s">
        <v>12</v>
      </c>
      <c r="R3" s="1" t="s">
        <v>12</v>
      </c>
      <c r="S3" s="1" t="s">
        <v>12</v>
      </c>
      <c r="T3" s="1" t="s">
        <v>13</v>
      </c>
      <c r="U3" s="1" t="s">
        <v>165</v>
      </c>
    </row>
    <row r="4" spans="1:21" x14ac:dyDescent="0.3">
      <c r="A4" s="1" t="s">
        <v>102</v>
      </c>
      <c r="B4" s="1" t="s">
        <v>26</v>
      </c>
      <c r="C4" s="1" t="s">
        <v>23</v>
      </c>
      <c r="D4" s="12" t="s">
        <v>85</v>
      </c>
      <c r="E4" s="1" t="s">
        <v>199</v>
      </c>
      <c r="F4" s="1" t="str">
        <f>CONCATENATE(E4,": ",B4)</f>
        <v>TPWD-Water Quantity: Ecologically Significant Streams</v>
      </c>
      <c r="G4" s="1" t="str">
        <f>VLOOKUP($D4,orgNodes!$A$2:$D$124,3,FALSE)</f>
        <v>Department of Parks and Wildlife</v>
      </c>
      <c r="H4" s="12">
        <f>VLOOKUP($D4,orgNodes!$A$2:$D$124,4,FALSE)</f>
        <v>3</v>
      </c>
      <c r="I4" s="6" t="s">
        <v>27</v>
      </c>
      <c r="J4" s="1" t="s">
        <v>8</v>
      </c>
      <c r="K4" s="1" t="s">
        <v>2</v>
      </c>
      <c r="L4" s="1" t="s">
        <v>5</v>
      </c>
      <c r="M4" s="1" t="s">
        <v>9</v>
      </c>
      <c r="N4" s="1" t="s">
        <v>7</v>
      </c>
      <c r="O4" s="1" t="s">
        <v>12</v>
      </c>
      <c r="P4" s="1" t="s">
        <v>170</v>
      </c>
      <c r="Q4" s="1" t="s">
        <v>5</v>
      </c>
      <c r="R4" s="1" t="s">
        <v>12</v>
      </c>
      <c r="S4" s="1" t="s">
        <v>12</v>
      </c>
      <c r="T4" s="1" t="s">
        <v>13</v>
      </c>
      <c r="U4" s="1" t="s">
        <v>165</v>
      </c>
    </row>
    <row r="5" spans="1:21" x14ac:dyDescent="0.3">
      <c r="A5" s="1" t="s">
        <v>103</v>
      </c>
      <c r="B5" s="1" t="s">
        <v>28</v>
      </c>
      <c r="C5" s="1" t="s">
        <v>4</v>
      </c>
      <c r="D5" s="12" t="s">
        <v>87</v>
      </c>
      <c r="E5" s="1" t="s">
        <v>200</v>
      </c>
      <c r="F5" s="1" t="str">
        <f>CONCATENATE(E5,": ",B5)</f>
        <v>TPWD-Water Quality: Water Quality Related Reports</v>
      </c>
      <c r="G5" s="1" t="str">
        <f>VLOOKUP($D5,orgNodes!$A$2:$D$124,3,FALSE)</f>
        <v>Department of Parks and Wildlife</v>
      </c>
      <c r="H5" s="12">
        <f>VLOOKUP($D5,orgNodes!$A$2:$D$124,4,FALSE)</f>
        <v>3</v>
      </c>
      <c r="I5" s="6" t="s">
        <v>29</v>
      </c>
      <c r="J5" s="1" t="s">
        <v>8</v>
      </c>
      <c r="K5" s="1" t="s">
        <v>2</v>
      </c>
      <c r="L5" s="1" t="s">
        <v>5</v>
      </c>
      <c r="M5" s="1" t="s">
        <v>9</v>
      </c>
      <c r="N5" s="1" t="s">
        <v>7</v>
      </c>
      <c r="O5" s="1" t="s">
        <v>5</v>
      </c>
      <c r="P5" s="1" t="s">
        <v>7</v>
      </c>
      <c r="Q5" s="1" t="s">
        <v>5</v>
      </c>
      <c r="R5" s="1" t="s">
        <v>167</v>
      </c>
      <c r="S5" s="1" t="s">
        <v>12</v>
      </c>
      <c r="T5" s="1" t="s">
        <v>13</v>
      </c>
      <c r="U5" s="1" t="s">
        <v>165</v>
      </c>
    </row>
    <row r="6" spans="1:21" x14ac:dyDescent="0.3">
      <c r="A6" s="1" t="s">
        <v>104</v>
      </c>
      <c r="B6" s="1" t="s">
        <v>31</v>
      </c>
      <c r="C6" s="1" t="s">
        <v>30</v>
      </c>
      <c r="D6" s="12" t="s">
        <v>88</v>
      </c>
      <c r="E6" s="1" t="s">
        <v>201</v>
      </c>
      <c r="F6" s="1" t="str">
        <f>CONCATENATE(E6,": ",B6)</f>
        <v>TPWD-River Studies: Reports on River Studies</v>
      </c>
      <c r="G6" s="1" t="str">
        <f>VLOOKUP($D6,orgNodes!$A$2:$D$124,3,FALSE)</f>
        <v>Department of Parks and Wildlife</v>
      </c>
      <c r="H6" s="12">
        <f>VLOOKUP($D6,orgNodes!$A$2:$D$124,4,FALSE)</f>
        <v>3</v>
      </c>
      <c r="I6" s="6" t="s">
        <v>32</v>
      </c>
      <c r="J6" s="1" t="s">
        <v>8</v>
      </c>
      <c r="K6" s="1" t="s">
        <v>2</v>
      </c>
      <c r="L6" s="1" t="s">
        <v>5</v>
      </c>
      <c r="M6" s="1" t="s">
        <v>9</v>
      </c>
      <c r="N6" s="1" t="s">
        <v>7</v>
      </c>
      <c r="O6" s="1" t="s">
        <v>5</v>
      </c>
      <c r="P6" s="1" t="s">
        <v>7</v>
      </c>
      <c r="Q6" s="1" t="s">
        <v>5</v>
      </c>
      <c r="R6" s="1" t="s">
        <v>171</v>
      </c>
      <c r="S6" s="1" t="s">
        <v>12</v>
      </c>
      <c r="T6" s="1" t="s">
        <v>6</v>
      </c>
      <c r="U6" s="1" t="s">
        <v>165</v>
      </c>
    </row>
    <row r="7" spans="1:21" x14ac:dyDescent="0.3">
      <c r="A7" s="1" t="s">
        <v>105</v>
      </c>
      <c r="B7" s="1" t="s">
        <v>42</v>
      </c>
      <c r="C7" s="1" t="s">
        <v>40</v>
      </c>
      <c r="D7" s="12" t="s">
        <v>196</v>
      </c>
      <c r="E7" s="1" t="s">
        <v>202</v>
      </c>
      <c r="F7" s="1" t="str">
        <f>CONCATENATE(E7,": ",B7)</f>
        <v>TCEQ-Water Supply: Drinking Water</v>
      </c>
      <c r="G7" s="1" t="str">
        <f>VLOOKUP($D7,orgNodes!$A$2:$D$124,3,FALSE)</f>
        <v>Texas Commission on Environmental Quality</v>
      </c>
      <c r="H7" s="12">
        <f>VLOOKUP($D7,orgNodes!$A$2:$D$124,4,FALSE)</f>
        <v>4</v>
      </c>
      <c r="I7" s="6" t="s">
        <v>43</v>
      </c>
      <c r="J7" s="1" t="s">
        <v>8</v>
      </c>
      <c r="K7" s="1" t="s">
        <v>2</v>
      </c>
      <c r="L7" s="1" t="s">
        <v>5</v>
      </c>
      <c r="M7" s="1" t="s">
        <v>9</v>
      </c>
      <c r="N7" s="1" t="s">
        <v>7</v>
      </c>
      <c r="O7" s="1" t="s">
        <v>5</v>
      </c>
      <c r="P7" s="1" t="s">
        <v>7</v>
      </c>
      <c r="Q7" s="1" t="s">
        <v>5</v>
      </c>
      <c r="R7" s="1" t="s">
        <v>171</v>
      </c>
      <c r="S7" s="1" t="s">
        <v>12</v>
      </c>
      <c r="T7" s="1" t="s">
        <v>14</v>
      </c>
      <c r="U7" s="1" t="s">
        <v>165</v>
      </c>
    </row>
    <row r="8" spans="1:21" x14ac:dyDescent="0.3">
      <c r="A8" s="1" t="s">
        <v>106</v>
      </c>
      <c r="B8" s="1" t="s">
        <v>16</v>
      </c>
      <c r="C8" s="1" t="s">
        <v>39</v>
      </c>
      <c r="D8" s="12" t="s">
        <v>94</v>
      </c>
      <c r="E8" s="1" t="s">
        <v>203</v>
      </c>
      <c r="F8" s="1" t="str">
        <f>CONCATENATE(E8,": ",B8)</f>
        <v>TCEQ-Water Quality Planning: Drinking Water Watch</v>
      </c>
      <c r="G8" s="1" t="str">
        <f>VLOOKUP($D8,orgNodes!$A$2:$D$124,3,FALSE)</f>
        <v>Texas Commission on Environmental Quality</v>
      </c>
      <c r="H8" s="12">
        <f>VLOOKUP($D8,orgNodes!$A$2:$D$124,4,FALSE)</f>
        <v>4</v>
      </c>
      <c r="I8" s="1" t="s">
        <v>44</v>
      </c>
      <c r="J8" s="1" t="s">
        <v>8</v>
      </c>
      <c r="K8" s="1" t="s">
        <v>2</v>
      </c>
      <c r="L8" s="1" t="s">
        <v>5</v>
      </c>
      <c r="M8" s="1" t="s">
        <v>15</v>
      </c>
      <c r="N8" s="1" t="s">
        <v>11</v>
      </c>
      <c r="O8" s="1" t="s">
        <v>12</v>
      </c>
      <c r="P8" s="1" t="s">
        <v>170</v>
      </c>
      <c r="Q8" s="1" t="s">
        <v>12</v>
      </c>
      <c r="R8" s="1" t="s">
        <v>12</v>
      </c>
      <c r="S8" s="1" t="s">
        <v>12</v>
      </c>
      <c r="T8" s="1" t="s">
        <v>13</v>
      </c>
      <c r="U8" s="1" t="s">
        <v>166</v>
      </c>
    </row>
    <row r="9" spans="1:21" x14ac:dyDescent="0.3">
      <c r="A9" s="1" t="s">
        <v>107</v>
      </c>
      <c r="B9" s="1" t="s">
        <v>46</v>
      </c>
      <c r="C9" s="1" t="s">
        <v>38</v>
      </c>
      <c r="D9" s="12" t="s">
        <v>92</v>
      </c>
      <c r="E9" s="1" t="s">
        <v>204</v>
      </c>
      <c r="F9" s="1" t="str">
        <f>CONCATENATE(E9,": ",B9)</f>
        <v>TCEQ-Water Availability: Water Rights and Water Use Data</v>
      </c>
      <c r="G9" s="1" t="str">
        <f>VLOOKUP($D9,orgNodes!$A$2:$D$124,3,FALSE)</f>
        <v>Texas Commission on Environmental Quality</v>
      </c>
      <c r="H9" s="12">
        <f>VLOOKUP($D9,orgNodes!$A$2:$D$124,4,FALSE)</f>
        <v>4</v>
      </c>
      <c r="I9" s="6" t="s">
        <v>47</v>
      </c>
      <c r="J9" s="1" t="s">
        <v>8</v>
      </c>
      <c r="K9" s="1" t="s">
        <v>2</v>
      </c>
      <c r="L9" s="1" t="s">
        <v>5</v>
      </c>
      <c r="M9" s="1" t="s">
        <v>9</v>
      </c>
      <c r="N9" s="1" t="s">
        <v>151</v>
      </c>
      <c r="O9" s="1" t="s">
        <v>5</v>
      </c>
      <c r="P9" s="1" t="s">
        <v>7</v>
      </c>
      <c r="Q9" s="1" t="s">
        <v>5</v>
      </c>
      <c r="R9" s="1" t="s">
        <v>171</v>
      </c>
      <c r="S9" s="1" t="s">
        <v>12</v>
      </c>
      <c r="T9" s="1" t="s">
        <v>14</v>
      </c>
      <c r="U9" s="1" t="s">
        <v>164</v>
      </c>
    </row>
    <row r="10" spans="1:21" x14ac:dyDescent="0.3">
      <c r="A10" s="1" t="s">
        <v>108</v>
      </c>
      <c r="B10" s="1" t="s">
        <v>48</v>
      </c>
      <c r="C10" s="1" t="s">
        <v>38</v>
      </c>
      <c r="D10" s="12" t="s">
        <v>92</v>
      </c>
      <c r="E10" s="1" t="s">
        <v>204</v>
      </c>
      <c r="F10" s="1" t="str">
        <f>CONCATENATE(E10,": ",B10)</f>
        <v>TCEQ-Water Availability: Water Availability Models</v>
      </c>
      <c r="G10" s="1" t="str">
        <f>VLOOKUP($D10,orgNodes!$A$2:$D$124,3,FALSE)</f>
        <v>Texas Commission on Environmental Quality</v>
      </c>
      <c r="H10" s="12">
        <f>VLOOKUP($D10,orgNodes!$A$2:$D$124,4,FALSE)</f>
        <v>4</v>
      </c>
      <c r="I10" s="6" t="s">
        <v>49</v>
      </c>
      <c r="J10" s="1" t="s">
        <v>8</v>
      </c>
      <c r="K10" s="1" t="s">
        <v>2</v>
      </c>
      <c r="L10" s="1" t="s">
        <v>1091</v>
      </c>
      <c r="M10" s="1" t="s">
        <v>9</v>
      </c>
      <c r="N10" s="1" t="s">
        <v>156</v>
      </c>
      <c r="O10" s="1" t="s">
        <v>5</v>
      </c>
      <c r="P10" s="1" t="s">
        <v>7</v>
      </c>
      <c r="Q10" s="1" t="s">
        <v>5</v>
      </c>
      <c r="R10" s="1" t="s">
        <v>167</v>
      </c>
      <c r="S10" s="1" t="s">
        <v>12</v>
      </c>
      <c r="T10" s="1" t="s">
        <v>6</v>
      </c>
      <c r="U10" s="1" t="s">
        <v>165</v>
      </c>
    </row>
    <row r="11" spans="1:21" x14ac:dyDescent="0.3">
      <c r="A11" s="1" t="s">
        <v>109</v>
      </c>
      <c r="B11" s="1" t="s">
        <v>50</v>
      </c>
      <c r="C11" s="1" t="s">
        <v>57</v>
      </c>
      <c r="D11" s="12" t="s">
        <v>194</v>
      </c>
      <c r="E11" s="1" t="s">
        <v>205</v>
      </c>
      <c r="F11" s="1" t="str">
        <f>CONCATENATE(E11,": ",B11)</f>
        <v>TCEQ-Water Quality Standards: Texas Integrated Report of Surface Water Quality</v>
      </c>
      <c r="G11" s="1" t="str">
        <f>VLOOKUP($D11,orgNodes!$A$2:$D$124,3,FALSE)</f>
        <v>Texas Commission on Environmental Quality</v>
      </c>
      <c r="H11" s="12">
        <f>VLOOKUP($D11,orgNodes!$A$2:$D$124,4,FALSE)</f>
        <v>4</v>
      </c>
      <c r="I11" s="6" t="s">
        <v>51</v>
      </c>
      <c r="J11" s="1" t="s">
        <v>8</v>
      </c>
      <c r="K11" s="1" t="s">
        <v>2</v>
      </c>
      <c r="L11" s="1" t="s">
        <v>5</v>
      </c>
      <c r="M11" s="1" t="s">
        <v>9</v>
      </c>
      <c r="N11" s="1" t="s">
        <v>7</v>
      </c>
      <c r="O11" s="1" t="s">
        <v>5</v>
      </c>
      <c r="P11" s="1" t="s">
        <v>7</v>
      </c>
      <c r="Q11" s="1" t="s">
        <v>5</v>
      </c>
      <c r="R11" s="1" t="s">
        <v>167</v>
      </c>
      <c r="S11" s="1" t="s">
        <v>12</v>
      </c>
      <c r="T11" s="1" t="s">
        <v>13</v>
      </c>
      <c r="U11" s="1" t="s">
        <v>164</v>
      </c>
    </row>
    <row r="12" spans="1:21" x14ac:dyDescent="0.3">
      <c r="A12" s="1" t="s">
        <v>110</v>
      </c>
      <c r="B12" s="1" t="s">
        <v>52</v>
      </c>
      <c r="C12" s="1" t="s">
        <v>58</v>
      </c>
      <c r="D12" s="12" t="s">
        <v>195</v>
      </c>
      <c r="E12" s="1" t="s">
        <v>206</v>
      </c>
      <c r="F12" s="1" t="str">
        <f>CONCATENATE(E12,": ",B12)</f>
        <v>TCEQ-TMDL: Segments with TMDLS</v>
      </c>
      <c r="G12" s="1" t="str">
        <f>VLOOKUP($D12,orgNodes!$A$2:$D$124,3,FALSE)</f>
        <v>Texas Commission on Environmental Quality</v>
      </c>
      <c r="H12" s="12">
        <f>VLOOKUP($D12,orgNodes!$A$2:$D$124,4,FALSE)</f>
        <v>4</v>
      </c>
      <c r="I12" s="6" t="s">
        <v>53</v>
      </c>
      <c r="J12" s="1" t="s">
        <v>8</v>
      </c>
      <c r="K12" s="1" t="s">
        <v>2</v>
      </c>
      <c r="L12" s="1" t="s">
        <v>5</v>
      </c>
      <c r="M12" s="1" t="s">
        <v>15</v>
      </c>
      <c r="N12" s="1" t="s">
        <v>11</v>
      </c>
      <c r="O12" s="1" t="s">
        <v>12</v>
      </c>
      <c r="P12" s="1" t="s">
        <v>170</v>
      </c>
      <c r="Q12" s="1" t="s">
        <v>12</v>
      </c>
      <c r="R12" s="1" t="s">
        <v>12</v>
      </c>
      <c r="S12" s="1" t="s">
        <v>12</v>
      </c>
      <c r="T12" s="1" t="s">
        <v>6</v>
      </c>
      <c r="U12" s="1" t="s">
        <v>165</v>
      </c>
    </row>
    <row r="13" spans="1:21" x14ac:dyDescent="0.3">
      <c r="A13" s="1" t="s">
        <v>568</v>
      </c>
      <c r="B13" s="1" t="s">
        <v>569</v>
      </c>
      <c r="C13" s="1" t="s">
        <v>208</v>
      </c>
      <c r="D13" s="12" t="s">
        <v>207</v>
      </c>
      <c r="E13" s="1" t="s">
        <v>749</v>
      </c>
      <c r="F13" s="1" t="str">
        <f>CONCATENATE(E13,": ",B13)</f>
        <v>TCEQ-Nonpoint Source Pollution: Watershed Protection Plans for Nonpoint Source Water Pollution</v>
      </c>
      <c r="G13" s="1" t="str">
        <f>VLOOKUP($D13,orgNodes!$A$2:$D$124,3,FALSE)</f>
        <v>Texas Commission on Environmental Quality</v>
      </c>
      <c r="H13" s="12">
        <f>VLOOKUP($D13,orgNodes!$A$2:$D$124,4,FALSE)</f>
        <v>4</v>
      </c>
      <c r="I13" s="1" t="s">
        <v>804</v>
      </c>
      <c r="J13" s="1" t="s">
        <v>8</v>
      </c>
      <c r="K13" s="1" t="s">
        <v>2</v>
      </c>
      <c r="L13" s="1" t="s">
        <v>5</v>
      </c>
      <c r="M13" s="1" t="s">
        <v>10</v>
      </c>
      <c r="N13" s="1" t="s">
        <v>7</v>
      </c>
      <c r="O13" s="1" t="s">
        <v>12</v>
      </c>
      <c r="P13" s="1" t="s">
        <v>170</v>
      </c>
      <c r="Q13" s="1" t="s">
        <v>12</v>
      </c>
      <c r="R13" s="1" t="s">
        <v>12</v>
      </c>
      <c r="S13" s="1" t="s">
        <v>12</v>
      </c>
      <c r="T13" s="1" t="s">
        <v>937</v>
      </c>
      <c r="U13" s="1" t="s">
        <v>165</v>
      </c>
    </row>
    <row r="14" spans="1:21" x14ac:dyDescent="0.3">
      <c r="A14" s="1" t="s">
        <v>570</v>
      </c>
      <c r="B14" s="1" t="s">
        <v>571</v>
      </c>
      <c r="C14" s="1" t="s">
        <v>210</v>
      </c>
      <c r="D14" s="12" t="s">
        <v>209</v>
      </c>
      <c r="E14" s="1" t="s">
        <v>750</v>
      </c>
      <c r="F14" s="1" t="str">
        <f>CONCATENATE(E14,": ",B14)</f>
        <v>TCEQ-Surface Water Quality Monitoring Program: Continuous Water Quality Monitoring Network</v>
      </c>
      <c r="G14" s="1" t="str">
        <f>VLOOKUP($D14,orgNodes!$A$2:$D$124,3,FALSE)</f>
        <v>Texas Commission on Environmental Quality</v>
      </c>
      <c r="H14" s="12">
        <f>VLOOKUP($D14,orgNodes!$A$2:$D$124,4,FALSE)</f>
        <v>4</v>
      </c>
      <c r="I14" s="1" t="s">
        <v>805</v>
      </c>
      <c r="J14" s="1" t="s">
        <v>8</v>
      </c>
      <c r="K14" s="1" t="s">
        <v>2</v>
      </c>
      <c r="L14" s="1" t="s">
        <v>5</v>
      </c>
      <c r="M14" s="1" t="s">
        <v>15</v>
      </c>
      <c r="N14" s="1" t="s">
        <v>11</v>
      </c>
      <c r="O14" s="1" t="s">
        <v>5</v>
      </c>
      <c r="P14" s="1" t="s">
        <v>938</v>
      </c>
      <c r="Q14" s="1" t="s">
        <v>12</v>
      </c>
      <c r="R14" s="1" t="s">
        <v>167</v>
      </c>
      <c r="S14" s="1" t="s">
        <v>12</v>
      </c>
      <c r="T14" s="1" t="s">
        <v>6</v>
      </c>
      <c r="U14" s="1" t="s">
        <v>166</v>
      </c>
    </row>
    <row r="15" spans="1:21" x14ac:dyDescent="0.3">
      <c r="A15" s="1" t="s">
        <v>572</v>
      </c>
      <c r="B15" s="1" t="s">
        <v>573</v>
      </c>
      <c r="C15" s="1" t="s">
        <v>38</v>
      </c>
      <c r="D15" s="12" t="s">
        <v>92</v>
      </c>
      <c r="E15" s="1" t="s">
        <v>204</v>
      </c>
      <c r="F15" s="1" t="str">
        <f>CONCATENATE(E15,": ",B15)</f>
        <v>TCEQ-Water Availability: Groundwater Contamination Viewer</v>
      </c>
      <c r="G15" s="1" t="str">
        <f>VLOOKUP($D15,orgNodes!$A$2:$D$124,3,FALSE)</f>
        <v>Texas Commission on Environmental Quality</v>
      </c>
      <c r="H15" s="12">
        <f>VLOOKUP($D15,orgNodes!$A$2:$D$124,4,FALSE)</f>
        <v>4</v>
      </c>
      <c r="I15" s="1" t="s">
        <v>806</v>
      </c>
      <c r="J15" s="1" t="s">
        <v>881</v>
      </c>
      <c r="K15" s="1" t="s">
        <v>882</v>
      </c>
      <c r="L15" s="1" t="s">
        <v>5</v>
      </c>
      <c r="M15" s="1" t="s">
        <v>883</v>
      </c>
      <c r="N15" s="1" t="s">
        <v>884</v>
      </c>
      <c r="O15" s="1" t="s">
        <v>5</v>
      </c>
      <c r="P15" s="1" t="s">
        <v>170</v>
      </c>
      <c r="Q15" s="1" t="s">
        <v>5</v>
      </c>
      <c r="R15" s="1" t="s">
        <v>12</v>
      </c>
      <c r="S15" s="1" t="s">
        <v>12</v>
      </c>
      <c r="T15" s="1" t="s">
        <v>13</v>
      </c>
      <c r="U15" s="1" t="s">
        <v>939</v>
      </c>
    </row>
    <row r="16" spans="1:21" x14ac:dyDescent="0.3">
      <c r="A16" s="1" t="s">
        <v>574</v>
      </c>
      <c r="B16" s="1" t="s">
        <v>575</v>
      </c>
      <c r="C16" s="1" t="s">
        <v>38</v>
      </c>
      <c r="D16" s="12" t="s">
        <v>92</v>
      </c>
      <c r="E16" s="1" t="s">
        <v>204</v>
      </c>
      <c r="F16" s="1" t="str">
        <f>CONCATENATE(E16,": ",B16)</f>
        <v>TCEQ-Water Availability: Pesticides and Groundwater</v>
      </c>
      <c r="G16" s="1" t="str">
        <f>VLOOKUP($D16,orgNodes!$A$2:$D$124,3,FALSE)</f>
        <v>Texas Commission on Environmental Quality</v>
      </c>
      <c r="H16" s="12">
        <f>VLOOKUP($D16,orgNodes!$A$2:$D$124,4,FALSE)</f>
        <v>4</v>
      </c>
      <c r="I16" s="1" t="s">
        <v>807</v>
      </c>
      <c r="J16" s="1" t="s">
        <v>8</v>
      </c>
      <c r="K16" s="1" t="s">
        <v>2</v>
      </c>
      <c r="L16" s="1" t="s">
        <v>12</v>
      </c>
      <c r="M16" s="1" t="s">
        <v>6</v>
      </c>
      <c r="N16" s="1" t="s">
        <v>6</v>
      </c>
      <c r="O16" s="1" t="s">
        <v>6</v>
      </c>
      <c r="P16" s="1" t="s">
        <v>6</v>
      </c>
      <c r="Q16" s="1" t="s">
        <v>6</v>
      </c>
      <c r="R16" s="1" t="s">
        <v>6</v>
      </c>
      <c r="S16" s="1" t="s">
        <v>6</v>
      </c>
      <c r="T16" s="1" t="s">
        <v>6</v>
      </c>
      <c r="U16" s="1" t="s">
        <v>6</v>
      </c>
    </row>
    <row r="17" spans="1:21" x14ac:dyDescent="0.3">
      <c r="A17" s="1" t="s">
        <v>576</v>
      </c>
      <c r="B17" s="1" t="s">
        <v>577</v>
      </c>
      <c r="C17" s="1" t="s">
        <v>40</v>
      </c>
      <c r="D17" s="12" t="s">
        <v>196</v>
      </c>
      <c r="E17" s="1" t="s">
        <v>202</v>
      </c>
      <c r="F17" s="1" t="str">
        <f>CONCATENATE(E17,": ",B17)</f>
        <v>TCEQ-Water Supply: List of Texas PWSs Limiting Water Use to Avoid Shortages</v>
      </c>
      <c r="G17" s="1" t="str">
        <f>VLOOKUP($D17,orgNodes!$A$2:$D$124,3,FALSE)</f>
        <v>Texas Commission on Environmental Quality</v>
      </c>
      <c r="H17" s="12">
        <f>VLOOKUP($D17,orgNodes!$A$2:$D$124,4,FALSE)</f>
        <v>4</v>
      </c>
      <c r="I17" s="1" t="s">
        <v>808</v>
      </c>
      <c r="J17" s="1" t="s">
        <v>8</v>
      </c>
      <c r="K17" s="1" t="s">
        <v>2</v>
      </c>
      <c r="L17" s="1" t="s">
        <v>5</v>
      </c>
      <c r="M17" s="1" t="s">
        <v>15</v>
      </c>
      <c r="N17" s="1" t="s">
        <v>11</v>
      </c>
      <c r="O17" s="1" t="s">
        <v>12</v>
      </c>
      <c r="P17" s="1" t="s">
        <v>170</v>
      </c>
      <c r="Q17" s="1" t="s">
        <v>5</v>
      </c>
      <c r="R17" s="1" t="s">
        <v>12</v>
      </c>
      <c r="S17" s="1" t="s">
        <v>12</v>
      </c>
      <c r="T17" s="1" t="s">
        <v>940</v>
      </c>
      <c r="U17" s="1" t="s">
        <v>939</v>
      </c>
    </row>
    <row r="18" spans="1:21" x14ac:dyDescent="0.3">
      <c r="A18" s="1" t="s">
        <v>578</v>
      </c>
      <c r="B18" s="1" t="s">
        <v>579</v>
      </c>
      <c r="C18" s="1" t="s">
        <v>35</v>
      </c>
      <c r="D18" s="12" t="s">
        <v>91</v>
      </c>
      <c r="E18" s="1" t="s">
        <v>751</v>
      </c>
      <c r="F18" s="1" t="str">
        <f>CONCATENATE(E18,": ",B18)</f>
        <v>TCEQ-Water: Geographic Information Systems</v>
      </c>
      <c r="G18" s="1" t="str">
        <f>VLOOKUP($D18,orgNodes!$A$2:$D$124,3,FALSE)</f>
        <v>Texas Commission on Environmental Quality</v>
      </c>
      <c r="H18" s="12">
        <f>VLOOKUP($D18,orgNodes!$A$2:$D$124,4,FALSE)</f>
        <v>4</v>
      </c>
      <c r="I18" s="1" t="s">
        <v>809</v>
      </c>
      <c r="J18" s="1" t="s">
        <v>8</v>
      </c>
      <c r="K18" s="1" t="s">
        <v>2</v>
      </c>
      <c r="L18" s="1" t="s">
        <v>5</v>
      </c>
      <c r="M18" s="1" t="s">
        <v>9</v>
      </c>
      <c r="N18" s="1" t="s">
        <v>885</v>
      </c>
      <c r="O18" s="1" t="s">
        <v>5</v>
      </c>
      <c r="P18" s="1" t="s">
        <v>7</v>
      </c>
      <c r="Q18" s="1" t="s">
        <v>5</v>
      </c>
      <c r="R18" s="1" t="s">
        <v>941</v>
      </c>
      <c r="S18" s="1" t="s">
        <v>5</v>
      </c>
      <c r="T18" s="1" t="s">
        <v>6</v>
      </c>
      <c r="U18" s="1" t="s">
        <v>939</v>
      </c>
    </row>
    <row r="19" spans="1:21" x14ac:dyDescent="0.3">
      <c r="A19" s="1" t="s">
        <v>580</v>
      </c>
      <c r="B19" s="1" t="s">
        <v>581</v>
      </c>
      <c r="C19" s="1" t="s">
        <v>40</v>
      </c>
      <c r="D19" s="12" t="s">
        <v>196</v>
      </c>
      <c r="E19" s="1" t="s">
        <v>202</v>
      </c>
      <c r="F19" s="1" t="str">
        <f>CONCATENATE(E19,": ",B19)</f>
        <v>TCEQ-Water Supply: Compliance History Database</v>
      </c>
      <c r="G19" s="1" t="str">
        <f>VLOOKUP($D19,orgNodes!$A$2:$D$124,3,FALSE)</f>
        <v>Texas Commission on Environmental Quality</v>
      </c>
      <c r="H19" s="12">
        <f>VLOOKUP($D19,orgNodes!$A$2:$D$124,4,FALSE)</f>
        <v>4</v>
      </c>
      <c r="I19" s="1" t="s">
        <v>810</v>
      </c>
      <c r="J19" s="1" t="s">
        <v>881</v>
      </c>
      <c r="K19" s="1" t="s">
        <v>886</v>
      </c>
      <c r="L19" s="1" t="s">
        <v>5</v>
      </c>
      <c r="M19" s="1" t="s">
        <v>887</v>
      </c>
      <c r="N19" s="1" t="s">
        <v>888</v>
      </c>
      <c r="O19" s="1" t="s">
        <v>12</v>
      </c>
      <c r="P19" s="1" t="s">
        <v>170</v>
      </c>
      <c r="Q19" s="1" t="s">
        <v>5</v>
      </c>
      <c r="R19" s="1" t="s">
        <v>12</v>
      </c>
      <c r="S19" s="1" t="s">
        <v>12</v>
      </c>
      <c r="T19" s="1" t="s">
        <v>13</v>
      </c>
      <c r="U19" s="1" t="s">
        <v>166</v>
      </c>
    </row>
    <row r="20" spans="1:21" x14ac:dyDescent="0.3">
      <c r="A20" s="1" t="s">
        <v>582</v>
      </c>
      <c r="B20" s="1" t="s">
        <v>583</v>
      </c>
      <c r="C20" s="1" t="s">
        <v>210</v>
      </c>
      <c r="D20" s="12" t="s">
        <v>209</v>
      </c>
      <c r="E20" s="1" t="s">
        <v>750</v>
      </c>
      <c r="F20" s="1" t="str">
        <f>CONCATENATE(E20,": ",B20)</f>
        <v>TCEQ-Surface Water Quality Monitoring Program: Surface Water Quality Monitoring Information System</v>
      </c>
      <c r="G20" s="1" t="str">
        <f>VLOOKUP($D20,orgNodes!$A$2:$D$124,3,FALSE)</f>
        <v>Texas Commission on Environmental Quality</v>
      </c>
      <c r="H20" s="12">
        <f>VLOOKUP($D20,orgNodes!$A$2:$D$124,4,FALSE)</f>
        <v>4</v>
      </c>
      <c r="I20" s="1" t="s">
        <v>811</v>
      </c>
      <c r="J20" s="1" t="s">
        <v>8</v>
      </c>
      <c r="K20" s="1" t="s">
        <v>2</v>
      </c>
      <c r="L20" s="1" t="s">
        <v>889</v>
      </c>
      <c r="M20" s="1" t="s">
        <v>6</v>
      </c>
      <c r="N20" s="1" t="s">
        <v>6</v>
      </c>
      <c r="O20" s="1" t="s">
        <v>6</v>
      </c>
      <c r="P20" s="1" t="s">
        <v>6</v>
      </c>
      <c r="Q20" s="1" t="s">
        <v>6</v>
      </c>
      <c r="R20" s="1" t="s">
        <v>6</v>
      </c>
      <c r="S20" s="1" t="s">
        <v>6</v>
      </c>
      <c r="T20" s="1" t="s">
        <v>6</v>
      </c>
      <c r="U20" s="1" t="s">
        <v>6</v>
      </c>
    </row>
    <row r="21" spans="1:21" x14ac:dyDescent="0.3">
      <c r="A21" s="1" t="s">
        <v>584</v>
      </c>
      <c r="B21" s="1" t="s">
        <v>585</v>
      </c>
      <c r="C21" s="1" t="s">
        <v>586</v>
      </c>
      <c r="D21" s="12" t="s">
        <v>89</v>
      </c>
      <c r="E21" s="1" t="s">
        <v>752</v>
      </c>
      <c r="F21" s="1" t="str">
        <f>CONCATENATE(E21,": ",B21)</f>
        <v>TCEQ-STEERS: State of Texas Environmental Electronic Reporting System</v>
      </c>
      <c r="G21" s="1" t="str">
        <f>VLOOKUP($D21,orgNodes!$A$2:$D$124,3,FALSE)</f>
        <v>Texas Commission on Environmental Quality</v>
      </c>
      <c r="H21" s="12">
        <f>VLOOKUP($D21,orgNodes!$A$2:$D$124,4,FALSE)</f>
        <v>4</v>
      </c>
      <c r="I21" s="1" t="s">
        <v>812</v>
      </c>
      <c r="J21" s="1" t="s">
        <v>8</v>
      </c>
      <c r="K21" s="1" t="s">
        <v>2</v>
      </c>
      <c r="L21" s="1" t="s">
        <v>889</v>
      </c>
      <c r="M21" s="1" t="s">
        <v>6</v>
      </c>
      <c r="N21" s="1" t="s">
        <v>6</v>
      </c>
      <c r="O21" s="1" t="s">
        <v>6</v>
      </c>
      <c r="P21" s="1" t="s">
        <v>6</v>
      </c>
      <c r="Q21" s="1" t="s">
        <v>6</v>
      </c>
      <c r="R21" s="1" t="s">
        <v>6</v>
      </c>
      <c r="S21" s="1" t="s">
        <v>6</v>
      </c>
      <c r="T21" s="1" t="s">
        <v>6</v>
      </c>
      <c r="U21" s="1" t="s">
        <v>6</v>
      </c>
    </row>
    <row r="22" spans="1:21" x14ac:dyDescent="0.3">
      <c r="A22" s="1" t="s">
        <v>587</v>
      </c>
      <c r="B22" s="1" t="s">
        <v>588</v>
      </c>
      <c r="C22" s="1" t="s">
        <v>4</v>
      </c>
      <c r="D22" s="12" t="s">
        <v>93</v>
      </c>
      <c r="E22" s="1" t="s">
        <v>753</v>
      </c>
      <c r="F22" s="1" t="str">
        <f>CONCATENATE(E22,": ",B22)</f>
        <v>TCEQ-Water Quality: Status of Stormwater and Wastewater Applications and Specifications</v>
      </c>
      <c r="G22" s="1" t="str">
        <f>VLOOKUP($D22,orgNodes!$A$2:$D$124,3,FALSE)</f>
        <v>Texas Commission on Environmental Quality</v>
      </c>
      <c r="H22" s="12">
        <f>VLOOKUP($D22,orgNodes!$A$2:$D$124,4,FALSE)</f>
        <v>4</v>
      </c>
      <c r="I22" s="1" t="s">
        <v>813</v>
      </c>
      <c r="J22" s="1" t="s">
        <v>8</v>
      </c>
      <c r="K22" s="1" t="s">
        <v>2</v>
      </c>
      <c r="L22" s="1" t="s">
        <v>5</v>
      </c>
      <c r="M22" s="1" t="s">
        <v>890</v>
      </c>
      <c r="N22" s="1" t="s">
        <v>11</v>
      </c>
      <c r="O22" s="1" t="s">
        <v>12</v>
      </c>
      <c r="P22" s="1" t="s">
        <v>170</v>
      </c>
      <c r="Q22" s="1" t="s">
        <v>12</v>
      </c>
      <c r="R22" s="1" t="s">
        <v>12</v>
      </c>
      <c r="S22" s="1" t="s">
        <v>12</v>
      </c>
      <c r="T22" s="1" t="s">
        <v>6</v>
      </c>
      <c r="U22" s="1" t="s">
        <v>6</v>
      </c>
    </row>
    <row r="23" spans="1:21" x14ac:dyDescent="0.3">
      <c r="A23" s="1" t="s">
        <v>589</v>
      </c>
      <c r="B23" s="1" t="s">
        <v>590</v>
      </c>
      <c r="C23" s="1" t="s">
        <v>212</v>
      </c>
      <c r="D23" s="12" t="s">
        <v>211</v>
      </c>
      <c r="E23" s="1" t="s">
        <v>754</v>
      </c>
      <c r="F23" s="1" t="str">
        <f>CONCATENATE(E23,": ",B23)</f>
        <v>TCEQ-Clean Rivers Program: CRP Data Tool</v>
      </c>
      <c r="G23" s="1" t="str">
        <f>VLOOKUP($D23,orgNodes!$A$2:$D$124,3,FALSE)</f>
        <v>Texas Commission on Environmental Quality</v>
      </c>
      <c r="H23" s="12">
        <f>VLOOKUP($D23,orgNodes!$A$2:$D$124,4,FALSE)</f>
        <v>4</v>
      </c>
      <c r="I23" s="1" t="s">
        <v>814</v>
      </c>
      <c r="J23" s="1" t="s">
        <v>891</v>
      </c>
      <c r="K23" s="1" t="s">
        <v>892</v>
      </c>
      <c r="L23" s="1" t="s">
        <v>5</v>
      </c>
      <c r="M23" s="1" t="s">
        <v>883</v>
      </c>
      <c r="N23" s="1" t="s">
        <v>893</v>
      </c>
      <c r="O23" s="1" t="s">
        <v>5</v>
      </c>
      <c r="P23" s="1" t="s">
        <v>938</v>
      </c>
      <c r="Q23" s="1" t="s">
        <v>5</v>
      </c>
      <c r="R23" s="1" t="s">
        <v>167</v>
      </c>
      <c r="S23" s="1" t="s">
        <v>12</v>
      </c>
      <c r="T23" s="1" t="s">
        <v>13</v>
      </c>
      <c r="U23" s="1" t="s">
        <v>164</v>
      </c>
    </row>
    <row r="24" spans="1:21" x14ac:dyDescent="0.3">
      <c r="A24" s="1" t="s">
        <v>591</v>
      </c>
      <c r="B24" s="1" t="s">
        <v>592</v>
      </c>
      <c r="C24" s="1" t="s">
        <v>40</v>
      </c>
      <c r="D24" s="12" t="s">
        <v>196</v>
      </c>
      <c r="E24" s="1" t="s">
        <v>202</v>
      </c>
      <c r="F24" s="1" t="str">
        <f>CONCATENATE(E24,": ",B24)</f>
        <v>TCEQ-Water Supply: Water District Database</v>
      </c>
      <c r="G24" s="1" t="str">
        <f>VLOOKUP($D24,orgNodes!$A$2:$D$124,3,FALSE)</f>
        <v>Texas Commission on Environmental Quality</v>
      </c>
      <c r="H24" s="12">
        <f>VLOOKUP($D24,orgNodes!$A$2:$D$124,4,FALSE)</f>
        <v>4</v>
      </c>
      <c r="I24" s="1" t="s">
        <v>815</v>
      </c>
      <c r="J24" s="1" t="s">
        <v>891</v>
      </c>
      <c r="K24" s="1" t="s">
        <v>892</v>
      </c>
      <c r="L24" s="1" t="s">
        <v>5</v>
      </c>
      <c r="M24" s="1" t="s">
        <v>15</v>
      </c>
      <c r="N24" s="1" t="s">
        <v>11</v>
      </c>
      <c r="O24" s="1" t="s">
        <v>12</v>
      </c>
      <c r="P24" s="1" t="s">
        <v>170</v>
      </c>
      <c r="Q24" s="1" t="s">
        <v>12</v>
      </c>
      <c r="R24" s="1" t="s">
        <v>12</v>
      </c>
      <c r="S24" s="1" t="s">
        <v>12</v>
      </c>
      <c r="T24" s="1" t="s">
        <v>6</v>
      </c>
      <c r="U24" s="1" t="s">
        <v>164</v>
      </c>
    </row>
    <row r="25" spans="1:21" x14ac:dyDescent="0.3">
      <c r="A25" s="1" t="s">
        <v>593</v>
      </c>
      <c r="B25" s="1" t="s">
        <v>242</v>
      </c>
      <c r="C25" s="1" t="s">
        <v>221</v>
      </c>
      <c r="D25" s="12" t="s">
        <v>222</v>
      </c>
      <c r="E25" s="1" t="s">
        <v>755</v>
      </c>
      <c r="F25" s="1" t="str">
        <f>CONCATENATE(E25,": ",B25)</f>
        <v>TWDB-Water Data for Texas: Water Data for Texas</v>
      </c>
      <c r="G25" s="1" t="str">
        <f>VLOOKUP($D25,orgNodes!$A$2:$D$124,3,FALSE)</f>
        <v>Texas Water Development Board</v>
      </c>
      <c r="H25" s="12">
        <f>VLOOKUP($D25,orgNodes!$A$2:$D$124,4,FALSE)</f>
        <v>6</v>
      </c>
      <c r="I25" s="1" t="s">
        <v>816</v>
      </c>
      <c r="J25" s="1" t="s">
        <v>881</v>
      </c>
      <c r="K25" s="1" t="s">
        <v>882</v>
      </c>
      <c r="L25" s="1" t="s">
        <v>5</v>
      </c>
      <c r="M25" s="1" t="s">
        <v>894</v>
      </c>
      <c r="N25" s="1" t="s">
        <v>895</v>
      </c>
      <c r="O25" s="1" t="s">
        <v>5</v>
      </c>
      <c r="P25" s="1" t="s">
        <v>938</v>
      </c>
      <c r="Q25" s="1" t="s">
        <v>5</v>
      </c>
      <c r="R25" s="1" t="s">
        <v>171</v>
      </c>
      <c r="S25" s="1" t="s">
        <v>12</v>
      </c>
      <c r="T25" s="1" t="s">
        <v>942</v>
      </c>
      <c r="U25" s="1" t="s">
        <v>164</v>
      </c>
    </row>
    <row r="26" spans="1:21" x14ac:dyDescent="0.3">
      <c r="A26" s="1" t="s">
        <v>594</v>
      </c>
      <c r="B26" s="1" t="s">
        <v>595</v>
      </c>
      <c r="C26" s="1" t="s">
        <v>245</v>
      </c>
      <c r="D26" s="12" t="s">
        <v>246</v>
      </c>
      <c r="E26" s="1" t="s">
        <v>756</v>
      </c>
      <c r="F26" s="1" t="str">
        <f>CONCATENATE(E26,": ",B26)</f>
        <v>TWDB-Groundwater Monitoring: Groundwater Database</v>
      </c>
      <c r="G26" s="1" t="str">
        <f>VLOOKUP($D26,orgNodes!$A$2:$D$124,3,FALSE)</f>
        <v>Texas Water Development Board</v>
      </c>
      <c r="H26" s="12">
        <f>VLOOKUP($D26,orgNodes!$A$2:$D$124,4,FALSE)</f>
        <v>6</v>
      </c>
      <c r="I26" s="1" t="s">
        <v>817</v>
      </c>
      <c r="J26" s="1" t="s">
        <v>8</v>
      </c>
      <c r="K26" s="1" t="s">
        <v>2</v>
      </c>
      <c r="L26" s="1" t="s">
        <v>5</v>
      </c>
      <c r="M26" s="1" t="s">
        <v>894</v>
      </c>
      <c r="N26" s="1" t="s">
        <v>896</v>
      </c>
      <c r="O26" s="1" t="s">
        <v>5</v>
      </c>
      <c r="P26" s="1" t="s">
        <v>11</v>
      </c>
      <c r="Q26" s="1" t="s">
        <v>5</v>
      </c>
      <c r="R26" s="1" t="s">
        <v>171</v>
      </c>
      <c r="S26" s="1" t="s">
        <v>12</v>
      </c>
      <c r="T26" s="1" t="s">
        <v>942</v>
      </c>
      <c r="U26" s="1" t="s">
        <v>164</v>
      </c>
    </row>
    <row r="27" spans="1:21" x14ac:dyDescent="0.3">
      <c r="A27" s="1" t="s">
        <v>596</v>
      </c>
      <c r="B27" s="1" t="s">
        <v>597</v>
      </c>
      <c r="C27" s="1" t="s">
        <v>221</v>
      </c>
      <c r="D27" s="12" t="s">
        <v>222</v>
      </c>
      <c r="E27" s="1" t="s">
        <v>757</v>
      </c>
      <c r="F27" s="1" t="str">
        <f>CONCATENATE(E27,": ",B27)</f>
        <v>TWDB-Mapping: GIS Data</v>
      </c>
      <c r="G27" s="1" t="str">
        <f>VLOOKUP($D27,orgNodes!$A$2:$D$124,3,FALSE)</f>
        <v>Texas Water Development Board</v>
      </c>
      <c r="H27" s="12">
        <f>VLOOKUP($D27,orgNodes!$A$2:$D$124,4,FALSE)</f>
        <v>6</v>
      </c>
      <c r="I27" s="1" t="s">
        <v>818</v>
      </c>
      <c r="J27" s="1" t="s">
        <v>8</v>
      </c>
      <c r="K27" s="1" t="s">
        <v>2</v>
      </c>
      <c r="L27" s="1" t="s">
        <v>5</v>
      </c>
      <c r="M27" s="1" t="s">
        <v>9</v>
      </c>
      <c r="N27" s="1" t="s">
        <v>897</v>
      </c>
      <c r="O27" s="1" t="s">
        <v>12</v>
      </c>
      <c r="P27" s="1" t="s">
        <v>170</v>
      </c>
      <c r="Q27" s="1" t="s">
        <v>12</v>
      </c>
      <c r="R27" s="1" t="s">
        <v>12</v>
      </c>
      <c r="S27" s="1" t="s">
        <v>12</v>
      </c>
      <c r="T27" s="1" t="s">
        <v>6</v>
      </c>
      <c r="U27" s="1" t="s">
        <v>939</v>
      </c>
    </row>
    <row r="28" spans="1:21" x14ac:dyDescent="0.3">
      <c r="A28" s="1" t="s">
        <v>598</v>
      </c>
      <c r="B28" s="1" t="s">
        <v>599</v>
      </c>
      <c r="C28" s="1" t="s">
        <v>240</v>
      </c>
      <c r="D28" s="12" t="s">
        <v>241</v>
      </c>
      <c r="E28" s="1" t="s">
        <v>758</v>
      </c>
      <c r="F28" s="1" t="str">
        <f>CONCATENATE(E28,": ",B28)</f>
        <v>TWDB-TexMesonet: TexMesonet</v>
      </c>
      <c r="G28" s="1" t="str">
        <f>VLOOKUP($D28,orgNodes!$A$2:$D$124,3,FALSE)</f>
        <v>Texas Water Development Board</v>
      </c>
      <c r="H28" s="12">
        <f>VLOOKUP($D28,orgNodes!$A$2:$D$124,4,FALSE)</f>
        <v>6</v>
      </c>
      <c r="I28" s="1" t="s">
        <v>438</v>
      </c>
      <c r="J28" s="1" t="s">
        <v>891</v>
      </c>
      <c r="K28" s="1" t="s">
        <v>882</v>
      </c>
      <c r="L28" s="1" t="s">
        <v>5</v>
      </c>
      <c r="M28" s="1" t="s">
        <v>898</v>
      </c>
      <c r="N28" s="1" t="s">
        <v>899</v>
      </c>
      <c r="O28" s="1" t="s">
        <v>5</v>
      </c>
      <c r="P28" s="1" t="s">
        <v>11</v>
      </c>
      <c r="Q28" s="1" t="s">
        <v>5</v>
      </c>
      <c r="R28" s="1" t="s">
        <v>171</v>
      </c>
      <c r="S28" s="1" t="s">
        <v>12</v>
      </c>
      <c r="T28" s="1" t="s">
        <v>942</v>
      </c>
      <c r="U28" s="1" t="s">
        <v>166</v>
      </c>
    </row>
    <row r="29" spans="1:21" x14ac:dyDescent="0.3">
      <c r="A29" s="1" t="s">
        <v>600</v>
      </c>
      <c r="B29" s="1" t="s">
        <v>601</v>
      </c>
      <c r="C29" s="1" t="s">
        <v>245</v>
      </c>
      <c r="D29" s="12" t="s">
        <v>246</v>
      </c>
      <c r="E29" s="1" t="s">
        <v>756</v>
      </c>
      <c r="F29" s="1" t="str">
        <f>CONCATENATE(E29,": ",B29)</f>
        <v>TWDB-Groundwater Monitoring: Groundwater Data Viewer</v>
      </c>
      <c r="G29" s="1" t="str">
        <f>VLOOKUP($D29,orgNodes!$A$2:$D$124,3,FALSE)</f>
        <v>Texas Water Development Board</v>
      </c>
      <c r="H29" s="12">
        <f>VLOOKUP($D29,orgNodes!$A$2:$D$124,4,FALSE)</f>
        <v>6</v>
      </c>
      <c r="I29" s="1" t="s">
        <v>819</v>
      </c>
      <c r="J29" s="1" t="s">
        <v>881</v>
      </c>
      <c r="K29" s="1" t="s">
        <v>882</v>
      </c>
      <c r="L29" s="1" t="s">
        <v>5</v>
      </c>
      <c r="M29" s="1" t="s">
        <v>10</v>
      </c>
      <c r="N29" s="1" t="s">
        <v>7</v>
      </c>
      <c r="O29" s="1" t="s">
        <v>12</v>
      </c>
      <c r="P29" s="1" t="s">
        <v>170</v>
      </c>
      <c r="Q29" s="1" t="s">
        <v>12</v>
      </c>
      <c r="R29" s="1" t="s">
        <v>12</v>
      </c>
      <c r="S29" s="1" t="s">
        <v>12</v>
      </c>
      <c r="T29" s="1" t="s">
        <v>6</v>
      </c>
      <c r="U29" s="1" t="s">
        <v>164</v>
      </c>
    </row>
    <row r="30" spans="1:21" x14ac:dyDescent="0.3">
      <c r="A30" s="1" t="s">
        <v>602</v>
      </c>
      <c r="B30" s="1" t="s">
        <v>603</v>
      </c>
      <c r="C30" s="1" t="s">
        <v>225</v>
      </c>
      <c r="D30" s="12" t="s">
        <v>226</v>
      </c>
      <c r="E30" s="1" t="s">
        <v>759</v>
      </c>
      <c r="F30" s="1" t="str">
        <f>CONCATENATE(E30,": ",B30)</f>
        <v>TWDB-Water Use Planning: Texas State Water Plan</v>
      </c>
      <c r="G30" s="1" t="str">
        <f>VLOOKUP($D30,orgNodes!$A$2:$D$124,3,FALSE)</f>
        <v>Texas Water Development Board</v>
      </c>
      <c r="H30" s="12">
        <f>VLOOKUP($D30,orgNodes!$A$2:$D$124,4,FALSE)</f>
        <v>6</v>
      </c>
      <c r="I30" s="1" t="s">
        <v>820</v>
      </c>
      <c r="J30" s="1" t="s">
        <v>8</v>
      </c>
      <c r="K30" s="1" t="s">
        <v>2</v>
      </c>
      <c r="L30" s="1" t="s">
        <v>5</v>
      </c>
      <c r="M30" s="1" t="s">
        <v>9</v>
      </c>
      <c r="N30" s="1" t="s">
        <v>900</v>
      </c>
      <c r="O30" s="1" t="s">
        <v>5</v>
      </c>
      <c r="P30" s="1" t="s">
        <v>7</v>
      </c>
      <c r="Q30" s="1" t="s">
        <v>5</v>
      </c>
      <c r="R30" s="1" t="s">
        <v>167</v>
      </c>
      <c r="S30" s="1" t="s">
        <v>12</v>
      </c>
      <c r="T30" s="1" t="s">
        <v>14</v>
      </c>
      <c r="U30" s="1" t="s">
        <v>164</v>
      </c>
    </row>
    <row r="31" spans="1:21" x14ac:dyDescent="0.3">
      <c r="A31" s="1" t="s">
        <v>605</v>
      </c>
      <c r="B31" s="1" t="s">
        <v>606</v>
      </c>
      <c r="C31" s="1" t="s">
        <v>247</v>
      </c>
      <c r="D31" s="12" t="s">
        <v>248</v>
      </c>
      <c r="E31" s="1" t="s">
        <v>760</v>
      </c>
      <c r="F31" s="1" t="str">
        <f>CONCATENATE(E31,": ",B31)</f>
        <v>TWDB-Texas Natural Resources Information System: Geospatial Emergency Management Support System</v>
      </c>
      <c r="G31" s="1" t="str">
        <f>VLOOKUP($D31,orgNodes!$A$2:$D$124,3,FALSE)</f>
        <v>Texas Water Development Board</v>
      </c>
      <c r="H31" s="12">
        <f>VLOOKUP($D31,orgNodes!$A$2:$D$124,4,FALSE)</f>
        <v>6</v>
      </c>
      <c r="I31" s="1" t="s">
        <v>821</v>
      </c>
      <c r="J31" s="1" t="s">
        <v>891</v>
      </c>
      <c r="K31" s="1" t="s">
        <v>882</v>
      </c>
      <c r="L31" s="1" t="s">
        <v>5</v>
      </c>
      <c r="M31" s="1" t="s">
        <v>898</v>
      </c>
      <c r="N31" s="1" t="s">
        <v>901</v>
      </c>
      <c r="O31" s="1" t="s">
        <v>12</v>
      </c>
      <c r="P31" s="1" t="s">
        <v>170</v>
      </c>
      <c r="Q31" s="1" t="s">
        <v>12</v>
      </c>
      <c r="R31" s="1" t="s">
        <v>12</v>
      </c>
      <c r="S31" s="1" t="s">
        <v>12</v>
      </c>
      <c r="T31" s="1" t="s">
        <v>13</v>
      </c>
      <c r="U31" s="1" t="s">
        <v>943</v>
      </c>
    </row>
    <row r="32" spans="1:21" x14ac:dyDescent="0.3">
      <c r="A32" s="1" t="s">
        <v>607</v>
      </c>
      <c r="B32" s="1" t="s">
        <v>608</v>
      </c>
      <c r="C32" s="1" t="s">
        <v>227</v>
      </c>
      <c r="D32" s="12" t="s">
        <v>228</v>
      </c>
      <c r="E32" s="1" t="s">
        <v>761</v>
      </c>
      <c r="F32" s="1" t="str">
        <f>CONCATENATE(E32,": ",B32)</f>
        <v>TWDB-Regional Water Planning: Regional Water Planning Data</v>
      </c>
      <c r="G32" s="1" t="str">
        <f>VLOOKUP($D32,orgNodes!$A$2:$D$124,3,FALSE)</f>
        <v>Texas Water Development Board</v>
      </c>
      <c r="H32" s="12">
        <f>VLOOKUP($D32,orgNodes!$A$2:$D$124,4,FALSE)</f>
        <v>6</v>
      </c>
      <c r="I32" s="1" t="s">
        <v>822</v>
      </c>
      <c r="J32" s="1" t="s">
        <v>8</v>
      </c>
      <c r="K32" s="1" t="s">
        <v>2</v>
      </c>
      <c r="L32" s="1" t="s">
        <v>5</v>
      </c>
      <c r="M32" s="1" t="s">
        <v>902</v>
      </c>
      <c r="N32" s="1" t="s">
        <v>903</v>
      </c>
      <c r="O32" s="1" t="s">
        <v>12</v>
      </c>
      <c r="P32" s="1" t="s">
        <v>170</v>
      </c>
      <c r="Q32" s="1" t="s">
        <v>12</v>
      </c>
      <c r="R32" s="1" t="s">
        <v>12</v>
      </c>
      <c r="S32" s="1" t="s">
        <v>12</v>
      </c>
      <c r="T32" s="1" t="s">
        <v>13</v>
      </c>
      <c r="U32" s="1" t="s">
        <v>164</v>
      </c>
    </row>
    <row r="33" spans="1:21" x14ac:dyDescent="0.3">
      <c r="A33" s="1" t="s">
        <v>609</v>
      </c>
      <c r="B33" s="1" t="s">
        <v>610</v>
      </c>
      <c r="C33" s="1" t="s">
        <v>225</v>
      </c>
      <c r="D33" s="12" t="s">
        <v>226</v>
      </c>
      <c r="E33" s="1" t="s">
        <v>762</v>
      </c>
      <c r="F33" s="1" t="str">
        <f>CONCATENATE(E33,": ",B33)</f>
        <v>TWDB-Water Use: Historical Water Use Estimates</v>
      </c>
      <c r="G33" s="1" t="str">
        <f>VLOOKUP($D33,orgNodes!$A$2:$D$124,3,FALSE)</f>
        <v>Texas Water Development Board</v>
      </c>
      <c r="H33" s="12">
        <f>VLOOKUP($D33,orgNodes!$A$2:$D$124,4,FALSE)</f>
        <v>6</v>
      </c>
      <c r="I33" s="1" t="s">
        <v>823</v>
      </c>
      <c r="J33" s="1" t="s">
        <v>8</v>
      </c>
      <c r="K33" s="1" t="s">
        <v>2</v>
      </c>
      <c r="L33" s="1" t="s">
        <v>5</v>
      </c>
      <c r="M33" s="1" t="s">
        <v>9</v>
      </c>
      <c r="N33" s="1" t="s">
        <v>904</v>
      </c>
      <c r="O33" s="1" t="s">
        <v>12</v>
      </c>
      <c r="P33" s="1" t="s">
        <v>170</v>
      </c>
      <c r="Q33" s="1" t="s">
        <v>12</v>
      </c>
      <c r="R33" s="1" t="s">
        <v>12</v>
      </c>
      <c r="S33" s="1" t="s">
        <v>12</v>
      </c>
      <c r="T33" s="1" t="s">
        <v>14</v>
      </c>
      <c r="U33" s="1" t="s">
        <v>164</v>
      </c>
    </row>
    <row r="34" spans="1:21" x14ac:dyDescent="0.3">
      <c r="A34" s="1" t="s">
        <v>612</v>
      </c>
      <c r="B34" s="1" t="s">
        <v>613</v>
      </c>
      <c r="C34" s="1" t="s">
        <v>245</v>
      </c>
      <c r="D34" s="12" t="s">
        <v>246</v>
      </c>
      <c r="E34" s="1" t="s">
        <v>756</v>
      </c>
      <c r="F34" s="1" t="str">
        <f>CONCATENATE(E34,": ",B34)</f>
        <v>TWDB-Groundwater Monitoring: Submitted Drillers Reports Database</v>
      </c>
      <c r="G34" s="1" t="str">
        <f>VLOOKUP($D34,orgNodes!$A$2:$D$124,3,FALSE)</f>
        <v>Texas Water Development Board</v>
      </c>
      <c r="H34" s="12">
        <f>VLOOKUP($D34,orgNodes!$A$2:$D$124,4,FALSE)</f>
        <v>6</v>
      </c>
      <c r="I34" s="1" t="s">
        <v>824</v>
      </c>
      <c r="J34" s="1" t="s">
        <v>8</v>
      </c>
      <c r="K34" s="1" t="s">
        <v>2</v>
      </c>
      <c r="L34" s="1" t="s">
        <v>5</v>
      </c>
      <c r="M34" s="1" t="s">
        <v>905</v>
      </c>
      <c r="N34" s="1" t="s">
        <v>906</v>
      </c>
      <c r="O34" s="1" t="s">
        <v>5</v>
      </c>
      <c r="P34" s="1" t="s">
        <v>944</v>
      </c>
      <c r="Q34" s="1" t="s">
        <v>12</v>
      </c>
      <c r="R34" s="1" t="s">
        <v>945</v>
      </c>
      <c r="S34" s="1" t="s">
        <v>12</v>
      </c>
      <c r="T34" s="1" t="s">
        <v>942</v>
      </c>
      <c r="U34" s="1" t="s">
        <v>164</v>
      </c>
    </row>
    <row r="35" spans="1:21" x14ac:dyDescent="0.3">
      <c r="A35" s="1" t="s">
        <v>614</v>
      </c>
      <c r="B35" s="1" t="s">
        <v>615</v>
      </c>
      <c r="C35" s="1" t="s">
        <v>55</v>
      </c>
      <c r="D35" s="12" t="s">
        <v>239</v>
      </c>
      <c r="E35" s="1" t="s">
        <v>763</v>
      </c>
      <c r="F35" s="1" t="str">
        <f>CONCATENATE(E35,": ",B35)</f>
        <v>TWDB-Surface Water: Texas Water Conditions Report</v>
      </c>
      <c r="G35" s="1" t="str">
        <f>VLOOKUP($D35,orgNodes!$A$2:$D$124,3,FALSE)</f>
        <v>Texas Water Development Board</v>
      </c>
      <c r="H35" s="12">
        <f>VLOOKUP($D35,orgNodes!$A$2:$D$124,4,FALSE)</f>
        <v>6</v>
      </c>
      <c r="I35" s="1" t="s">
        <v>825</v>
      </c>
      <c r="J35" s="1" t="s">
        <v>8</v>
      </c>
      <c r="K35" s="1" t="s">
        <v>2</v>
      </c>
      <c r="L35" s="1" t="s">
        <v>5</v>
      </c>
      <c r="M35" s="1" t="s">
        <v>9</v>
      </c>
      <c r="N35" s="1" t="s">
        <v>7</v>
      </c>
      <c r="O35" s="1" t="s">
        <v>12</v>
      </c>
      <c r="P35" s="1" t="s">
        <v>170</v>
      </c>
      <c r="Q35" s="1" t="s">
        <v>12</v>
      </c>
      <c r="R35" s="1" t="s">
        <v>12</v>
      </c>
      <c r="S35" s="1" t="s">
        <v>12</v>
      </c>
      <c r="T35" s="1" t="s">
        <v>937</v>
      </c>
      <c r="U35" s="1" t="s">
        <v>164</v>
      </c>
    </row>
    <row r="36" spans="1:21" x14ac:dyDescent="0.3">
      <c r="A36" s="1" t="s">
        <v>617</v>
      </c>
      <c r="B36" s="1" t="s">
        <v>618</v>
      </c>
      <c r="C36" s="1" t="s">
        <v>242</v>
      </c>
      <c r="D36" s="12" t="s">
        <v>243</v>
      </c>
      <c r="E36" s="1" t="s">
        <v>763</v>
      </c>
      <c r="F36" s="1" t="str">
        <f>CONCATENATE(E36,": ",B36)</f>
        <v>TWDB-Surface Water: Precipitation and Lake Evaporation</v>
      </c>
      <c r="G36" s="1" t="str">
        <f>VLOOKUP($D36,orgNodes!$A$2:$D$124,3,FALSE)</f>
        <v>Texas Water Development Board</v>
      </c>
      <c r="H36" s="12">
        <f>VLOOKUP($D36,orgNodes!$A$2:$D$124,4,FALSE)</f>
        <v>6</v>
      </c>
      <c r="I36" s="1" t="s">
        <v>826</v>
      </c>
      <c r="J36" s="1" t="s">
        <v>8</v>
      </c>
      <c r="K36" s="1" t="s">
        <v>2</v>
      </c>
      <c r="L36" s="1" t="s">
        <v>5</v>
      </c>
      <c r="M36" s="1" t="s">
        <v>9</v>
      </c>
      <c r="N36" s="1" t="s">
        <v>893</v>
      </c>
      <c r="O36" s="1" t="s">
        <v>5</v>
      </c>
      <c r="P36" s="1" t="s">
        <v>11</v>
      </c>
      <c r="Q36" s="1" t="s">
        <v>12</v>
      </c>
      <c r="R36" s="1" t="s">
        <v>946</v>
      </c>
      <c r="S36" s="1" t="s">
        <v>12</v>
      </c>
      <c r="T36" s="1" t="s">
        <v>14</v>
      </c>
      <c r="U36" s="1" t="s">
        <v>164</v>
      </c>
    </row>
    <row r="37" spans="1:21" x14ac:dyDescent="0.3">
      <c r="A37" s="1" t="s">
        <v>619</v>
      </c>
      <c r="B37" s="1" t="s">
        <v>620</v>
      </c>
      <c r="C37" s="1" t="s">
        <v>55</v>
      </c>
      <c r="D37" s="12" t="s">
        <v>239</v>
      </c>
      <c r="E37" s="1" t="s">
        <v>763</v>
      </c>
      <c r="F37" s="1" t="str">
        <f>CONCATENATE(E37,": ",B37)</f>
        <v>TWDB-Surface Water: Lake Surveys</v>
      </c>
      <c r="G37" s="1" t="str">
        <f>VLOOKUP($D37,orgNodes!$A$2:$D$124,3,FALSE)</f>
        <v>Texas Water Development Board</v>
      </c>
      <c r="H37" s="12">
        <f>VLOOKUP($D37,orgNodes!$A$2:$D$124,4,FALSE)</f>
        <v>6</v>
      </c>
      <c r="I37" s="1" t="s">
        <v>827</v>
      </c>
      <c r="J37" s="1" t="s">
        <v>8</v>
      </c>
      <c r="K37" s="1" t="s">
        <v>2</v>
      </c>
      <c r="L37" s="1" t="s">
        <v>5</v>
      </c>
      <c r="M37" s="1" t="s">
        <v>9</v>
      </c>
      <c r="N37" s="1" t="s">
        <v>907</v>
      </c>
      <c r="O37" s="1" t="s">
        <v>12</v>
      </c>
      <c r="P37" s="1" t="s">
        <v>170</v>
      </c>
      <c r="Q37" s="1" t="s">
        <v>12</v>
      </c>
      <c r="R37" s="1" t="s">
        <v>12</v>
      </c>
      <c r="S37" s="1" t="s">
        <v>12</v>
      </c>
      <c r="T37" s="1" t="s">
        <v>13</v>
      </c>
      <c r="U37" s="1" t="s">
        <v>166</v>
      </c>
    </row>
    <row r="38" spans="1:21" x14ac:dyDescent="0.3">
      <c r="A38" s="1" t="s">
        <v>621</v>
      </c>
      <c r="B38" s="1" t="s">
        <v>622</v>
      </c>
      <c r="C38" s="1" t="s">
        <v>235</v>
      </c>
      <c r="D38" s="12" t="s">
        <v>236</v>
      </c>
      <c r="E38" s="1" t="s">
        <v>764</v>
      </c>
      <c r="F38" s="1" t="str">
        <f>CONCATENATE(E38,": ",B38)</f>
        <v>TWDB-Municipal Water Conservation: Historical Water Loss Audit and Conservation Annual Report Data</v>
      </c>
      <c r="G38" s="1" t="str">
        <f>VLOOKUP($D38,orgNodes!$A$2:$D$124,3,FALSE)</f>
        <v>Texas Water Development Board</v>
      </c>
      <c r="H38" s="12">
        <f>VLOOKUP($D38,orgNodes!$A$2:$D$124,4,FALSE)</f>
        <v>6</v>
      </c>
      <c r="I38" s="1" t="s">
        <v>828</v>
      </c>
      <c r="J38" s="1" t="s">
        <v>8</v>
      </c>
      <c r="K38" s="1" t="s">
        <v>2</v>
      </c>
      <c r="L38" s="1" t="s">
        <v>5</v>
      </c>
      <c r="M38" s="1" t="s">
        <v>908</v>
      </c>
      <c r="N38" s="1" t="s">
        <v>909</v>
      </c>
      <c r="O38" s="1" t="s">
        <v>12</v>
      </c>
      <c r="P38" s="1" t="s">
        <v>170</v>
      </c>
      <c r="Q38" s="1" t="s">
        <v>12</v>
      </c>
      <c r="R38" s="1" t="s">
        <v>12</v>
      </c>
      <c r="S38" s="1" t="s">
        <v>12</v>
      </c>
      <c r="T38" s="1" t="s">
        <v>14</v>
      </c>
      <c r="U38" s="1" t="s">
        <v>166</v>
      </c>
    </row>
    <row r="39" spans="1:21" x14ac:dyDescent="0.3">
      <c r="A39" s="1" t="s">
        <v>623</v>
      </c>
      <c r="B39" s="1" t="s">
        <v>624</v>
      </c>
      <c r="C39" s="1" t="s">
        <v>237</v>
      </c>
      <c r="D39" s="12" t="s">
        <v>238</v>
      </c>
      <c r="E39" s="1" t="s">
        <v>765</v>
      </c>
      <c r="F39" s="1" t="str">
        <f>CONCATENATE(E39,": ",B39)</f>
        <v>TWDB-Innovative Water Technologies: Brackish Resources Aquifer Characterization System</v>
      </c>
      <c r="G39" s="1" t="str">
        <f>VLOOKUP($D39,orgNodes!$A$2:$D$124,3,FALSE)</f>
        <v>Texas Water Development Board</v>
      </c>
      <c r="H39" s="12">
        <f>VLOOKUP($D39,orgNodes!$A$2:$D$124,4,FALSE)</f>
        <v>6</v>
      </c>
      <c r="I39" s="1" t="s">
        <v>829</v>
      </c>
      <c r="J39" s="1" t="s">
        <v>8</v>
      </c>
      <c r="K39" s="1" t="s">
        <v>2</v>
      </c>
      <c r="L39" s="1" t="s">
        <v>5</v>
      </c>
      <c r="M39" s="1" t="s">
        <v>9</v>
      </c>
      <c r="N39" s="1" t="s">
        <v>910</v>
      </c>
      <c r="O39" s="1" t="s">
        <v>5</v>
      </c>
      <c r="P39" s="1" t="s">
        <v>7</v>
      </c>
      <c r="Q39" s="1" t="s">
        <v>5</v>
      </c>
      <c r="R39" s="1" t="s">
        <v>167</v>
      </c>
      <c r="S39" s="1" t="s">
        <v>12</v>
      </c>
      <c r="T39" s="1" t="s">
        <v>6</v>
      </c>
      <c r="U39" s="1" t="s">
        <v>939</v>
      </c>
    </row>
    <row r="40" spans="1:21" x14ac:dyDescent="0.3">
      <c r="A40" s="1" t="s">
        <v>625</v>
      </c>
      <c r="B40" s="1" t="s">
        <v>626</v>
      </c>
      <c r="C40" s="1" t="s">
        <v>237</v>
      </c>
      <c r="D40" s="12" t="s">
        <v>238</v>
      </c>
      <c r="E40" s="1" t="s">
        <v>765</v>
      </c>
      <c r="F40" s="1" t="str">
        <f>CONCATENATE(E40,": ",B40)</f>
        <v>TWDB-Innovative Water Technologies: Desalination</v>
      </c>
      <c r="G40" s="1" t="str">
        <f>VLOOKUP($D40,orgNodes!$A$2:$D$124,3,FALSE)</f>
        <v>Texas Water Development Board</v>
      </c>
      <c r="H40" s="12">
        <f>VLOOKUP($D40,orgNodes!$A$2:$D$124,4,FALSE)</f>
        <v>6</v>
      </c>
      <c r="I40" s="1" t="s">
        <v>830</v>
      </c>
      <c r="J40" s="1" t="s">
        <v>8</v>
      </c>
      <c r="K40" s="1" t="s">
        <v>2</v>
      </c>
      <c r="L40" s="1" t="s">
        <v>5</v>
      </c>
      <c r="M40" s="1" t="s">
        <v>9</v>
      </c>
      <c r="N40" s="1" t="s">
        <v>7</v>
      </c>
      <c r="O40" s="1" t="s">
        <v>12</v>
      </c>
      <c r="P40" s="1" t="s">
        <v>170</v>
      </c>
      <c r="Q40" s="1" t="s">
        <v>12</v>
      </c>
      <c r="R40" s="1" t="s">
        <v>12</v>
      </c>
      <c r="S40" s="1" t="s">
        <v>12</v>
      </c>
      <c r="T40" s="1" t="s">
        <v>6</v>
      </c>
      <c r="U40" s="1" t="s">
        <v>939</v>
      </c>
    </row>
    <row r="41" spans="1:21" x14ac:dyDescent="0.3">
      <c r="A41" s="1" t="s">
        <v>627</v>
      </c>
      <c r="B41" s="1" t="s">
        <v>628</v>
      </c>
      <c r="C41" s="1" t="s">
        <v>237</v>
      </c>
      <c r="D41" s="12" t="s">
        <v>238</v>
      </c>
      <c r="E41" s="1" t="s">
        <v>765</v>
      </c>
      <c r="F41" s="1" t="str">
        <f>CONCATENATE(E41,": ",B41)</f>
        <v>TWDB-Innovative Water Technologies: Water Reuse</v>
      </c>
      <c r="G41" s="1" t="str">
        <f>VLOOKUP($D41,orgNodes!$A$2:$D$124,3,FALSE)</f>
        <v>Texas Water Development Board</v>
      </c>
      <c r="H41" s="12">
        <f>VLOOKUP($D41,orgNodes!$A$2:$D$124,4,FALSE)</f>
        <v>6</v>
      </c>
      <c r="I41" s="1" t="s">
        <v>831</v>
      </c>
      <c r="J41" s="1" t="s">
        <v>8</v>
      </c>
      <c r="K41" s="1" t="s">
        <v>2</v>
      </c>
      <c r="L41" s="1" t="s">
        <v>5</v>
      </c>
      <c r="M41" s="1" t="s">
        <v>9</v>
      </c>
      <c r="N41" s="1" t="s">
        <v>7</v>
      </c>
      <c r="O41" s="1" t="s">
        <v>12</v>
      </c>
      <c r="P41" s="1" t="s">
        <v>170</v>
      </c>
      <c r="Q41" s="1" t="s">
        <v>12</v>
      </c>
      <c r="R41" s="1" t="s">
        <v>12</v>
      </c>
      <c r="S41" s="1" t="s">
        <v>12</v>
      </c>
      <c r="T41" s="1" t="s">
        <v>6</v>
      </c>
      <c r="U41" s="1" t="s">
        <v>165</v>
      </c>
    </row>
    <row r="42" spans="1:21" x14ac:dyDescent="0.3">
      <c r="A42" s="1" t="s">
        <v>629</v>
      </c>
      <c r="B42" s="1" t="s">
        <v>247</v>
      </c>
      <c r="C42" s="1" t="s">
        <v>247</v>
      </c>
      <c r="D42" s="12" t="s">
        <v>248</v>
      </c>
      <c r="E42" s="1" t="s">
        <v>760</v>
      </c>
      <c r="F42" s="1" t="str">
        <f>CONCATENATE(E42,": ",B42)</f>
        <v>TWDB-Texas Natural Resources Information System: Texas Natural Resources Information System</v>
      </c>
      <c r="G42" s="1" t="str">
        <f>VLOOKUP($D42,orgNodes!$A$2:$D$124,3,FALSE)</f>
        <v>Texas Water Development Board</v>
      </c>
      <c r="H42" s="12">
        <f>VLOOKUP($D42,orgNodes!$A$2:$D$124,4,FALSE)</f>
        <v>6</v>
      </c>
      <c r="I42" s="1" t="s">
        <v>446</v>
      </c>
      <c r="J42" s="1" t="s">
        <v>881</v>
      </c>
      <c r="K42" s="1" t="s">
        <v>886</v>
      </c>
      <c r="L42" s="1" t="s">
        <v>5</v>
      </c>
      <c r="M42" s="1" t="s">
        <v>911</v>
      </c>
      <c r="N42" s="1" t="s">
        <v>912</v>
      </c>
      <c r="O42" s="1" t="s">
        <v>5</v>
      </c>
      <c r="P42" s="1" t="s">
        <v>11</v>
      </c>
      <c r="Q42" s="1" t="s">
        <v>12</v>
      </c>
      <c r="R42" s="1" t="s">
        <v>171</v>
      </c>
      <c r="S42" s="1" t="s">
        <v>12</v>
      </c>
      <c r="T42" s="1" t="s">
        <v>13</v>
      </c>
      <c r="U42" s="1" t="s">
        <v>939</v>
      </c>
    </row>
    <row r="43" spans="1:21" x14ac:dyDescent="0.3">
      <c r="A43" s="1" t="s">
        <v>630</v>
      </c>
      <c r="B43" s="1" t="s">
        <v>631</v>
      </c>
      <c r="C43" s="1" t="s">
        <v>221</v>
      </c>
      <c r="D43" s="12" t="s">
        <v>222</v>
      </c>
      <c r="E43" s="1" t="s">
        <v>762</v>
      </c>
      <c r="F43" s="1" t="str">
        <f>CONCATENATE(E43,": ",B43)</f>
        <v>TWDB-Water Use: Water Service Boundary Viewer</v>
      </c>
      <c r="G43" s="1" t="str">
        <f>VLOOKUP($D43,orgNodes!$A$2:$D$124,3,FALSE)</f>
        <v>Texas Water Development Board</v>
      </c>
      <c r="H43" s="12">
        <f>VLOOKUP($D43,orgNodes!$A$2:$D$124,4,FALSE)</f>
        <v>6</v>
      </c>
      <c r="I43" s="1" t="s">
        <v>832</v>
      </c>
      <c r="J43" s="1" t="s">
        <v>8</v>
      </c>
      <c r="K43" s="1" t="s">
        <v>2</v>
      </c>
      <c r="L43" s="1" t="s">
        <v>5</v>
      </c>
      <c r="M43" s="1" t="s">
        <v>883</v>
      </c>
      <c r="N43" s="1" t="s">
        <v>913</v>
      </c>
      <c r="O43" s="1" t="s">
        <v>5</v>
      </c>
      <c r="P43" s="1" t="s">
        <v>7</v>
      </c>
      <c r="Q43" s="1" t="s">
        <v>12</v>
      </c>
      <c r="R43" s="1" t="s">
        <v>946</v>
      </c>
      <c r="S43" s="1" t="s">
        <v>12</v>
      </c>
      <c r="T43" s="1" t="s">
        <v>14</v>
      </c>
      <c r="U43" s="1" t="s">
        <v>939</v>
      </c>
    </row>
    <row r="44" spans="1:21" x14ac:dyDescent="0.3">
      <c r="A44" s="1" t="s">
        <v>632</v>
      </c>
      <c r="B44" s="1" t="s">
        <v>216</v>
      </c>
      <c r="C44" s="1" t="s">
        <v>216</v>
      </c>
      <c r="D44" s="12" t="s">
        <v>215</v>
      </c>
      <c r="E44" s="1" t="s">
        <v>766</v>
      </c>
      <c r="F44" s="1" t="str">
        <f>CONCATENATE(E44,": ",B44)</f>
        <v>TSWCB-Flood Control Program: Flood Control Program</v>
      </c>
      <c r="G44" s="1" t="str">
        <f>VLOOKUP($D44,orgNodes!$A$2:$D$124,3,FALSE)</f>
        <v>Texas Soil and Water Conservation Board</v>
      </c>
      <c r="H44" s="12">
        <f>VLOOKUP($D44,orgNodes!$A$2:$D$124,4,FALSE)</f>
        <v>5</v>
      </c>
      <c r="I44" s="1" t="s">
        <v>416</v>
      </c>
      <c r="J44" s="1" t="s">
        <v>8</v>
      </c>
      <c r="K44" s="1" t="s">
        <v>2</v>
      </c>
      <c r="L44" s="1" t="s">
        <v>5</v>
      </c>
      <c r="M44" s="1" t="s">
        <v>883</v>
      </c>
      <c r="N44" s="1" t="s">
        <v>7</v>
      </c>
      <c r="O44" s="1" t="s">
        <v>12</v>
      </c>
      <c r="P44" s="1" t="s">
        <v>170</v>
      </c>
      <c r="Q44" s="1" t="s">
        <v>12</v>
      </c>
      <c r="R44" s="1" t="s">
        <v>12</v>
      </c>
      <c r="S44" s="1" t="s">
        <v>12</v>
      </c>
      <c r="T44" s="1" t="s">
        <v>6</v>
      </c>
      <c r="U44" s="1" t="s">
        <v>939</v>
      </c>
    </row>
    <row r="45" spans="1:21" x14ac:dyDescent="0.3">
      <c r="A45" s="1" t="s">
        <v>633</v>
      </c>
      <c r="B45" s="1" t="s">
        <v>634</v>
      </c>
      <c r="C45" s="1" t="s">
        <v>218</v>
      </c>
      <c r="D45" s="12" t="s">
        <v>217</v>
      </c>
      <c r="E45" s="1" t="s">
        <v>767</v>
      </c>
      <c r="F45" s="1" t="str">
        <f>CONCATENATE(E45,": ",B45)</f>
        <v>TSWCB-Nonpoint Source Management: Watershed Protection Plans</v>
      </c>
      <c r="G45" s="1" t="str">
        <f>VLOOKUP($D45,orgNodes!$A$2:$D$124,3,FALSE)</f>
        <v>Texas Soil and Water Conservation Board</v>
      </c>
      <c r="H45" s="12">
        <f>VLOOKUP($D45,orgNodes!$A$2:$D$124,4,FALSE)</f>
        <v>5</v>
      </c>
      <c r="I45" s="1" t="s">
        <v>833</v>
      </c>
      <c r="J45" s="1" t="s">
        <v>8</v>
      </c>
      <c r="K45" s="1" t="s">
        <v>2</v>
      </c>
      <c r="L45" s="1" t="s">
        <v>5</v>
      </c>
      <c r="M45" s="1" t="s">
        <v>10</v>
      </c>
      <c r="N45" s="1" t="s">
        <v>7</v>
      </c>
      <c r="O45" s="1" t="s">
        <v>12</v>
      </c>
      <c r="P45" s="1" t="s">
        <v>170</v>
      </c>
      <c r="Q45" s="1" t="s">
        <v>12</v>
      </c>
      <c r="R45" s="1" t="s">
        <v>12</v>
      </c>
      <c r="S45" s="1" t="s">
        <v>12</v>
      </c>
      <c r="T45" s="1" t="s">
        <v>6</v>
      </c>
      <c r="U45" s="1" t="s">
        <v>165</v>
      </c>
    </row>
    <row r="46" spans="1:21" x14ac:dyDescent="0.3">
      <c r="A46" s="1" t="s">
        <v>636</v>
      </c>
      <c r="B46" s="1" t="s">
        <v>637</v>
      </c>
      <c r="C46" s="1" t="s">
        <v>638</v>
      </c>
      <c r="D46" s="12" t="s">
        <v>213</v>
      </c>
      <c r="E46" s="1" t="s">
        <v>768</v>
      </c>
      <c r="F46" s="1" t="str">
        <f>CONCATENATE(E46,": ",B46)</f>
        <v>TWSCB-Agency Reports: Agency Reports</v>
      </c>
      <c r="G46" s="1" t="str">
        <f>VLOOKUP($D46,orgNodes!$A$2:$D$124,3,FALSE)</f>
        <v>Texas Soil and Water Conservation Board</v>
      </c>
      <c r="H46" s="12">
        <f>VLOOKUP($D46,orgNodes!$A$2:$D$124,4,FALSE)</f>
        <v>5</v>
      </c>
      <c r="I46" s="1" t="s">
        <v>834</v>
      </c>
      <c r="J46" s="1" t="s">
        <v>8</v>
      </c>
      <c r="K46" s="1" t="s">
        <v>2</v>
      </c>
      <c r="L46" s="1" t="s">
        <v>5</v>
      </c>
      <c r="M46" s="1" t="s">
        <v>9</v>
      </c>
      <c r="N46" s="1" t="s">
        <v>7</v>
      </c>
      <c r="O46" s="1" t="s">
        <v>12</v>
      </c>
      <c r="P46" s="1" t="s">
        <v>170</v>
      </c>
      <c r="Q46" s="1" t="s">
        <v>12</v>
      </c>
      <c r="R46" s="1" t="s">
        <v>12</v>
      </c>
      <c r="S46" s="1" t="s">
        <v>12</v>
      </c>
      <c r="T46" s="1" t="s">
        <v>13</v>
      </c>
      <c r="U46" s="1" t="s">
        <v>166</v>
      </c>
    </row>
    <row r="47" spans="1:21" x14ac:dyDescent="0.3">
      <c r="A47" s="1" t="s">
        <v>639</v>
      </c>
      <c r="B47" s="1" t="s">
        <v>640</v>
      </c>
      <c r="C47" s="1" t="s">
        <v>393</v>
      </c>
      <c r="D47" s="12" t="s">
        <v>566</v>
      </c>
      <c r="E47" s="1" t="s">
        <v>769</v>
      </c>
      <c r="F47" s="1" t="str">
        <f>CONCATENATE(E47,": ",B47)</f>
        <v>TGPC-Publications: TGCP Publications</v>
      </c>
      <c r="G47" s="1" t="str">
        <f>VLOOKUP($D47,orgNodes!$A$2:$D$124,3,FALSE)</f>
        <v>Texas Groundwater Protection Committee</v>
      </c>
      <c r="H47" s="12">
        <f>VLOOKUP($D47,orgNodes!$A$2:$D$124,4,FALSE)</f>
        <v>27</v>
      </c>
      <c r="I47" s="1" t="s">
        <v>835</v>
      </c>
      <c r="J47" s="1" t="s">
        <v>8</v>
      </c>
      <c r="K47" s="1" t="s">
        <v>2</v>
      </c>
      <c r="L47" s="1" t="s">
        <v>5</v>
      </c>
      <c r="M47" s="1" t="s">
        <v>9</v>
      </c>
      <c r="N47" s="1" t="s">
        <v>7</v>
      </c>
      <c r="O47" s="1" t="s">
        <v>12</v>
      </c>
      <c r="P47" s="1" t="s">
        <v>170</v>
      </c>
      <c r="Q47" s="1" t="s">
        <v>12</v>
      </c>
      <c r="R47" s="1" t="s">
        <v>12</v>
      </c>
      <c r="S47" s="1" t="s">
        <v>12</v>
      </c>
      <c r="T47" s="1" t="s">
        <v>6</v>
      </c>
      <c r="U47" s="1" t="s">
        <v>165</v>
      </c>
    </row>
    <row r="48" spans="1:21" x14ac:dyDescent="0.3">
      <c r="A48" s="1" t="s">
        <v>641</v>
      </c>
      <c r="B48" s="1" t="s">
        <v>642</v>
      </c>
      <c r="C48" s="1" t="s">
        <v>391</v>
      </c>
      <c r="D48" s="12" t="s">
        <v>565</v>
      </c>
      <c r="E48" s="1" t="s">
        <v>770</v>
      </c>
      <c r="F48" s="1" t="str">
        <f>CONCATENATE(E48,": ",B48)</f>
        <v>TDIR-Statewide Data Coordination: Texas Open Data Portal</v>
      </c>
      <c r="G48" s="1" t="str">
        <f>VLOOKUP($D48,orgNodes!$A$2:$D$124,3,FALSE)</f>
        <v>Department of Information Resources</v>
      </c>
      <c r="H48" s="12">
        <f>VLOOKUP($D48,orgNodes!$A$2:$D$124,4,FALSE)</f>
        <v>26</v>
      </c>
      <c r="I48" s="1" t="s">
        <v>836</v>
      </c>
      <c r="J48" s="1" t="s">
        <v>881</v>
      </c>
      <c r="K48" s="1" t="s">
        <v>886</v>
      </c>
      <c r="L48" s="1" t="s">
        <v>5</v>
      </c>
      <c r="M48" s="1" t="s">
        <v>1092</v>
      </c>
      <c r="N48" s="1" t="s">
        <v>914</v>
      </c>
      <c r="O48" s="1" t="s">
        <v>5</v>
      </c>
      <c r="P48" s="1" t="s">
        <v>11</v>
      </c>
      <c r="Q48" s="1" t="s">
        <v>12</v>
      </c>
      <c r="R48" s="1" t="s">
        <v>941</v>
      </c>
      <c r="S48" s="1" t="s">
        <v>5</v>
      </c>
      <c r="T48" s="1" t="s">
        <v>13</v>
      </c>
      <c r="U48" s="1" t="s">
        <v>943</v>
      </c>
    </row>
    <row r="49" spans="1:21" x14ac:dyDescent="0.3">
      <c r="A49" s="1" t="s">
        <v>643</v>
      </c>
      <c r="B49" s="1" t="s">
        <v>644</v>
      </c>
      <c r="C49" s="1" t="s">
        <v>254</v>
      </c>
      <c r="D49" s="12" t="s">
        <v>253</v>
      </c>
      <c r="E49" s="1" t="s">
        <v>771</v>
      </c>
      <c r="F49" s="1" t="str">
        <f>CONCATENATE(E49,": ",B49)</f>
        <v>ANAR-Water Delivery: Consumer Information</v>
      </c>
      <c r="G49" s="1" t="str">
        <f>VLOOKUP($D49,orgNodes!$A$2:$D$124,3,FALSE)</f>
        <v>Angelina and Neches River Authority</v>
      </c>
      <c r="H49" s="12">
        <f>VLOOKUP($D49,orgNodes!$A$2:$D$124,4,FALSE)</f>
        <v>7</v>
      </c>
      <c r="I49" s="1" t="s">
        <v>837</v>
      </c>
      <c r="J49" s="1" t="s">
        <v>8</v>
      </c>
      <c r="K49" s="1" t="s">
        <v>2</v>
      </c>
      <c r="L49" s="1" t="s">
        <v>5</v>
      </c>
      <c r="M49" s="1" t="s">
        <v>9</v>
      </c>
      <c r="N49" s="1" t="s">
        <v>7</v>
      </c>
      <c r="O49" s="1" t="s">
        <v>5</v>
      </c>
      <c r="P49" s="1" t="s">
        <v>938</v>
      </c>
      <c r="Q49" s="1" t="s">
        <v>5</v>
      </c>
      <c r="R49" s="1" t="s">
        <v>171</v>
      </c>
      <c r="S49" s="1" t="s">
        <v>12</v>
      </c>
      <c r="T49" s="1" t="s">
        <v>14</v>
      </c>
      <c r="U49" s="1" t="s">
        <v>164</v>
      </c>
    </row>
    <row r="50" spans="1:21" x14ac:dyDescent="0.3">
      <c r="A50" s="1" t="s">
        <v>645</v>
      </c>
      <c r="B50" s="1" t="s">
        <v>646</v>
      </c>
      <c r="C50" s="1" t="s">
        <v>258</v>
      </c>
      <c r="D50" s="12" t="s">
        <v>257</v>
      </c>
      <c r="E50" s="1" t="s">
        <v>772</v>
      </c>
      <c r="F50" s="1" t="str">
        <f>CONCATENATE(E50,": ",B50)</f>
        <v>ANAR-Reservoirs: Drought Information</v>
      </c>
      <c r="G50" s="1" t="str">
        <f>VLOOKUP($D50,orgNodes!$A$2:$D$124,3,FALSE)</f>
        <v>Angelina and Neches River Authority</v>
      </c>
      <c r="H50" s="12">
        <f>VLOOKUP($D50,orgNodes!$A$2:$D$124,4,FALSE)</f>
        <v>7</v>
      </c>
      <c r="I50" s="1" t="s">
        <v>838</v>
      </c>
      <c r="J50" s="1" t="s">
        <v>8</v>
      </c>
      <c r="K50" s="1" t="s">
        <v>2</v>
      </c>
      <c r="L50" s="1" t="s">
        <v>5</v>
      </c>
      <c r="M50" s="1" t="s">
        <v>10</v>
      </c>
      <c r="N50" s="1" t="s">
        <v>915</v>
      </c>
      <c r="O50" s="1" t="s">
        <v>12</v>
      </c>
      <c r="P50" s="1" t="s">
        <v>170</v>
      </c>
      <c r="Q50" s="1" t="s">
        <v>5</v>
      </c>
      <c r="R50" s="1" t="s">
        <v>12</v>
      </c>
      <c r="S50" s="1" t="s">
        <v>12</v>
      </c>
      <c r="T50" s="1" t="s">
        <v>937</v>
      </c>
      <c r="U50" s="1" t="s">
        <v>939</v>
      </c>
    </row>
    <row r="51" spans="1:21" x14ac:dyDescent="0.3">
      <c r="A51" s="1" t="s">
        <v>647</v>
      </c>
      <c r="B51" s="1" t="s">
        <v>648</v>
      </c>
      <c r="C51" s="1" t="s">
        <v>258</v>
      </c>
      <c r="D51" s="12" t="s">
        <v>257</v>
      </c>
      <c r="E51" s="1" t="s">
        <v>772</v>
      </c>
      <c r="F51" s="1" t="str">
        <f>CONCATENATE(E51,": ",B51)</f>
        <v>ANAR-Reservoirs: Stream Gauges</v>
      </c>
      <c r="G51" s="1" t="str">
        <f>VLOOKUP($D51,orgNodes!$A$2:$D$124,3,FALSE)</f>
        <v>Angelina and Neches River Authority</v>
      </c>
      <c r="H51" s="12">
        <f>VLOOKUP($D51,orgNodes!$A$2:$D$124,4,FALSE)</f>
        <v>7</v>
      </c>
      <c r="I51" s="1" t="s">
        <v>839</v>
      </c>
      <c r="J51" s="1" t="s">
        <v>8</v>
      </c>
      <c r="K51" s="1" t="s">
        <v>2</v>
      </c>
      <c r="L51" s="1" t="s">
        <v>12</v>
      </c>
      <c r="M51" s="1" t="s">
        <v>10</v>
      </c>
      <c r="N51" s="1" t="s">
        <v>915</v>
      </c>
      <c r="O51" s="1" t="s">
        <v>12</v>
      </c>
      <c r="P51" s="1" t="s">
        <v>170</v>
      </c>
      <c r="Q51" s="1" t="s">
        <v>5</v>
      </c>
      <c r="R51" s="1" t="s">
        <v>12</v>
      </c>
      <c r="S51" s="1" t="s">
        <v>12</v>
      </c>
      <c r="T51" s="1" t="s">
        <v>942</v>
      </c>
      <c r="U51" s="1" t="s">
        <v>166</v>
      </c>
    </row>
    <row r="52" spans="1:21" x14ac:dyDescent="0.3">
      <c r="A52" s="1" t="s">
        <v>649</v>
      </c>
      <c r="B52" s="1" t="s">
        <v>54</v>
      </c>
      <c r="C52" s="1" t="s">
        <v>258</v>
      </c>
      <c r="D52" s="12" t="s">
        <v>257</v>
      </c>
      <c r="E52" s="1" t="s">
        <v>772</v>
      </c>
      <c r="F52" s="1" t="str">
        <f>CONCATENATE(E52,": ",B52)</f>
        <v>ANAR-Reservoirs: Reservoir Levels</v>
      </c>
      <c r="G52" s="1" t="str">
        <f>VLOOKUP($D52,orgNodes!$A$2:$D$124,3,FALSE)</f>
        <v>Angelina and Neches River Authority</v>
      </c>
      <c r="H52" s="12">
        <f>VLOOKUP($D52,orgNodes!$A$2:$D$124,4,FALSE)</f>
        <v>7</v>
      </c>
      <c r="I52" s="1" t="s">
        <v>840</v>
      </c>
      <c r="J52" s="1" t="s">
        <v>8</v>
      </c>
      <c r="K52" s="1" t="s">
        <v>2</v>
      </c>
      <c r="L52" s="1" t="s">
        <v>12</v>
      </c>
      <c r="M52" s="1" t="s">
        <v>10</v>
      </c>
      <c r="N52" s="1" t="s">
        <v>915</v>
      </c>
      <c r="O52" s="1" t="s">
        <v>12</v>
      </c>
      <c r="P52" s="1" t="s">
        <v>170</v>
      </c>
      <c r="Q52" s="1" t="s">
        <v>5</v>
      </c>
      <c r="R52" s="1" t="s">
        <v>12</v>
      </c>
      <c r="S52" s="1" t="s">
        <v>12</v>
      </c>
      <c r="T52" s="1" t="s">
        <v>942</v>
      </c>
      <c r="U52" s="1" t="s">
        <v>166</v>
      </c>
    </row>
    <row r="53" spans="1:21" x14ac:dyDescent="0.3">
      <c r="A53" s="1" t="s">
        <v>650</v>
      </c>
      <c r="B53" s="1" t="s">
        <v>651</v>
      </c>
      <c r="C53" s="1" t="s">
        <v>266</v>
      </c>
      <c r="D53" s="12" t="s">
        <v>265</v>
      </c>
      <c r="E53" s="1" t="s">
        <v>773</v>
      </c>
      <c r="F53" s="1" t="str">
        <f>CONCATENATE(E53,": ",B53)</f>
        <v>BCRAGD-Water Quality Monitoring: In House Surface Water Quality Testing</v>
      </c>
      <c r="G53" s="1" t="str">
        <f>VLOOKUP($D53,orgNodes!$A$2:$D$124,3,FALSE)</f>
        <v>Bandera County River Authority</v>
      </c>
      <c r="H53" s="12">
        <f>VLOOKUP($D53,orgNodes!$A$2:$D$124,4,FALSE)</f>
        <v>8</v>
      </c>
      <c r="I53" s="1" t="s">
        <v>460</v>
      </c>
      <c r="J53" s="1" t="s">
        <v>8</v>
      </c>
      <c r="K53" s="1" t="s">
        <v>2</v>
      </c>
      <c r="L53" s="1" t="s">
        <v>5</v>
      </c>
      <c r="M53" s="1" t="s">
        <v>9</v>
      </c>
      <c r="N53" s="1" t="s">
        <v>7</v>
      </c>
      <c r="O53" s="1" t="s">
        <v>12</v>
      </c>
      <c r="P53" s="1" t="s">
        <v>170</v>
      </c>
      <c r="Q53" s="1" t="s">
        <v>12</v>
      </c>
      <c r="R53" s="1" t="s">
        <v>12</v>
      </c>
      <c r="S53" s="1" t="s">
        <v>12</v>
      </c>
      <c r="T53" s="1" t="s">
        <v>13</v>
      </c>
      <c r="U53" s="1" t="s">
        <v>166</v>
      </c>
    </row>
    <row r="54" spans="1:21" x14ac:dyDescent="0.3">
      <c r="A54" s="1" t="s">
        <v>652</v>
      </c>
      <c r="B54" s="1" t="s">
        <v>653</v>
      </c>
      <c r="C54" s="1" t="s">
        <v>3</v>
      </c>
      <c r="D54" s="12" t="s">
        <v>261</v>
      </c>
      <c r="E54" s="1" t="s">
        <v>774</v>
      </c>
      <c r="F54" s="1" t="str">
        <f>CONCATENATE(E54,": ",B54)</f>
        <v>BCRAGD-Groundwater Monitoring: Monitor Well Program</v>
      </c>
      <c r="G54" s="1" t="str">
        <f>VLOOKUP($D54,orgNodes!$A$2:$D$124,3,FALSE)</f>
        <v>Bandera County River Authority</v>
      </c>
      <c r="H54" s="12">
        <f>VLOOKUP($D54,orgNodes!$A$2:$D$124,4,FALSE)</f>
        <v>8</v>
      </c>
      <c r="I54" s="1" t="s">
        <v>841</v>
      </c>
      <c r="J54" s="1" t="s">
        <v>8</v>
      </c>
      <c r="K54" s="1" t="s">
        <v>2</v>
      </c>
      <c r="L54" s="1" t="s">
        <v>5</v>
      </c>
      <c r="M54" s="1" t="s">
        <v>916</v>
      </c>
      <c r="N54" s="1" t="s">
        <v>917</v>
      </c>
      <c r="O54" s="1" t="s">
        <v>5</v>
      </c>
      <c r="P54" s="1" t="s">
        <v>11</v>
      </c>
      <c r="Q54" s="1" t="s">
        <v>12</v>
      </c>
      <c r="R54" s="1" t="s">
        <v>946</v>
      </c>
      <c r="S54" s="1" t="s">
        <v>12</v>
      </c>
      <c r="T54" s="1" t="s">
        <v>6</v>
      </c>
      <c r="U54" s="1" t="s">
        <v>164</v>
      </c>
    </row>
    <row r="55" spans="1:21" x14ac:dyDescent="0.3">
      <c r="A55" s="1" t="s">
        <v>654</v>
      </c>
      <c r="B55" s="1" t="s">
        <v>655</v>
      </c>
      <c r="C55" s="1" t="s">
        <v>268</v>
      </c>
      <c r="D55" s="12" t="s">
        <v>267</v>
      </c>
      <c r="E55" s="1" t="s">
        <v>775</v>
      </c>
      <c r="F55" s="1" t="str">
        <f>CONCATENATE(E55,": ",B55)</f>
        <v>BCRAGD-Flood Management: Rainfall and River Gauges</v>
      </c>
      <c r="G55" s="1" t="str">
        <f>VLOOKUP($D55,orgNodes!$A$2:$D$124,3,FALSE)</f>
        <v>Bandera County River Authority</v>
      </c>
      <c r="H55" s="12">
        <f>VLOOKUP($D55,orgNodes!$A$2:$D$124,4,FALSE)</f>
        <v>8</v>
      </c>
      <c r="I55" s="1" t="s">
        <v>842</v>
      </c>
      <c r="J55" s="1" t="s">
        <v>8</v>
      </c>
      <c r="K55" s="1" t="s">
        <v>2</v>
      </c>
      <c r="L55" s="1" t="s">
        <v>5</v>
      </c>
      <c r="M55" s="1" t="s">
        <v>918</v>
      </c>
      <c r="N55" s="1" t="s">
        <v>919</v>
      </c>
      <c r="O55" s="1" t="s">
        <v>5</v>
      </c>
      <c r="P55" s="1" t="s">
        <v>11</v>
      </c>
      <c r="Q55" s="1" t="s">
        <v>12</v>
      </c>
      <c r="R55" s="1" t="s">
        <v>946</v>
      </c>
      <c r="S55" s="1" t="s">
        <v>12</v>
      </c>
      <c r="T55" s="1" t="s">
        <v>942</v>
      </c>
      <c r="U55" s="1" t="s">
        <v>943</v>
      </c>
    </row>
    <row r="56" spans="1:21" x14ac:dyDescent="0.3">
      <c r="A56" s="1" t="s">
        <v>656</v>
      </c>
      <c r="B56" s="1" t="s">
        <v>263</v>
      </c>
      <c r="C56" s="1" t="s">
        <v>263</v>
      </c>
      <c r="D56" s="12" t="s">
        <v>262</v>
      </c>
      <c r="E56" s="1" t="s">
        <v>776</v>
      </c>
      <c r="F56" s="1" t="str">
        <f>CONCATENATE(E56,": ",B56)</f>
        <v>BCRAGD-Reservoirs: Medina Lake</v>
      </c>
      <c r="G56" s="1" t="str">
        <f>VLOOKUP($D56,orgNodes!$A$2:$D$124,3,FALSE)</f>
        <v>Bandera County River Authority</v>
      </c>
      <c r="H56" s="12">
        <f>VLOOKUP($D56,orgNodes!$A$2:$D$124,4,FALSE)</f>
        <v>8</v>
      </c>
      <c r="I56" s="1" t="s">
        <v>458</v>
      </c>
      <c r="J56" s="1" t="s">
        <v>8</v>
      </c>
      <c r="K56" s="1" t="s">
        <v>2</v>
      </c>
      <c r="L56" s="1" t="s">
        <v>5</v>
      </c>
      <c r="M56" s="1" t="s">
        <v>10</v>
      </c>
      <c r="N56" s="1" t="s">
        <v>920</v>
      </c>
      <c r="O56" s="1" t="s">
        <v>5</v>
      </c>
      <c r="P56" s="1" t="s">
        <v>938</v>
      </c>
      <c r="Q56" s="1" t="s">
        <v>5</v>
      </c>
      <c r="R56" s="1" t="s">
        <v>171</v>
      </c>
      <c r="S56" s="1" t="s">
        <v>12</v>
      </c>
      <c r="T56" s="1" t="s">
        <v>942</v>
      </c>
      <c r="U56" s="1" t="s">
        <v>164</v>
      </c>
    </row>
    <row r="57" spans="1:21" x14ac:dyDescent="0.3">
      <c r="A57" s="1" t="s">
        <v>657</v>
      </c>
      <c r="B57" s="1" t="s">
        <v>274</v>
      </c>
      <c r="C57" s="1" t="s">
        <v>40</v>
      </c>
      <c r="D57" s="12" t="s">
        <v>272</v>
      </c>
      <c r="E57" s="1" t="s">
        <v>777</v>
      </c>
      <c r="F57" s="1" t="str">
        <f>CONCATENATE(E57,": ",B57)</f>
        <v>BRA-Water Supply: Drought</v>
      </c>
      <c r="G57" s="1" t="str">
        <f>VLOOKUP($D57,orgNodes!$A$2:$D$124,3,FALSE)</f>
        <v>Brazos River Authority</v>
      </c>
      <c r="H57" s="12">
        <f>VLOOKUP($D57,orgNodes!$A$2:$D$124,4,FALSE)</f>
        <v>9</v>
      </c>
      <c r="I57" s="1" t="s">
        <v>468</v>
      </c>
      <c r="J57" s="1" t="s">
        <v>8</v>
      </c>
      <c r="K57" s="1" t="s">
        <v>2</v>
      </c>
      <c r="L57" s="1" t="s">
        <v>5</v>
      </c>
      <c r="M57" s="1" t="s">
        <v>916</v>
      </c>
      <c r="N57" s="1" t="s">
        <v>7</v>
      </c>
      <c r="O57" s="1" t="s">
        <v>5</v>
      </c>
      <c r="P57" s="1" t="s">
        <v>938</v>
      </c>
      <c r="Q57" s="1" t="s">
        <v>12</v>
      </c>
      <c r="R57" s="1" t="s">
        <v>167</v>
      </c>
      <c r="S57" s="1" t="s">
        <v>12</v>
      </c>
      <c r="T57" s="1" t="s">
        <v>13</v>
      </c>
      <c r="U57" s="1" t="s">
        <v>939</v>
      </c>
    </row>
    <row r="58" spans="1:21" x14ac:dyDescent="0.3">
      <c r="A58" s="1" t="s">
        <v>658</v>
      </c>
      <c r="B58" s="1" t="s">
        <v>659</v>
      </c>
      <c r="C58" s="1" t="s">
        <v>212</v>
      </c>
      <c r="D58" s="12" t="s">
        <v>278</v>
      </c>
      <c r="E58" s="1" t="s">
        <v>778</v>
      </c>
      <c r="F58" s="1" t="str">
        <f>CONCATENATE(E58,": ",B58)</f>
        <v>BRA-Clean Rivers Program: Brazos River Watershed Information Center</v>
      </c>
      <c r="G58" s="1" t="str">
        <f>VLOOKUP($D58,orgNodes!$A$2:$D$124,3,FALSE)</f>
        <v>Brazos River Authority</v>
      </c>
      <c r="H58" s="12">
        <f>VLOOKUP($D58,orgNodes!$A$2:$D$124,4,FALSE)</f>
        <v>9</v>
      </c>
      <c r="I58" s="1" t="s">
        <v>843</v>
      </c>
      <c r="J58" s="1" t="s">
        <v>881</v>
      </c>
      <c r="K58" s="1" t="s">
        <v>886</v>
      </c>
      <c r="L58" s="1" t="s">
        <v>5</v>
      </c>
      <c r="M58" s="1" t="s">
        <v>9</v>
      </c>
      <c r="N58" s="1" t="s">
        <v>921</v>
      </c>
      <c r="O58" s="1" t="s">
        <v>12</v>
      </c>
      <c r="P58" s="1" t="s">
        <v>170</v>
      </c>
      <c r="Q58" s="1" t="s">
        <v>12</v>
      </c>
      <c r="R58" s="1" t="s">
        <v>12</v>
      </c>
      <c r="S58" s="1" t="s">
        <v>12</v>
      </c>
      <c r="T58" s="1" t="s">
        <v>6</v>
      </c>
      <c r="U58" s="1" t="s">
        <v>166</v>
      </c>
    </row>
    <row r="59" spans="1:21" x14ac:dyDescent="0.3">
      <c r="A59" s="1" t="s">
        <v>660</v>
      </c>
      <c r="B59" s="1" t="s">
        <v>661</v>
      </c>
      <c r="C59" s="1" t="s">
        <v>212</v>
      </c>
      <c r="D59" s="12" t="s">
        <v>278</v>
      </c>
      <c r="E59" s="1" t="s">
        <v>778</v>
      </c>
      <c r="F59" s="1" t="str">
        <f>CONCATENATE(E59,": ",B59)</f>
        <v>BRA-Clean Rivers Program: Basin Summary Report</v>
      </c>
      <c r="G59" s="1" t="str">
        <f>VLOOKUP($D59,orgNodes!$A$2:$D$124,3,FALSE)</f>
        <v>Brazos River Authority</v>
      </c>
      <c r="H59" s="12">
        <f>VLOOKUP($D59,orgNodes!$A$2:$D$124,4,FALSE)</f>
        <v>9</v>
      </c>
      <c r="I59" s="1" t="s">
        <v>844</v>
      </c>
      <c r="J59" s="1" t="s">
        <v>8</v>
      </c>
      <c r="K59" s="1" t="s">
        <v>2</v>
      </c>
      <c r="L59" s="1" t="s">
        <v>5</v>
      </c>
      <c r="M59" s="1" t="s">
        <v>9</v>
      </c>
      <c r="N59" s="1" t="s">
        <v>7</v>
      </c>
      <c r="O59" s="1" t="s">
        <v>12</v>
      </c>
      <c r="P59" s="1" t="s">
        <v>170</v>
      </c>
      <c r="Q59" s="1" t="s">
        <v>12</v>
      </c>
      <c r="R59" s="1" t="s">
        <v>12</v>
      </c>
      <c r="S59" s="1" t="s">
        <v>12</v>
      </c>
      <c r="T59" s="1" t="s">
        <v>14</v>
      </c>
      <c r="U59" s="1" t="s">
        <v>939</v>
      </c>
    </row>
    <row r="60" spans="1:21" x14ac:dyDescent="0.3">
      <c r="A60" s="1" t="s">
        <v>662</v>
      </c>
      <c r="B60" s="1" t="s">
        <v>280</v>
      </c>
      <c r="C60" s="1" t="s">
        <v>280</v>
      </c>
      <c r="D60" s="12" t="s">
        <v>279</v>
      </c>
      <c r="E60" s="1" t="s">
        <v>777</v>
      </c>
      <c r="F60" s="1" t="str">
        <f>CONCATENATE(E60,": ",B60)</f>
        <v>BRA-Water Supply: BrazosBasinNOW</v>
      </c>
      <c r="G60" s="1" t="str">
        <f>VLOOKUP($D60,orgNodes!$A$2:$D$124,3,FALSE)</f>
        <v>Brazos River Authority</v>
      </c>
      <c r="H60" s="12">
        <f>VLOOKUP($D60,orgNodes!$A$2:$D$124,4,FALSE)</f>
        <v>9</v>
      </c>
      <c r="I60" s="1" t="s">
        <v>476</v>
      </c>
      <c r="J60" s="1" t="s">
        <v>881</v>
      </c>
      <c r="K60" s="1" t="s">
        <v>892</v>
      </c>
      <c r="L60" s="1" t="s">
        <v>5</v>
      </c>
      <c r="M60" s="1" t="s">
        <v>9</v>
      </c>
      <c r="N60" s="1" t="s">
        <v>922</v>
      </c>
      <c r="O60" s="1" t="s">
        <v>5</v>
      </c>
      <c r="P60" s="1" t="s">
        <v>11</v>
      </c>
      <c r="Q60" s="1" t="s">
        <v>12</v>
      </c>
      <c r="R60" s="1" t="s">
        <v>946</v>
      </c>
      <c r="S60" s="1" t="s">
        <v>12</v>
      </c>
      <c r="T60" s="1" t="s">
        <v>942</v>
      </c>
      <c r="U60" s="1" t="s">
        <v>939</v>
      </c>
    </row>
    <row r="61" spans="1:21" x14ac:dyDescent="0.3">
      <c r="A61" s="1" t="s">
        <v>664</v>
      </c>
      <c r="B61" s="1" t="s">
        <v>665</v>
      </c>
      <c r="C61" s="1" t="s">
        <v>40</v>
      </c>
      <c r="D61" s="12" t="s">
        <v>272</v>
      </c>
      <c r="E61" s="1" t="s">
        <v>777</v>
      </c>
      <c r="F61" s="1" t="str">
        <f>CONCATENATE(E61,": ",B61)</f>
        <v>BRA-Water Supply: Water Supply and Reservoir Data</v>
      </c>
      <c r="G61" s="1" t="str">
        <f>VLOOKUP($D61,orgNodes!$A$2:$D$124,3,FALSE)</f>
        <v>Brazos River Authority</v>
      </c>
      <c r="H61" s="12">
        <f>VLOOKUP($D61,orgNodes!$A$2:$D$124,4,FALSE)</f>
        <v>9</v>
      </c>
      <c r="I61" s="1" t="s">
        <v>845</v>
      </c>
      <c r="J61" s="1" t="s">
        <v>8</v>
      </c>
      <c r="K61" s="1" t="s">
        <v>2</v>
      </c>
      <c r="L61" s="1" t="s">
        <v>5</v>
      </c>
      <c r="M61" s="1" t="s">
        <v>15</v>
      </c>
      <c r="N61" s="1" t="s">
        <v>11</v>
      </c>
      <c r="O61" s="1" t="s">
        <v>12</v>
      </c>
      <c r="P61" s="1" t="s">
        <v>170</v>
      </c>
      <c r="Q61" s="1" t="s">
        <v>12</v>
      </c>
      <c r="R61" s="1" t="s">
        <v>12</v>
      </c>
      <c r="S61" s="1" t="s">
        <v>12</v>
      </c>
      <c r="T61" s="1" t="s">
        <v>6</v>
      </c>
      <c r="U61" s="1" t="s">
        <v>939</v>
      </c>
    </row>
    <row r="62" spans="1:21" x14ac:dyDescent="0.3">
      <c r="A62" s="1" t="s">
        <v>666</v>
      </c>
      <c r="B62" s="1" t="s">
        <v>667</v>
      </c>
      <c r="C62" s="1" t="s">
        <v>270</v>
      </c>
      <c r="D62" s="12" t="s">
        <v>269</v>
      </c>
      <c r="E62" s="1" t="s">
        <v>779</v>
      </c>
      <c r="F62" s="1" t="str">
        <f>CONCATENATE(E62,": ",B62)</f>
        <v>BRA-Maps: Brazos River Authority Maps</v>
      </c>
      <c r="G62" s="1" t="str">
        <f>VLOOKUP($D62,orgNodes!$A$2:$D$124,3,FALSE)</f>
        <v>Brazos River Authority</v>
      </c>
      <c r="H62" s="12">
        <f>VLOOKUP($D62,orgNodes!$A$2:$D$124,4,FALSE)</f>
        <v>9</v>
      </c>
      <c r="I62" s="1" t="s">
        <v>846</v>
      </c>
      <c r="J62" s="1" t="s">
        <v>8</v>
      </c>
      <c r="K62" s="1" t="s">
        <v>2</v>
      </c>
      <c r="L62" s="1" t="s">
        <v>5</v>
      </c>
      <c r="M62" s="1" t="s">
        <v>9</v>
      </c>
      <c r="N62" s="1" t="s">
        <v>7</v>
      </c>
      <c r="O62" s="1" t="s">
        <v>12</v>
      </c>
      <c r="P62" s="1" t="s">
        <v>170</v>
      </c>
      <c r="Q62" s="1" t="s">
        <v>12</v>
      </c>
      <c r="R62" s="1" t="s">
        <v>12</v>
      </c>
      <c r="S62" s="1" t="s">
        <v>12</v>
      </c>
      <c r="T62" s="1" t="s">
        <v>6</v>
      </c>
      <c r="U62" s="1" t="s">
        <v>939</v>
      </c>
    </row>
    <row r="63" spans="1:21" x14ac:dyDescent="0.3">
      <c r="A63" s="1" t="s">
        <v>668</v>
      </c>
      <c r="B63" s="1" t="s">
        <v>669</v>
      </c>
      <c r="C63" s="1" t="s">
        <v>288</v>
      </c>
      <c r="D63" s="12" t="s">
        <v>287</v>
      </c>
      <c r="E63" s="1" t="s">
        <v>780</v>
      </c>
      <c r="F63" s="1" t="str">
        <f>CONCATENATE(E63,": ",B63)</f>
        <v>GBRA-Water Resources Management: Rainfall Data</v>
      </c>
      <c r="G63" s="1" t="str">
        <f>VLOOKUP($D63,orgNodes!$A$2:$D$124,3,FALSE)</f>
        <v>Guadalupe Blanco River Authority</v>
      </c>
      <c r="H63" s="12">
        <f>VLOOKUP($D63,orgNodes!$A$2:$D$124,4,FALSE)</f>
        <v>10</v>
      </c>
      <c r="I63" s="1" t="s">
        <v>847</v>
      </c>
      <c r="J63" s="1" t="s">
        <v>8</v>
      </c>
      <c r="K63" s="1" t="s">
        <v>2</v>
      </c>
      <c r="L63" s="1" t="s">
        <v>5</v>
      </c>
      <c r="M63" s="1" t="s">
        <v>15</v>
      </c>
      <c r="N63" s="1" t="s">
        <v>11</v>
      </c>
      <c r="O63" s="1" t="s">
        <v>12</v>
      </c>
      <c r="P63" s="1" t="s">
        <v>170</v>
      </c>
      <c r="Q63" s="1" t="s">
        <v>12</v>
      </c>
      <c r="R63" s="1" t="s">
        <v>12</v>
      </c>
      <c r="S63" s="1" t="s">
        <v>12</v>
      </c>
      <c r="T63" s="1" t="s">
        <v>942</v>
      </c>
      <c r="U63" s="1" t="s">
        <v>939</v>
      </c>
    </row>
    <row r="64" spans="1:21" x14ac:dyDescent="0.3">
      <c r="A64" s="1" t="s">
        <v>670</v>
      </c>
      <c r="B64" s="1" t="s">
        <v>671</v>
      </c>
      <c r="C64" s="1" t="s">
        <v>288</v>
      </c>
      <c r="D64" s="12" t="s">
        <v>287</v>
      </c>
      <c r="E64" s="1" t="s">
        <v>780</v>
      </c>
      <c r="F64" s="1" t="str">
        <f>CONCATENATE(E64,": ",B64)</f>
        <v>GBRA-Water Resources Management: Streamflow Data Map</v>
      </c>
      <c r="G64" s="1" t="str">
        <f>VLOOKUP($D64,orgNodes!$A$2:$D$124,3,FALSE)</f>
        <v>Guadalupe Blanco River Authority</v>
      </c>
      <c r="H64" s="12">
        <f>VLOOKUP($D64,orgNodes!$A$2:$D$124,4,FALSE)</f>
        <v>10</v>
      </c>
      <c r="I64" s="1" t="s">
        <v>848</v>
      </c>
      <c r="J64" s="1" t="s">
        <v>8</v>
      </c>
      <c r="K64" s="1" t="s">
        <v>2</v>
      </c>
      <c r="L64" s="1" t="s">
        <v>5</v>
      </c>
      <c r="M64" s="1" t="s">
        <v>15</v>
      </c>
      <c r="N64" s="1" t="s">
        <v>11</v>
      </c>
      <c r="O64" s="1" t="s">
        <v>12</v>
      </c>
      <c r="P64" s="1" t="s">
        <v>170</v>
      </c>
      <c r="Q64" s="1" t="s">
        <v>12</v>
      </c>
      <c r="R64" s="1" t="s">
        <v>12</v>
      </c>
      <c r="S64" s="1" t="s">
        <v>12</v>
      </c>
      <c r="T64" s="1" t="s">
        <v>942</v>
      </c>
      <c r="U64" s="1" t="s">
        <v>939</v>
      </c>
    </row>
    <row r="65" spans="1:21" x14ac:dyDescent="0.3">
      <c r="A65" s="1" t="s">
        <v>672</v>
      </c>
      <c r="B65" s="1" t="s">
        <v>673</v>
      </c>
      <c r="C65" s="1" t="s">
        <v>288</v>
      </c>
      <c r="D65" s="12" t="s">
        <v>287</v>
      </c>
      <c r="E65" s="1" t="s">
        <v>780</v>
      </c>
      <c r="F65" s="1" t="str">
        <f>CONCATENATE(E65,": ",B65)</f>
        <v>GBRA-Water Resources Management: Basin Summary</v>
      </c>
      <c r="G65" s="1" t="str">
        <f>VLOOKUP($D65,orgNodes!$A$2:$D$124,3,FALSE)</f>
        <v>Guadalupe Blanco River Authority</v>
      </c>
      <c r="H65" s="12">
        <f>VLOOKUP($D65,orgNodes!$A$2:$D$124,4,FALSE)</f>
        <v>10</v>
      </c>
      <c r="I65" s="1" t="s">
        <v>849</v>
      </c>
      <c r="J65" s="1" t="s">
        <v>8</v>
      </c>
      <c r="K65" s="1" t="s">
        <v>2</v>
      </c>
      <c r="L65" s="1" t="s">
        <v>5</v>
      </c>
      <c r="M65" s="1" t="s">
        <v>923</v>
      </c>
      <c r="N65" s="1" t="s">
        <v>11</v>
      </c>
      <c r="O65" s="1" t="s">
        <v>12</v>
      </c>
      <c r="P65" s="1" t="s">
        <v>170</v>
      </c>
      <c r="Q65" s="1" t="s">
        <v>12</v>
      </c>
      <c r="R65" s="1" t="s">
        <v>12</v>
      </c>
      <c r="S65" s="1" t="s">
        <v>12</v>
      </c>
      <c r="T65" s="1" t="s">
        <v>942</v>
      </c>
      <c r="U65" s="1" t="s">
        <v>939</v>
      </c>
    </row>
    <row r="66" spans="1:21" x14ac:dyDescent="0.3">
      <c r="A66" s="1" t="s">
        <v>674</v>
      </c>
      <c r="B66" s="1" t="s">
        <v>675</v>
      </c>
      <c r="C66" s="1" t="s">
        <v>212</v>
      </c>
      <c r="D66" s="12" t="s">
        <v>289</v>
      </c>
      <c r="E66" s="1" t="s">
        <v>781</v>
      </c>
      <c r="F66" s="1" t="str">
        <f>CONCATENATE(E66,": ",B66)</f>
        <v>GBRA-Clean Rivers Program: Monitoring Sites Map</v>
      </c>
      <c r="G66" s="1" t="str">
        <f>VLOOKUP($D66,orgNodes!$A$2:$D$124,3,FALSE)</f>
        <v>Guadalupe Blanco River Authority</v>
      </c>
      <c r="H66" s="12">
        <f>VLOOKUP($D66,orgNodes!$A$2:$D$124,4,FALSE)</f>
        <v>10</v>
      </c>
      <c r="I66" s="1" t="s">
        <v>850</v>
      </c>
      <c r="J66" s="1" t="s">
        <v>891</v>
      </c>
      <c r="K66" s="1" t="s">
        <v>924</v>
      </c>
      <c r="L66" s="1" t="s">
        <v>5</v>
      </c>
      <c r="M66" s="1" t="s">
        <v>9</v>
      </c>
      <c r="N66" s="1" t="s">
        <v>925</v>
      </c>
      <c r="O66" s="1" t="s">
        <v>12</v>
      </c>
      <c r="P66" s="1" t="s">
        <v>170</v>
      </c>
      <c r="Q66" s="1" t="s">
        <v>12</v>
      </c>
      <c r="R66" s="1" t="s">
        <v>12</v>
      </c>
      <c r="S66" s="1" t="s">
        <v>12</v>
      </c>
      <c r="T66" s="1" t="s">
        <v>13</v>
      </c>
      <c r="U66" s="1" t="s">
        <v>164</v>
      </c>
    </row>
    <row r="67" spans="1:21" x14ac:dyDescent="0.3">
      <c r="A67" s="1" t="s">
        <v>676</v>
      </c>
      <c r="B67" s="1" t="s">
        <v>677</v>
      </c>
      <c r="C67" s="1" t="s">
        <v>282</v>
      </c>
      <c r="D67" s="12" t="s">
        <v>281</v>
      </c>
      <c r="E67" s="1" t="s">
        <v>782</v>
      </c>
      <c r="F67" s="1" t="str">
        <f>CONCATENATE(E67,": ",B67)</f>
        <v>GBRA-Consumer Confidence Reports: Consumer Confidence Reports</v>
      </c>
      <c r="G67" s="1" t="str">
        <f>VLOOKUP($D67,orgNodes!$A$2:$D$124,3,FALSE)</f>
        <v>Guadalupe Blanco River Authority</v>
      </c>
      <c r="H67" s="12">
        <f>VLOOKUP($D67,orgNodes!$A$2:$D$124,4,FALSE)</f>
        <v>10</v>
      </c>
      <c r="I67" s="1" t="s">
        <v>851</v>
      </c>
      <c r="J67" s="1" t="s">
        <v>8</v>
      </c>
      <c r="K67" s="1" t="s">
        <v>2</v>
      </c>
      <c r="L67" s="1" t="s">
        <v>5</v>
      </c>
      <c r="M67" s="1" t="s">
        <v>9</v>
      </c>
      <c r="N67" s="1" t="s">
        <v>7</v>
      </c>
      <c r="O67" s="1" t="s">
        <v>5</v>
      </c>
      <c r="P67" s="1" t="s">
        <v>938</v>
      </c>
      <c r="Q67" s="1" t="s">
        <v>5</v>
      </c>
      <c r="R67" s="1" t="s">
        <v>171</v>
      </c>
      <c r="S67" s="1" t="s">
        <v>12</v>
      </c>
      <c r="T67" s="1" t="s">
        <v>14</v>
      </c>
      <c r="U67" s="1" t="s">
        <v>164</v>
      </c>
    </row>
    <row r="68" spans="1:21" x14ac:dyDescent="0.3">
      <c r="A68" s="1" t="s">
        <v>679</v>
      </c>
      <c r="B68" s="1" t="s">
        <v>680</v>
      </c>
      <c r="C68" s="1" t="s">
        <v>254</v>
      </c>
      <c r="D68" s="12" t="s">
        <v>292</v>
      </c>
      <c r="E68" s="1" t="s">
        <v>783</v>
      </c>
      <c r="F68" s="1" t="str">
        <f>CONCATENATE(E68,": ",B68)</f>
        <v>LNRA-Water Delivery: Lavaca Regional Water Planning Group</v>
      </c>
      <c r="G68" s="1" t="str">
        <f>VLOOKUP($D68,orgNodes!$A$2:$D$124,3,FALSE)</f>
        <v>Lavaca Navidad River Authority</v>
      </c>
      <c r="H68" s="12">
        <f>VLOOKUP($D68,orgNodes!$A$2:$D$124,4,FALSE)</f>
        <v>11</v>
      </c>
      <c r="I68" s="1" t="s">
        <v>852</v>
      </c>
      <c r="J68" s="1" t="s">
        <v>8</v>
      </c>
      <c r="K68" s="1" t="s">
        <v>2</v>
      </c>
      <c r="L68" s="1" t="s">
        <v>5</v>
      </c>
      <c r="M68" s="1" t="s">
        <v>916</v>
      </c>
      <c r="N68" s="1" t="s">
        <v>926</v>
      </c>
      <c r="O68" s="1" t="s">
        <v>12</v>
      </c>
      <c r="P68" s="1" t="s">
        <v>170</v>
      </c>
      <c r="Q68" s="1" t="s">
        <v>12</v>
      </c>
      <c r="R68" s="1" t="s">
        <v>12</v>
      </c>
      <c r="S68" s="1" t="s">
        <v>12</v>
      </c>
      <c r="T68" s="1" t="s">
        <v>937</v>
      </c>
      <c r="U68" s="1" t="s">
        <v>166</v>
      </c>
    </row>
    <row r="69" spans="1:21" x14ac:dyDescent="0.3">
      <c r="A69" s="1" t="s">
        <v>681</v>
      </c>
      <c r="B69" s="1" t="s">
        <v>682</v>
      </c>
      <c r="C69" s="1" t="s">
        <v>291</v>
      </c>
      <c r="D69" s="12" t="s">
        <v>290</v>
      </c>
      <c r="E69" s="1" t="s">
        <v>784</v>
      </c>
      <c r="F69" s="1" t="str">
        <f>CONCATENATE(E69,": ",B69)</f>
        <v>LNRA-Instrumentation and Electronics: Early Warning System</v>
      </c>
      <c r="G69" s="1" t="str">
        <f>VLOOKUP($D69,orgNodes!$A$2:$D$124,3,FALSE)</f>
        <v>Lavaca Navidad River Authority</v>
      </c>
      <c r="H69" s="12">
        <f>VLOOKUP($D69,orgNodes!$A$2:$D$124,4,FALSE)</f>
        <v>11</v>
      </c>
      <c r="I69" s="1" t="s">
        <v>853</v>
      </c>
      <c r="J69" s="1" t="s">
        <v>891</v>
      </c>
      <c r="K69" s="1" t="s">
        <v>924</v>
      </c>
      <c r="L69" s="1" t="s">
        <v>5</v>
      </c>
      <c r="M69" s="1" t="s">
        <v>9</v>
      </c>
      <c r="N69" s="1" t="s">
        <v>927</v>
      </c>
      <c r="O69" s="1" t="s">
        <v>12</v>
      </c>
      <c r="P69" s="1" t="s">
        <v>170</v>
      </c>
      <c r="Q69" s="1" t="s">
        <v>12</v>
      </c>
      <c r="R69" s="1" t="s">
        <v>12</v>
      </c>
      <c r="S69" s="1" t="s">
        <v>12</v>
      </c>
      <c r="T69" s="1" t="s">
        <v>942</v>
      </c>
      <c r="U69" s="1" t="s">
        <v>939</v>
      </c>
    </row>
    <row r="70" spans="1:21" x14ac:dyDescent="0.3">
      <c r="A70" s="1" t="s">
        <v>684</v>
      </c>
      <c r="B70" s="1" t="s">
        <v>685</v>
      </c>
      <c r="C70" s="1" t="s">
        <v>56</v>
      </c>
      <c r="D70" s="12" t="s">
        <v>295</v>
      </c>
      <c r="E70" s="1" t="s">
        <v>747</v>
      </c>
      <c r="F70" s="1" t="str">
        <f>CONCATENATE(E70,": ",B70)</f>
        <v>LNRA- Reservoir: Reservoir Data</v>
      </c>
      <c r="G70" s="1" t="str">
        <f>VLOOKUP($D70,orgNodes!$A$2:$D$124,3,FALSE)</f>
        <v>Lavaca Navidad River Authority</v>
      </c>
      <c r="H70" s="12">
        <f>VLOOKUP($D70,orgNodes!$A$2:$D$124,4,FALSE)</f>
        <v>11</v>
      </c>
      <c r="I70" s="1" t="s">
        <v>854</v>
      </c>
      <c r="J70" s="1" t="s">
        <v>8</v>
      </c>
      <c r="K70" s="1" t="s">
        <v>2</v>
      </c>
      <c r="L70" s="1" t="s">
        <v>5</v>
      </c>
      <c r="M70" s="1" t="s">
        <v>9</v>
      </c>
      <c r="N70" s="1" t="s">
        <v>7</v>
      </c>
      <c r="O70" s="1" t="s">
        <v>12</v>
      </c>
      <c r="P70" s="1" t="s">
        <v>170</v>
      </c>
      <c r="Q70" s="1" t="s">
        <v>12</v>
      </c>
      <c r="R70" s="1" t="s">
        <v>12</v>
      </c>
      <c r="S70" s="1" t="s">
        <v>12</v>
      </c>
      <c r="T70" s="1" t="s">
        <v>937</v>
      </c>
      <c r="U70" s="1" t="s">
        <v>164</v>
      </c>
    </row>
    <row r="71" spans="1:21" x14ac:dyDescent="0.3">
      <c r="A71" s="1" t="s">
        <v>686</v>
      </c>
      <c r="B71" s="1" t="s">
        <v>687</v>
      </c>
      <c r="C71" s="1" t="s">
        <v>212</v>
      </c>
      <c r="D71" s="12" t="s">
        <v>290</v>
      </c>
      <c r="E71" s="1" t="s">
        <v>785</v>
      </c>
      <c r="F71" s="1" t="str">
        <f>CONCATENATE(E71,": ",B71)</f>
        <v>LNRA-Clean Rivers Program: Water Quality Database</v>
      </c>
      <c r="G71" s="1" t="str">
        <f>VLOOKUP($D71,orgNodes!$A$2:$D$124,3,FALSE)</f>
        <v>Lavaca Navidad River Authority</v>
      </c>
      <c r="H71" s="12">
        <f>VLOOKUP($D71,orgNodes!$A$2:$D$124,4,FALSE)</f>
        <v>11</v>
      </c>
      <c r="I71" s="1" t="s">
        <v>855</v>
      </c>
      <c r="J71" s="1" t="s">
        <v>8</v>
      </c>
      <c r="K71" s="1" t="s">
        <v>886</v>
      </c>
      <c r="L71" s="1" t="s">
        <v>5</v>
      </c>
      <c r="M71" s="1" t="s">
        <v>9</v>
      </c>
      <c r="N71" s="1" t="s">
        <v>928</v>
      </c>
      <c r="O71" s="1" t="s">
        <v>12</v>
      </c>
      <c r="P71" s="1" t="s">
        <v>170</v>
      </c>
      <c r="Q71" s="1" t="s">
        <v>12</v>
      </c>
      <c r="R71" s="1" t="s">
        <v>12</v>
      </c>
      <c r="S71" s="1" t="s">
        <v>12</v>
      </c>
      <c r="T71" s="1" t="s">
        <v>6</v>
      </c>
      <c r="U71" s="1" t="s">
        <v>166</v>
      </c>
    </row>
    <row r="72" spans="1:21" x14ac:dyDescent="0.3">
      <c r="A72" s="1" t="s">
        <v>688</v>
      </c>
      <c r="B72" s="1" t="s">
        <v>689</v>
      </c>
      <c r="C72" s="1" t="s">
        <v>35</v>
      </c>
      <c r="D72" s="12" t="s">
        <v>296</v>
      </c>
      <c r="E72" s="1" t="s">
        <v>786</v>
      </c>
      <c r="F72" s="1" t="str">
        <f>CONCATENATE(E72,": ",B72)</f>
        <v>LCRA-Water: LCRA Interactive Map</v>
      </c>
      <c r="G72" s="1" t="str">
        <f>VLOOKUP($D72,orgNodes!$A$2:$D$124,3,FALSE)</f>
        <v>Lower Colorado River Authority</v>
      </c>
      <c r="H72" s="12">
        <f>VLOOKUP($D72,orgNodes!$A$2:$D$124,4,FALSE)</f>
        <v>12</v>
      </c>
      <c r="I72" s="1" t="s">
        <v>856</v>
      </c>
      <c r="J72" s="1" t="s">
        <v>891</v>
      </c>
      <c r="K72" s="1" t="s">
        <v>882</v>
      </c>
      <c r="L72" s="1" t="s">
        <v>5</v>
      </c>
      <c r="M72" s="1" t="s">
        <v>15</v>
      </c>
      <c r="N72" s="1" t="s">
        <v>11</v>
      </c>
      <c r="O72" s="1" t="s">
        <v>12</v>
      </c>
      <c r="P72" s="1" t="s">
        <v>170</v>
      </c>
      <c r="Q72" s="1" t="s">
        <v>12</v>
      </c>
      <c r="R72" s="1" t="s">
        <v>12</v>
      </c>
      <c r="S72" s="1" t="s">
        <v>12</v>
      </c>
      <c r="T72" s="1" t="s">
        <v>942</v>
      </c>
      <c r="U72" s="1" t="s">
        <v>939</v>
      </c>
    </row>
    <row r="73" spans="1:21" x14ac:dyDescent="0.3">
      <c r="A73" s="1" t="s">
        <v>690</v>
      </c>
      <c r="B73" s="1" t="s">
        <v>691</v>
      </c>
      <c r="C73" s="1" t="s">
        <v>297</v>
      </c>
      <c r="D73" s="12" t="s">
        <v>564</v>
      </c>
      <c r="E73" s="1" t="s">
        <v>787</v>
      </c>
      <c r="F73" s="1" t="str">
        <f>CONCATENATE(E73,": ",B73)</f>
        <v>LCRA-Water Surface Management: Hydromet</v>
      </c>
      <c r="G73" s="1" t="str">
        <f>VLOOKUP($D73,orgNodes!$A$2:$D$124,3,FALSE)</f>
        <v>Lower Colorado River Authority</v>
      </c>
      <c r="H73" s="12">
        <f>VLOOKUP($D73,orgNodes!$A$2:$D$124,4,FALSE)</f>
        <v>12</v>
      </c>
      <c r="I73" s="1" t="s">
        <v>857</v>
      </c>
      <c r="J73" s="1" t="s">
        <v>881</v>
      </c>
      <c r="K73" s="1" t="s">
        <v>882</v>
      </c>
      <c r="L73" s="1" t="s">
        <v>5</v>
      </c>
      <c r="M73" s="1" t="s">
        <v>883</v>
      </c>
      <c r="N73" s="1" t="s">
        <v>921</v>
      </c>
      <c r="O73" s="1" t="s">
        <v>12</v>
      </c>
      <c r="P73" s="1" t="s">
        <v>170</v>
      </c>
      <c r="Q73" s="1" t="s">
        <v>12</v>
      </c>
      <c r="R73" s="1" t="s">
        <v>12</v>
      </c>
      <c r="S73" s="1" t="s">
        <v>12</v>
      </c>
      <c r="T73" s="1" t="s">
        <v>942</v>
      </c>
      <c r="U73" s="1" t="s">
        <v>939</v>
      </c>
    </row>
    <row r="74" spans="1:21" x14ac:dyDescent="0.3">
      <c r="A74" s="1" t="s">
        <v>693</v>
      </c>
      <c r="B74" s="1" t="s">
        <v>694</v>
      </c>
      <c r="C74" s="1" t="s">
        <v>309</v>
      </c>
      <c r="D74" s="12" t="s">
        <v>306</v>
      </c>
      <c r="E74" s="1" t="s">
        <v>788</v>
      </c>
      <c r="F74" s="1" t="str">
        <f>CONCATENATE(E74,": ",B74)</f>
        <v>LCRA-River Operations: Flood Operations Report</v>
      </c>
      <c r="G74" s="1" t="str">
        <f>VLOOKUP($D74,orgNodes!$A$2:$D$124,3,FALSE)</f>
        <v>Lower Colorado River Authority</v>
      </c>
      <c r="H74" s="12">
        <f>VLOOKUP($D74,orgNodes!$A$2:$D$124,4,FALSE)</f>
        <v>12</v>
      </c>
      <c r="I74" s="1" t="s">
        <v>858</v>
      </c>
      <c r="J74" s="1" t="s">
        <v>8</v>
      </c>
      <c r="K74" s="1" t="s">
        <v>2</v>
      </c>
      <c r="L74" s="1" t="s">
        <v>5</v>
      </c>
      <c r="M74" s="1" t="s">
        <v>15</v>
      </c>
      <c r="N74" s="1" t="s">
        <v>11</v>
      </c>
      <c r="O74" s="1" t="s">
        <v>12</v>
      </c>
      <c r="P74" s="1" t="s">
        <v>170</v>
      </c>
      <c r="Q74" s="1" t="s">
        <v>12</v>
      </c>
      <c r="R74" s="1" t="s">
        <v>12</v>
      </c>
      <c r="S74" s="1" t="s">
        <v>12</v>
      </c>
      <c r="T74" s="1" t="s">
        <v>942</v>
      </c>
      <c r="U74" s="1" t="s">
        <v>939</v>
      </c>
    </row>
    <row r="75" spans="1:21" x14ac:dyDescent="0.3">
      <c r="A75" s="1" t="s">
        <v>695</v>
      </c>
      <c r="B75" s="1" t="s">
        <v>696</v>
      </c>
      <c r="C75" s="1" t="s">
        <v>309</v>
      </c>
      <c r="D75" s="12" t="s">
        <v>306</v>
      </c>
      <c r="E75" s="1" t="s">
        <v>788</v>
      </c>
      <c r="F75" s="1" t="str">
        <f>CONCATENATE(E75,": ",B75)</f>
        <v>LCRA-River Operations: River Operations Report</v>
      </c>
      <c r="G75" s="1" t="str">
        <f>VLOOKUP($D75,orgNodes!$A$2:$D$124,3,FALSE)</f>
        <v>Lower Colorado River Authority</v>
      </c>
      <c r="H75" s="12">
        <f>VLOOKUP($D75,orgNodes!$A$2:$D$124,4,FALSE)</f>
        <v>12</v>
      </c>
      <c r="I75" s="1" t="s">
        <v>859</v>
      </c>
      <c r="J75" s="1" t="s">
        <v>8</v>
      </c>
      <c r="K75" s="1" t="s">
        <v>2</v>
      </c>
      <c r="L75" s="1" t="s">
        <v>5</v>
      </c>
      <c r="M75" s="1" t="s">
        <v>908</v>
      </c>
      <c r="N75" s="1" t="s">
        <v>929</v>
      </c>
      <c r="O75" s="1" t="s">
        <v>12</v>
      </c>
      <c r="P75" s="1" t="s">
        <v>170</v>
      </c>
      <c r="Q75" s="1" t="s">
        <v>12</v>
      </c>
      <c r="R75" s="1" t="s">
        <v>12</v>
      </c>
      <c r="S75" s="1" t="s">
        <v>12</v>
      </c>
      <c r="T75" s="1" t="s">
        <v>942</v>
      </c>
      <c r="U75" s="1" t="s">
        <v>939</v>
      </c>
    </row>
    <row r="76" spans="1:21" x14ac:dyDescent="0.3">
      <c r="A76" s="1" t="s">
        <v>697</v>
      </c>
      <c r="B76" s="1" t="s">
        <v>698</v>
      </c>
      <c r="C76" s="1" t="s">
        <v>35</v>
      </c>
      <c r="D76" s="12" t="s">
        <v>296</v>
      </c>
      <c r="E76" s="1" t="s">
        <v>787</v>
      </c>
      <c r="F76" s="1" t="str">
        <f>CONCATENATE(E76,": ",B76)</f>
        <v>LCRA-Water Surface Management: River and Weather Conditions</v>
      </c>
      <c r="G76" s="1" t="str">
        <f>VLOOKUP($D76,orgNodes!$A$2:$D$124,3,FALSE)</f>
        <v>Lower Colorado River Authority</v>
      </c>
      <c r="H76" s="12">
        <f>VLOOKUP($D76,orgNodes!$A$2:$D$124,4,FALSE)</f>
        <v>12</v>
      </c>
      <c r="I76" s="1" t="s">
        <v>860</v>
      </c>
      <c r="J76" s="1" t="s">
        <v>8</v>
      </c>
      <c r="K76" s="1" t="s">
        <v>2</v>
      </c>
      <c r="L76" s="1" t="s">
        <v>5</v>
      </c>
      <c r="M76" s="1" t="s">
        <v>9</v>
      </c>
      <c r="N76" s="1" t="s">
        <v>921</v>
      </c>
      <c r="O76" s="1" t="s">
        <v>12</v>
      </c>
      <c r="P76" s="1" t="s">
        <v>170</v>
      </c>
      <c r="Q76" s="1" t="s">
        <v>12</v>
      </c>
      <c r="R76" s="1" t="s">
        <v>12</v>
      </c>
      <c r="S76" s="1" t="s">
        <v>12</v>
      </c>
      <c r="T76" s="1" t="s">
        <v>937</v>
      </c>
      <c r="U76" s="1" t="s">
        <v>939</v>
      </c>
    </row>
    <row r="77" spans="1:21" x14ac:dyDescent="0.3">
      <c r="A77" s="1" t="s">
        <v>699</v>
      </c>
      <c r="B77" s="1" t="s">
        <v>700</v>
      </c>
      <c r="C77" s="1" t="s">
        <v>701</v>
      </c>
      <c r="D77" s="12" t="s">
        <v>310</v>
      </c>
      <c r="E77" s="1" t="s">
        <v>789</v>
      </c>
      <c r="F77" s="1" t="str">
        <f>CONCATENATE(E77,": ",B77)</f>
        <v>LCRA-Dams and Hydro: Highland Lakes and Dams</v>
      </c>
      <c r="G77" s="1" t="str">
        <f>VLOOKUP($D77,orgNodes!$A$2:$D$124,3,FALSE)</f>
        <v>Lower Colorado River Authority</v>
      </c>
      <c r="H77" s="12">
        <f>VLOOKUP($D77,orgNodes!$A$2:$D$124,4,FALSE)</f>
        <v>12</v>
      </c>
      <c r="I77" s="1" t="s">
        <v>861</v>
      </c>
      <c r="J77" s="1" t="s">
        <v>8</v>
      </c>
      <c r="K77" s="1" t="s">
        <v>2</v>
      </c>
      <c r="L77" s="1" t="s">
        <v>5</v>
      </c>
      <c r="M77" s="1" t="s">
        <v>15</v>
      </c>
      <c r="N77" s="1" t="s">
        <v>11</v>
      </c>
      <c r="O77" s="1" t="s">
        <v>12</v>
      </c>
      <c r="P77" s="1" t="s">
        <v>170</v>
      </c>
      <c r="Q77" s="1" t="s">
        <v>12</v>
      </c>
      <c r="R77" s="1" t="s">
        <v>12</v>
      </c>
      <c r="S77" s="1" t="s">
        <v>12</v>
      </c>
      <c r="T77" s="1" t="s">
        <v>6</v>
      </c>
      <c r="U77" s="1" t="s">
        <v>939</v>
      </c>
    </row>
    <row r="78" spans="1:21" x14ac:dyDescent="0.3">
      <c r="A78" s="1" t="s">
        <v>702</v>
      </c>
      <c r="B78" s="1" t="s">
        <v>40</v>
      </c>
      <c r="C78" s="1" t="s">
        <v>301</v>
      </c>
      <c r="D78" s="12" t="s">
        <v>299</v>
      </c>
      <c r="E78" s="1" t="s">
        <v>790</v>
      </c>
      <c r="F78" s="1" t="str">
        <f>CONCATENATE(E78,": ",B78)</f>
        <v>LCRA-Water Resource Planning: Water Supply</v>
      </c>
      <c r="G78" s="1" t="str">
        <f>VLOOKUP($D78,orgNodes!$A$2:$D$124,3,FALSE)</f>
        <v>Lower Colorado River Authority</v>
      </c>
      <c r="H78" s="12">
        <f>VLOOKUP($D78,orgNodes!$A$2:$D$124,4,FALSE)</f>
        <v>12</v>
      </c>
      <c r="I78" s="1" t="s">
        <v>862</v>
      </c>
      <c r="J78" s="1" t="s">
        <v>8</v>
      </c>
      <c r="K78" s="1" t="s">
        <v>2</v>
      </c>
      <c r="L78" s="1" t="s">
        <v>5</v>
      </c>
      <c r="M78" s="1" t="s">
        <v>9</v>
      </c>
      <c r="N78" s="1" t="s">
        <v>7</v>
      </c>
      <c r="O78" s="1" t="s">
        <v>12</v>
      </c>
      <c r="P78" s="1" t="s">
        <v>170</v>
      </c>
      <c r="Q78" s="1" t="s">
        <v>12</v>
      </c>
      <c r="R78" s="1" t="s">
        <v>12</v>
      </c>
      <c r="S78" s="1" t="s">
        <v>12</v>
      </c>
      <c r="T78" s="1" t="s">
        <v>14</v>
      </c>
      <c r="U78" s="1" t="s">
        <v>166</v>
      </c>
    </row>
    <row r="79" spans="1:21" x14ac:dyDescent="0.3">
      <c r="A79" s="1" t="s">
        <v>703</v>
      </c>
      <c r="B79" s="1" t="s">
        <v>704</v>
      </c>
      <c r="C79" s="1" t="s">
        <v>305</v>
      </c>
      <c r="D79" s="12" t="s">
        <v>302</v>
      </c>
      <c r="E79" s="1" t="s">
        <v>791</v>
      </c>
      <c r="F79" s="1" t="str">
        <f>CONCATENATE(E79,": ",B79)</f>
        <v>LCRA-Water Quality Protection: LCRA Water Quality Data</v>
      </c>
      <c r="G79" s="1" t="str">
        <f>VLOOKUP($D79,orgNodes!$A$2:$D$124,3,FALSE)</f>
        <v>Lower Colorado River Authority</v>
      </c>
      <c r="H79" s="12">
        <f>VLOOKUP($D79,orgNodes!$A$2:$D$124,4,FALSE)</f>
        <v>12</v>
      </c>
      <c r="I79" s="1" t="s">
        <v>863</v>
      </c>
      <c r="J79" s="1" t="s">
        <v>891</v>
      </c>
      <c r="K79" s="1" t="s">
        <v>882</v>
      </c>
      <c r="L79" s="1" t="s">
        <v>5</v>
      </c>
      <c r="M79" s="1" t="s">
        <v>908</v>
      </c>
      <c r="N79" s="1" t="s">
        <v>11</v>
      </c>
      <c r="O79" s="1" t="s">
        <v>12</v>
      </c>
      <c r="P79" s="1" t="s">
        <v>170</v>
      </c>
      <c r="Q79" s="1" t="s">
        <v>12</v>
      </c>
      <c r="R79" s="1" t="s">
        <v>12</v>
      </c>
      <c r="S79" s="1" t="s">
        <v>12</v>
      </c>
      <c r="T79" s="1" t="s">
        <v>13</v>
      </c>
      <c r="U79" s="1" t="s">
        <v>164</v>
      </c>
    </row>
    <row r="80" spans="1:21" x14ac:dyDescent="0.3">
      <c r="A80" s="1" t="s">
        <v>705</v>
      </c>
      <c r="B80" s="1" t="s">
        <v>706</v>
      </c>
      <c r="C80" s="1" t="s">
        <v>305</v>
      </c>
      <c r="D80" s="12" t="s">
        <v>302</v>
      </c>
      <c r="E80" s="1" t="s">
        <v>791</v>
      </c>
      <c r="F80" s="1" t="str">
        <f>CONCATENATE(E80,": ",B80)</f>
        <v>LCRA-Water Quality Protection: Colorado River Watch Network</v>
      </c>
      <c r="G80" s="1" t="str">
        <f>VLOOKUP($D80,orgNodes!$A$2:$D$124,3,FALSE)</f>
        <v>Lower Colorado River Authority</v>
      </c>
      <c r="H80" s="12">
        <f>VLOOKUP($D80,orgNodes!$A$2:$D$124,4,FALSE)</f>
        <v>12</v>
      </c>
      <c r="I80" s="1" t="s">
        <v>864</v>
      </c>
      <c r="J80" s="1" t="s">
        <v>891</v>
      </c>
      <c r="K80" s="1" t="s">
        <v>882</v>
      </c>
      <c r="L80" s="1" t="s">
        <v>5</v>
      </c>
      <c r="M80" s="1" t="s">
        <v>930</v>
      </c>
      <c r="N80" s="1" t="s">
        <v>11</v>
      </c>
      <c r="O80" s="1" t="s">
        <v>12</v>
      </c>
      <c r="P80" s="1" t="s">
        <v>170</v>
      </c>
      <c r="Q80" s="1" t="s">
        <v>12</v>
      </c>
      <c r="R80" s="1" t="s">
        <v>12</v>
      </c>
      <c r="S80" s="1" t="s">
        <v>12</v>
      </c>
      <c r="T80" s="1" t="s">
        <v>13</v>
      </c>
      <c r="U80" s="1" t="s">
        <v>164</v>
      </c>
    </row>
    <row r="81" spans="1:21" x14ac:dyDescent="0.3">
      <c r="A81" s="1" t="s">
        <v>707</v>
      </c>
      <c r="B81" s="1" t="s">
        <v>708</v>
      </c>
      <c r="C81" s="1" t="s">
        <v>325</v>
      </c>
      <c r="D81" s="12" t="s">
        <v>324</v>
      </c>
      <c r="E81" s="1" t="s">
        <v>792</v>
      </c>
      <c r="F81" s="1" t="str">
        <f>CONCATENATE(E81,": ",B81)</f>
        <v>NRA-Clean Rivers Program: CRP SQWM Database</v>
      </c>
      <c r="G81" s="1" t="str">
        <f>VLOOKUP($D81,orgNodes!$A$2:$D$124,3,FALSE)</f>
        <v>Red River Authority</v>
      </c>
      <c r="H81" s="12">
        <f>VLOOKUP($D81,orgNodes!$A$2:$D$124,4,FALSE)</f>
        <v>15</v>
      </c>
      <c r="I81" s="1" t="s">
        <v>865</v>
      </c>
      <c r="J81" s="1" t="s">
        <v>8</v>
      </c>
      <c r="K81" s="1" t="s">
        <v>2</v>
      </c>
      <c r="L81" s="1" t="s">
        <v>5</v>
      </c>
      <c r="M81" s="1" t="s">
        <v>9</v>
      </c>
      <c r="N81" s="1" t="s">
        <v>928</v>
      </c>
      <c r="O81" s="1" t="s">
        <v>12</v>
      </c>
      <c r="P81" s="1" t="s">
        <v>170</v>
      </c>
      <c r="Q81" s="1" t="s">
        <v>12</v>
      </c>
      <c r="R81" s="1" t="s">
        <v>12</v>
      </c>
      <c r="S81" s="1" t="s">
        <v>12</v>
      </c>
      <c r="T81" s="1" t="s">
        <v>6</v>
      </c>
      <c r="U81" s="1" t="s">
        <v>164</v>
      </c>
    </row>
    <row r="82" spans="1:21" x14ac:dyDescent="0.3">
      <c r="A82" s="1" t="s">
        <v>709</v>
      </c>
      <c r="B82" t="s">
        <v>711</v>
      </c>
      <c r="C82" s="1" t="s">
        <v>320</v>
      </c>
      <c r="D82" s="12" t="s">
        <v>317</v>
      </c>
      <c r="E82" s="1" t="s">
        <v>793</v>
      </c>
      <c r="F82" s="1" t="str">
        <f>CONCATENATE(E82,": ",B82)</f>
        <v>NRA-CC Water Supply: Corpus Christi Water Supply</v>
      </c>
      <c r="G82" s="1" t="str">
        <f>VLOOKUP($D82,orgNodes!$A$2:$D$124,3,FALSE)</f>
        <v>Nueces River Authority</v>
      </c>
      <c r="H82" s="12">
        <f>VLOOKUP($D82,orgNodes!$A$2:$D$124,4,FALSE)</f>
        <v>14</v>
      </c>
      <c r="I82" s="1" t="s">
        <v>866</v>
      </c>
      <c r="J82" s="1" t="s">
        <v>8</v>
      </c>
      <c r="K82" s="1" t="s">
        <v>2</v>
      </c>
      <c r="L82" s="1" t="s">
        <v>5</v>
      </c>
      <c r="M82" s="1" t="s">
        <v>9</v>
      </c>
      <c r="N82" s="1" t="s">
        <v>928</v>
      </c>
      <c r="O82" s="1" t="s">
        <v>12</v>
      </c>
      <c r="P82" s="1" t="s">
        <v>170</v>
      </c>
      <c r="Q82" s="1" t="s">
        <v>12</v>
      </c>
      <c r="R82" s="1" t="s">
        <v>12</v>
      </c>
      <c r="S82" s="1" t="s">
        <v>12</v>
      </c>
      <c r="T82" s="1" t="s">
        <v>937</v>
      </c>
      <c r="U82" s="1" t="s">
        <v>166</v>
      </c>
    </row>
    <row r="83" spans="1:21" x14ac:dyDescent="0.3">
      <c r="A83" s="1" t="s">
        <v>712</v>
      </c>
      <c r="B83" s="1" t="s">
        <v>713</v>
      </c>
      <c r="C83" s="1" t="s">
        <v>329</v>
      </c>
      <c r="D83" s="12" t="s">
        <v>332</v>
      </c>
      <c r="E83" s="1" t="s">
        <v>794</v>
      </c>
      <c r="F83" s="1" t="str">
        <f>CONCATENATE(E83,": ",B83)</f>
        <v>RRA-Utility Division: Drinking Water Reports</v>
      </c>
      <c r="G83" s="1" t="str">
        <f>VLOOKUP($D83,orgNodes!$A$2:$D$124,3,FALSE)</f>
        <v>Red River Authority</v>
      </c>
      <c r="H83" s="12">
        <f>VLOOKUP($D83,orgNodes!$A$2:$D$124,4,FALSE)</f>
        <v>15</v>
      </c>
      <c r="I83" s="1" t="s">
        <v>495</v>
      </c>
      <c r="J83" s="1" t="s">
        <v>8</v>
      </c>
      <c r="K83" s="1" t="s">
        <v>2</v>
      </c>
      <c r="L83" s="1" t="s">
        <v>5</v>
      </c>
      <c r="M83" s="1" t="s">
        <v>9</v>
      </c>
      <c r="N83" s="1" t="s">
        <v>7</v>
      </c>
      <c r="O83" s="1" t="s">
        <v>5</v>
      </c>
      <c r="P83" s="1" t="s">
        <v>938</v>
      </c>
      <c r="Q83" s="1" t="s">
        <v>5</v>
      </c>
      <c r="R83" s="1" t="s">
        <v>171</v>
      </c>
      <c r="S83" s="1" t="s">
        <v>12</v>
      </c>
      <c r="T83" s="1" t="s">
        <v>14</v>
      </c>
      <c r="U83" s="1" t="s">
        <v>164</v>
      </c>
    </row>
    <row r="84" spans="1:21" x14ac:dyDescent="0.3">
      <c r="A84" s="1" t="s">
        <v>714</v>
      </c>
      <c r="B84" s="1" t="s">
        <v>708</v>
      </c>
      <c r="C84" s="1" t="s">
        <v>325</v>
      </c>
      <c r="D84" s="12" t="s">
        <v>324</v>
      </c>
      <c r="E84" s="1" t="s">
        <v>795</v>
      </c>
      <c r="F84" s="1" t="str">
        <f>CONCATENATE(E84,": ",B84)</f>
        <v>RRA-Clean Rivers Program: CRP SQWM Database</v>
      </c>
      <c r="G84" s="1" t="str">
        <f>VLOOKUP($D84,orgNodes!$A$2:$D$124,3,FALSE)</f>
        <v>Red River Authority</v>
      </c>
      <c r="H84" s="12">
        <f>VLOOKUP($D84,orgNodes!$A$2:$D$124,4,FALSE)</f>
        <v>15</v>
      </c>
      <c r="I84" s="1" t="s">
        <v>495</v>
      </c>
      <c r="J84" s="1" t="s">
        <v>8</v>
      </c>
      <c r="K84" s="1" t="s">
        <v>2</v>
      </c>
      <c r="L84" s="1" t="s">
        <v>5</v>
      </c>
      <c r="M84" s="1" t="s">
        <v>15</v>
      </c>
      <c r="N84" s="1" t="s">
        <v>11</v>
      </c>
      <c r="O84" s="1" t="s">
        <v>5</v>
      </c>
      <c r="P84" s="1" t="s">
        <v>11</v>
      </c>
      <c r="Q84" s="1" t="s">
        <v>12</v>
      </c>
      <c r="R84" s="1" t="s">
        <v>167</v>
      </c>
      <c r="S84" s="1" t="s">
        <v>12</v>
      </c>
      <c r="T84" s="1" t="s">
        <v>13</v>
      </c>
      <c r="U84" s="1" t="s">
        <v>164</v>
      </c>
    </row>
    <row r="85" spans="1:21" x14ac:dyDescent="0.3">
      <c r="A85" s="1" t="s">
        <v>715</v>
      </c>
      <c r="B85" s="1" t="s">
        <v>716</v>
      </c>
      <c r="C85" s="1" t="s">
        <v>331</v>
      </c>
      <c r="D85" s="12" t="s">
        <v>334</v>
      </c>
      <c r="E85" s="1" t="s">
        <v>796</v>
      </c>
      <c r="F85" s="1" t="str">
        <f>CONCATENATE(E85,": ",B85)</f>
        <v>SRA-Environmental Services Division: Monthly Water Quality Monitoring Reports</v>
      </c>
      <c r="G85" s="1" t="str">
        <f>VLOOKUP($D85,orgNodes!$A$2:$D$124,3,FALSE)</f>
        <v>Red River Authority</v>
      </c>
      <c r="H85" s="12">
        <f>VLOOKUP($D85,orgNodes!$A$2:$D$124,4,FALSE)</f>
        <v>15</v>
      </c>
      <c r="I85" s="1" t="s">
        <v>867</v>
      </c>
      <c r="J85" s="1" t="s">
        <v>8</v>
      </c>
      <c r="K85" s="1" t="s">
        <v>2</v>
      </c>
      <c r="L85" s="1" t="s">
        <v>5</v>
      </c>
      <c r="M85" s="1" t="s">
        <v>9</v>
      </c>
      <c r="N85" s="1" t="s">
        <v>7</v>
      </c>
      <c r="O85" s="1" t="s">
        <v>12</v>
      </c>
      <c r="P85" s="1" t="s">
        <v>7</v>
      </c>
      <c r="Q85" s="1" t="s">
        <v>12</v>
      </c>
      <c r="R85" s="1" t="s">
        <v>167</v>
      </c>
      <c r="S85" s="1" t="s">
        <v>12</v>
      </c>
      <c r="T85" s="1" t="s">
        <v>14</v>
      </c>
      <c r="U85" s="1" t="s">
        <v>164</v>
      </c>
    </row>
    <row r="86" spans="1:21" x14ac:dyDescent="0.3">
      <c r="A86" s="1" t="s">
        <v>717</v>
      </c>
      <c r="B86" s="1" t="s">
        <v>718</v>
      </c>
      <c r="C86" s="1" t="s">
        <v>331</v>
      </c>
      <c r="D86" s="12" t="s">
        <v>334</v>
      </c>
      <c r="E86" s="1" t="s">
        <v>796</v>
      </c>
      <c r="F86" s="1" t="str">
        <f>CONCATENATE(E86,": ",B86)</f>
        <v>SRA-Environmental Services Division: Sabine Basin Lake Levels and River Conditions</v>
      </c>
      <c r="G86" s="1" t="str">
        <f>VLOOKUP($D86,orgNodes!$A$2:$D$124,3,FALSE)</f>
        <v>Red River Authority</v>
      </c>
      <c r="H86" s="12">
        <f>VLOOKUP($D86,orgNodes!$A$2:$D$124,4,FALSE)</f>
        <v>15</v>
      </c>
      <c r="I86" s="1" t="s">
        <v>868</v>
      </c>
      <c r="J86" s="1" t="s">
        <v>931</v>
      </c>
      <c r="K86" s="1" t="s">
        <v>2</v>
      </c>
      <c r="L86" s="1" t="s">
        <v>5</v>
      </c>
      <c r="M86" s="1" t="s">
        <v>10</v>
      </c>
      <c r="N86" s="1" t="s">
        <v>932</v>
      </c>
      <c r="O86" s="1" t="s">
        <v>5</v>
      </c>
      <c r="P86" s="1" t="s">
        <v>947</v>
      </c>
      <c r="Q86" s="1" t="s">
        <v>5</v>
      </c>
      <c r="R86" s="1" t="s">
        <v>171</v>
      </c>
      <c r="S86" s="1" t="s">
        <v>12</v>
      </c>
      <c r="T86" s="1" t="s">
        <v>942</v>
      </c>
      <c r="U86" s="1" t="s">
        <v>939</v>
      </c>
    </row>
    <row r="87" spans="1:21" x14ac:dyDescent="0.3">
      <c r="A87" s="1" t="s">
        <v>719</v>
      </c>
      <c r="B87" s="1" t="s">
        <v>720</v>
      </c>
      <c r="C87" s="1" t="s">
        <v>336</v>
      </c>
      <c r="D87" s="12" t="s">
        <v>339</v>
      </c>
      <c r="E87" s="1" t="s">
        <v>797</v>
      </c>
      <c r="F87" s="1" t="str">
        <f>CONCATENATE(E87,": ",B87)</f>
        <v>SARA-Flood Management: SARA Floodplain Viewer</v>
      </c>
      <c r="G87" s="1" t="str">
        <f>VLOOKUP($D87,orgNodes!$A$2:$D$124,3,FALSE)</f>
        <v>San Antonio River Authority</v>
      </c>
      <c r="H87" s="12">
        <f>VLOOKUP($D87,orgNodes!$A$2:$D$124,4,FALSE)</f>
        <v>17</v>
      </c>
      <c r="I87" s="1" t="s">
        <v>869</v>
      </c>
      <c r="J87" s="1" t="s">
        <v>891</v>
      </c>
      <c r="K87" s="1" t="s">
        <v>882</v>
      </c>
      <c r="L87" s="1" t="s">
        <v>5</v>
      </c>
      <c r="M87" s="1" t="s">
        <v>898</v>
      </c>
      <c r="N87" s="1" t="s">
        <v>897</v>
      </c>
      <c r="O87" s="1" t="s">
        <v>5</v>
      </c>
      <c r="P87" s="1" t="s">
        <v>11</v>
      </c>
      <c r="Q87" s="1" t="s">
        <v>12</v>
      </c>
      <c r="R87" s="1" t="s">
        <v>946</v>
      </c>
      <c r="S87" s="1" t="s">
        <v>5</v>
      </c>
      <c r="T87" s="1" t="s">
        <v>6</v>
      </c>
      <c r="U87" s="1" t="s">
        <v>939</v>
      </c>
    </row>
    <row r="88" spans="1:21" x14ac:dyDescent="0.3">
      <c r="A88" s="1" t="s">
        <v>721</v>
      </c>
      <c r="B88" s="1" t="s">
        <v>722</v>
      </c>
      <c r="C88" s="1" t="s">
        <v>268</v>
      </c>
      <c r="D88" s="12" t="s">
        <v>344</v>
      </c>
      <c r="E88" s="1" t="s">
        <v>797</v>
      </c>
      <c r="F88" s="1" t="str">
        <f>CONCATENATE(E88,": ",B88)</f>
        <v>SARA-Flood Management: SARA Risk MAP Viewer</v>
      </c>
      <c r="G88" s="1" t="str">
        <f>VLOOKUP($D88,orgNodes!$A$2:$D$124,3,FALSE)</f>
        <v>San Antonio River Authority</v>
      </c>
      <c r="H88" s="12">
        <f>VLOOKUP($D88,orgNodes!$A$2:$D$124,4,FALSE)</f>
        <v>17</v>
      </c>
      <c r="I88" s="1" t="s">
        <v>870</v>
      </c>
      <c r="J88" s="1" t="s">
        <v>891</v>
      </c>
      <c r="K88" s="1" t="s">
        <v>882</v>
      </c>
      <c r="L88" s="1" t="s">
        <v>5</v>
      </c>
      <c r="M88" s="1" t="s">
        <v>898</v>
      </c>
      <c r="N88" s="1" t="s">
        <v>933</v>
      </c>
      <c r="O88" s="1" t="s">
        <v>5</v>
      </c>
      <c r="P88" s="1" t="s">
        <v>11</v>
      </c>
      <c r="Q88" s="1" t="s">
        <v>12</v>
      </c>
      <c r="R88" s="1" t="s">
        <v>946</v>
      </c>
      <c r="S88" s="1" t="s">
        <v>5</v>
      </c>
      <c r="T88" s="1" t="s">
        <v>6</v>
      </c>
      <c r="U88" s="1" t="s">
        <v>939</v>
      </c>
    </row>
    <row r="89" spans="1:21" x14ac:dyDescent="0.3">
      <c r="A89" s="1" t="s">
        <v>723</v>
      </c>
      <c r="B89" s="1" t="s">
        <v>724</v>
      </c>
      <c r="C89" s="1" t="s">
        <v>336</v>
      </c>
      <c r="D89" s="12" t="s">
        <v>339</v>
      </c>
      <c r="E89" s="1" t="s">
        <v>798</v>
      </c>
      <c r="F89" s="1" t="str">
        <f>CONCATENATE(E89,": ",B89)</f>
        <v>SARA-Clean Rivers Program: SARA Water Quality Viewer</v>
      </c>
      <c r="G89" s="1" t="str">
        <f>VLOOKUP($D89,orgNodes!$A$2:$D$124,3,FALSE)</f>
        <v>San Antonio River Authority</v>
      </c>
      <c r="H89" s="12">
        <f>VLOOKUP($D89,orgNodes!$A$2:$D$124,4,FALSE)</f>
        <v>17</v>
      </c>
      <c r="I89" s="1" t="s">
        <v>871</v>
      </c>
      <c r="J89" s="1" t="s">
        <v>891</v>
      </c>
      <c r="K89" s="1" t="s">
        <v>882</v>
      </c>
      <c r="L89" s="1" t="s">
        <v>5</v>
      </c>
      <c r="M89" s="1" t="s">
        <v>883</v>
      </c>
      <c r="N89" s="1" t="s">
        <v>900</v>
      </c>
      <c r="O89" s="1" t="s">
        <v>5</v>
      </c>
      <c r="P89" s="1" t="s">
        <v>6</v>
      </c>
      <c r="Q89" s="1" t="s">
        <v>12</v>
      </c>
      <c r="R89" s="1" t="s">
        <v>171</v>
      </c>
      <c r="S89" s="1" t="s">
        <v>12</v>
      </c>
      <c r="T89" s="1" t="s">
        <v>13</v>
      </c>
      <c r="U89" s="1" t="s">
        <v>164</v>
      </c>
    </row>
    <row r="90" spans="1:21" x14ac:dyDescent="0.3">
      <c r="A90" s="1" t="s">
        <v>725</v>
      </c>
      <c r="B90" s="1" t="s">
        <v>726</v>
      </c>
      <c r="C90" s="1" t="s">
        <v>345</v>
      </c>
      <c r="D90" s="12" t="s">
        <v>350</v>
      </c>
      <c r="E90" s="1" t="s">
        <v>799</v>
      </c>
      <c r="F90" s="1" t="str">
        <f>CONCATENATE(E90,": ",B90)</f>
        <v>SJRA-Contrail System: Contrail System</v>
      </c>
      <c r="G90" s="1" t="str">
        <f>VLOOKUP($D90,orgNodes!$A$2:$D$124,3,FALSE)</f>
        <v>San Jacinto River Authority</v>
      </c>
      <c r="H90" s="12">
        <f>VLOOKUP($D90,orgNodes!$A$2:$D$124,4,FALSE)</f>
        <v>18</v>
      </c>
      <c r="I90" s="1" t="s">
        <v>872</v>
      </c>
      <c r="J90" s="1" t="s">
        <v>881</v>
      </c>
      <c r="K90" s="1" t="s">
        <v>892</v>
      </c>
      <c r="L90" s="1" t="s">
        <v>5</v>
      </c>
      <c r="M90" s="1" t="s">
        <v>9</v>
      </c>
      <c r="N90" s="1" t="s">
        <v>922</v>
      </c>
      <c r="O90" s="1" t="s">
        <v>5</v>
      </c>
      <c r="P90" s="1" t="s">
        <v>11</v>
      </c>
      <c r="Q90" s="1" t="s">
        <v>12</v>
      </c>
      <c r="R90" s="1" t="s">
        <v>946</v>
      </c>
      <c r="S90" s="1" t="s">
        <v>12</v>
      </c>
      <c r="T90" s="1" t="s">
        <v>942</v>
      </c>
      <c r="U90" s="1" t="s">
        <v>939</v>
      </c>
    </row>
    <row r="91" spans="1:21" x14ac:dyDescent="0.3">
      <c r="A91" s="1" t="s">
        <v>728</v>
      </c>
      <c r="B91" s="1" t="s">
        <v>729</v>
      </c>
      <c r="C91" s="1" t="s">
        <v>351</v>
      </c>
      <c r="D91" s="12" t="s">
        <v>356</v>
      </c>
      <c r="E91" s="1" t="s">
        <v>800</v>
      </c>
      <c r="F91" s="1" t="str">
        <f>CONCATENATE(E91,": ",B91)</f>
        <v>SJRA-Groundwater Reduction Plan Division: GRP Raw Water Pumpage</v>
      </c>
      <c r="G91" s="1" t="str">
        <f>VLOOKUP($D91,orgNodes!$A$2:$D$124,3,FALSE)</f>
        <v>San Jacinto River Authority</v>
      </c>
      <c r="H91" s="12">
        <f>VLOOKUP($D91,orgNodes!$A$2:$D$124,4,FALSE)</f>
        <v>18</v>
      </c>
      <c r="I91" s="1" t="s">
        <v>873</v>
      </c>
      <c r="J91" s="1" t="s">
        <v>931</v>
      </c>
      <c r="K91" s="1" t="s">
        <v>2</v>
      </c>
      <c r="L91" s="1" t="s">
        <v>5</v>
      </c>
      <c r="M91" s="1" t="s">
        <v>15</v>
      </c>
      <c r="N91" s="1" t="s">
        <v>11</v>
      </c>
      <c r="O91" s="1" t="s">
        <v>12</v>
      </c>
      <c r="P91" s="1" t="s">
        <v>170</v>
      </c>
      <c r="Q91" s="1" t="s">
        <v>12</v>
      </c>
      <c r="R91" s="1" t="s">
        <v>12</v>
      </c>
      <c r="S91" s="1" t="s">
        <v>12</v>
      </c>
      <c r="T91" s="1" t="s">
        <v>937</v>
      </c>
      <c r="U91" s="1" t="s">
        <v>166</v>
      </c>
    </row>
    <row r="92" spans="1:21" x14ac:dyDescent="0.3">
      <c r="A92" s="1" t="s">
        <v>731</v>
      </c>
      <c r="B92" s="1" t="s">
        <v>732</v>
      </c>
      <c r="C92" s="1" t="s">
        <v>351</v>
      </c>
      <c r="D92" s="12" t="s">
        <v>356</v>
      </c>
      <c r="E92" s="1" t="s">
        <v>800</v>
      </c>
      <c r="F92" s="1" t="str">
        <f>CONCATENATE(E92,": ",B92)</f>
        <v>SJRA-Groundwater Reduction Plan Division: Monthly Operations Report</v>
      </c>
      <c r="G92" s="1" t="str">
        <f>VLOOKUP($D92,orgNodes!$A$2:$D$124,3,FALSE)</f>
        <v>San Jacinto River Authority</v>
      </c>
      <c r="H92" s="12">
        <f>VLOOKUP($D92,orgNodes!$A$2:$D$124,4,FALSE)</f>
        <v>18</v>
      </c>
      <c r="I92" s="1" t="s">
        <v>874</v>
      </c>
      <c r="J92" s="1" t="s">
        <v>8</v>
      </c>
      <c r="K92" s="1" t="s">
        <v>2</v>
      </c>
      <c r="L92" s="1" t="s">
        <v>5</v>
      </c>
      <c r="M92" s="1" t="s">
        <v>9</v>
      </c>
      <c r="N92" s="1" t="s">
        <v>7</v>
      </c>
      <c r="O92" s="1" t="s">
        <v>12</v>
      </c>
      <c r="P92" s="1" t="s">
        <v>170</v>
      </c>
      <c r="Q92" s="1" t="s">
        <v>5</v>
      </c>
      <c r="R92" s="1" t="s">
        <v>12</v>
      </c>
      <c r="S92" s="1" t="s">
        <v>12</v>
      </c>
      <c r="T92" s="1" t="s">
        <v>14</v>
      </c>
      <c r="U92" s="1" t="s">
        <v>166</v>
      </c>
    </row>
    <row r="93" spans="1:21" x14ac:dyDescent="0.3">
      <c r="A93" s="1" t="s">
        <v>733</v>
      </c>
      <c r="B93" s="1" t="s">
        <v>734</v>
      </c>
      <c r="C93" s="1" t="s">
        <v>360</v>
      </c>
      <c r="D93" s="12" t="s">
        <v>364</v>
      </c>
      <c r="E93" s="1" t="s">
        <v>801</v>
      </c>
      <c r="F93" s="1" t="str">
        <f>CONCATENATE(E93,": ",B93)</f>
        <v>TRA-Planning and Environmental Management: Maps and Data</v>
      </c>
      <c r="G93" s="1" t="str">
        <f>VLOOKUP($D93,orgNodes!$A$2:$D$124,3,FALSE)</f>
        <v>Trinity River Authority</v>
      </c>
      <c r="H93" s="12">
        <f>VLOOKUP($D93,orgNodes!$A$2:$D$124,4,FALSE)</f>
        <v>20</v>
      </c>
      <c r="I93" s="1" t="s">
        <v>875</v>
      </c>
      <c r="J93" s="1" t="s">
        <v>8</v>
      </c>
      <c r="K93" s="1" t="s">
        <v>2</v>
      </c>
      <c r="L93" s="1" t="s">
        <v>5</v>
      </c>
      <c r="M93" s="1" t="s">
        <v>9</v>
      </c>
      <c r="N93" s="1" t="s">
        <v>934</v>
      </c>
      <c r="O93" s="1" t="s">
        <v>12</v>
      </c>
      <c r="P93" s="1" t="s">
        <v>170</v>
      </c>
      <c r="Q93" s="1" t="s">
        <v>12</v>
      </c>
      <c r="R93" s="1" t="s">
        <v>12</v>
      </c>
      <c r="S93" s="1" t="s">
        <v>12</v>
      </c>
      <c r="T93" s="1" t="s">
        <v>6</v>
      </c>
      <c r="U93" s="1" t="s">
        <v>166</v>
      </c>
    </row>
    <row r="94" spans="1:21" x14ac:dyDescent="0.3">
      <c r="A94" s="1" t="s">
        <v>736</v>
      </c>
      <c r="B94" s="1" t="s">
        <v>737</v>
      </c>
      <c r="C94" s="1" t="s">
        <v>360</v>
      </c>
      <c r="D94" s="12" t="s">
        <v>364</v>
      </c>
      <c r="E94" s="1" t="s">
        <v>801</v>
      </c>
      <c r="F94" s="1" t="str">
        <f>CONCATENATE(E94,": ",B94)</f>
        <v>TRA-Planning and Environmental Management: Lake Livingston Contrail System</v>
      </c>
      <c r="G94" s="1" t="str">
        <f>VLOOKUP($D94,orgNodes!$A$2:$D$124,3,FALSE)</f>
        <v>Trinity River Authority</v>
      </c>
      <c r="H94" s="12">
        <f>VLOOKUP($D94,orgNodes!$A$2:$D$124,4,FALSE)</f>
        <v>20</v>
      </c>
      <c r="I94" s="1" t="s">
        <v>876</v>
      </c>
      <c r="J94" s="1" t="s">
        <v>881</v>
      </c>
      <c r="K94" s="1" t="s">
        <v>892</v>
      </c>
      <c r="L94" s="1" t="s">
        <v>5</v>
      </c>
      <c r="M94" s="1" t="s">
        <v>9</v>
      </c>
      <c r="N94" s="1" t="s">
        <v>922</v>
      </c>
      <c r="O94" s="1" t="s">
        <v>5</v>
      </c>
      <c r="P94" s="1" t="s">
        <v>11</v>
      </c>
      <c r="Q94" s="1" t="s">
        <v>12</v>
      </c>
      <c r="R94" s="1" t="s">
        <v>946</v>
      </c>
      <c r="S94" s="1" t="s">
        <v>12</v>
      </c>
      <c r="T94" s="1" t="s">
        <v>942</v>
      </c>
      <c r="U94" s="1" t="s">
        <v>166</v>
      </c>
    </row>
    <row r="95" spans="1:21" x14ac:dyDescent="0.3">
      <c r="A95" s="1" t="s">
        <v>738</v>
      </c>
      <c r="B95" s="1" t="s">
        <v>739</v>
      </c>
      <c r="C95" s="1" t="s">
        <v>365</v>
      </c>
      <c r="D95" s="12" t="s">
        <v>370</v>
      </c>
      <c r="E95" s="1" t="s">
        <v>748</v>
      </c>
      <c r="F95" s="1" t="str">
        <f>CONCATENATE(E95,": ",B95)</f>
        <v>UGRA: Current River Conditions</v>
      </c>
      <c r="G95" s="1" t="str">
        <f>VLOOKUP($D95,orgNodes!$A$2:$D$124,3,FALSE)</f>
        <v>Upper Guadalupe River Authority</v>
      </c>
      <c r="H95" s="12">
        <f>VLOOKUP($D95,orgNodes!$A$2:$D$124,4,FALSE)</f>
        <v>22</v>
      </c>
      <c r="I95" s="1" t="s">
        <v>877</v>
      </c>
      <c r="J95" s="1" t="s">
        <v>8</v>
      </c>
      <c r="K95" s="1" t="s">
        <v>2</v>
      </c>
      <c r="L95" s="1" t="s">
        <v>5</v>
      </c>
      <c r="M95" s="1" t="s">
        <v>9</v>
      </c>
      <c r="N95" s="1" t="s">
        <v>7</v>
      </c>
      <c r="O95" s="1" t="s">
        <v>12</v>
      </c>
      <c r="P95" s="1" t="s">
        <v>170</v>
      </c>
      <c r="Q95" s="1" t="s">
        <v>12</v>
      </c>
      <c r="R95" s="1" t="s">
        <v>12</v>
      </c>
      <c r="S95" s="1" t="s">
        <v>12</v>
      </c>
      <c r="T95" s="1" t="s">
        <v>942</v>
      </c>
      <c r="U95" s="1" t="s">
        <v>166</v>
      </c>
    </row>
    <row r="96" spans="1:21" x14ac:dyDescent="0.3">
      <c r="A96" s="1" t="s">
        <v>740</v>
      </c>
      <c r="B96" s="1" t="s">
        <v>741</v>
      </c>
      <c r="C96" s="1" t="s">
        <v>395</v>
      </c>
      <c r="D96" s="12" t="s">
        <v>567</v>
      </c>
      <c r="E96" s="1" t="s">
        <v>802</v>
      </c>
      <c r="F96" s="1" t="str">
        <f>CONCATENATE(E96,": ",B96)</f>
        <v>PUC-Water: CCN Mapping Information</v>
      </c>
      <c r="G96" s="1" t="str">
        <f>VLOOKUP($D96,orgNodes!$A$2:$D$124,3,FALSE)</f>
        <v>Public Utility Commission of Texas</v>
      </c>
      <c r="H96" s="12">
        <f>VLOOKUP($D96,orgNodes!$A$2:$D$124,4,FALSE)</f>
        <v>28</v>
      </c>
      <c r="I96" s="1" t="s">
        <v>878</v>
      </c>
      <c r="J96" s="1" t="s">
        <v>8</v>
      </c>
      <c r="K96" s="1" t="s">
        <v>2</v>
      </c>
      <c r="L96" s="1" t="s">
        <v>5</v>
      </c>
      <c r="M96" s="1" t="s">
        <v>9</v>
      </c>
      <c r="N96" s="1" t="s">
        <v>935</v>
      </c>
      <c r="O96" s="1" t="s">
        <v>12</v>
      </c>
      <c r="P96" s="1" t="s">
        <v>12</v>
      </c>
      <c r="Q96" s="1" t="s">
        <v>12</v>
      </c>
      <c r="R96" s="1" t="s">
        <v>12</v>
      </c>
      <c r="S96" s="1" t="s">
        <v>12</v>
      </c>
      <c r="T96" s="1" t="s">
        <v>6</v>
      </c>
      <c r="U96" s="1" t="s">
        <v>939</v>
      </c>
    </row>
    <row r="97" spans="1:21" x14ac:dyDescent="0.3">
      <c r="A97" s="1" t="s">
        <v>742</v>
      </c>
      <c r="B97" s="1" t="s">
        <v>743</v>
      </c>
      <c r="C97" s="1" t="s">
        <v>395</v>
      </c>
      <c r="D97" s="12" t="s">
        <v>567</v>
      </c>
      <c r="E97" s="1" t="s">
        <v>802</v>
      </c>
      <c r="F97" s="1" t="str">
        <f>CONCATENATE(E97,": ",B97)</f>
        <v>PUC-Water: Interchange Filer</v>
      </c>
      <c r="G97" s="1" t="str">
        <f>VLOOKUP($D97,orgNodes!$A$2:$D$124,3,FALSE)</f>
        <v>Public Utility Commission of Texas</v>
      </c>
      <c r="H97" s="12">
        <f>VLOOKUP($D97,orgNodes!$A$2:$D$124,4,FALSE)</f>
        <v>28</v>
      </c>
      <c r="I97" s="1" t="s">
        <v>879</v>
      </c>
      <c r="J97" s="1" t="s">
        <v>881</v>
      </c>
      <c r="K97" s="1" t="s">
        <v>886</v>
      </c>
      <c r="L97" s="1" t="s">
        <v>5</v>
      </c>
      <c r="M97" s="1" t="s">
        <v>9</v>
      </c>
      <c r="N97" s="1" t="s">
        <v>7</v>
      </c>
      <c r="O97" s="1" t="s">
        <v>12</v>
      </c>
      <c r="P97" s="1" t="s">
        <v>12</v>
      </c>
      <c r="Q97" s="1" t="s">
        <v>12</v>
      </c>
      <c r="R97" s="1" t="s">
        <v>12</v>
      </c>
      <c r="S97" s="1" t="s">
        <v>12</v>
      </c>
      <c r="T97" s="1" t="s">
        <v>13</v>
      </c>
      <c r="U97" s="1" t="s">
        <v>164</v>
      </c>
    </row>
    <row r="98" spans="1:21" x14ac:dyDescent="0.3">
      <c r="A98" s="1" t="s">
        <v>744</v>
      </c>
      <c r="B98" s="1" t="s">
        <v>745</v>
      </c>
      <c r="C98" t="s">
        <v>45</v>
      </c>
      <c r="D98" s="12" t="s">
        <v>89</v>
      </c>
      <c r="E98" s="1" t="s">
        <v>803</v>
      </c>
      <c r="F98" s="1" t="str">
        <f>CONCATENATE(E98,": ",B98)</f>
        <v>TCEQ-Record Services: Purchase Data</v>
      </c>
      <c r="G98" s="1" t="str">
        <f>VLOOKUP($D98,orgNodes!$A$2:$D$124,3,FALSE)</f>
        <v>Texas Commission on Environmental Quality</v>
      </c>
      <c r="H98" s="12">
        <f>VLOOKUP($D98,orgNodes!$A$2:$D$124,4,FALSE)</f>
        <v>4</v>
      </c>
      <c r="I98" s="1" t="s">
        <v>880</v>
      </c>
      <c r="J98" s="1" t="s">
        <v>8</v>
      </c>
      <c r="K98" s="1" t="s">
        <v>2</v>
      </c>
      <c r="L98" s="1" t="s">
        <v>889</v>
      </c>
      <c r="M98" s="1" t="s">
        <v>936</v>
      </c>
      <c r="N98" s="1" t="s">
        <v>6</v>
      </c>
      <c r="O98" s="1" t="s">
        <v>6</v>
      </c>
      <c r="P98" s="1" t="s">
        <v>6</v>
      </c>
      <c r="Q98" s="1" t="s">
        <v>6</v>
      </c>
      <c r="R98" s="1" t="s">
        <v>6</v>
      </c>
      <c r="S98" s="1" t="s">
        <v>6</v>
      </c>
      <c r="T98" s="1" t="s">
        <v>6</v>
      </c>
      <c r="U98" s="1" t="s">
        <v>6</v>
      </c>
    </row>
  </sheetData>
  <hyperlinks>
    <hyperlink ref="I2" r:id="rId1"/>
    <hyperlink ref="I3" r:id="rId2"/>
    <hyperlink ref="I4" r:id="rId3"/>
    <hyperlink ref="I5" r:id="rId4"/>
    <hyperlink ref="I6" r:id="rId5"/>
    <hyperlink ref="I7" r:id="rId6"/>
    <hyperlink ref="I9" r:id="rId7"/>
    <hyperlink ref="I10" r:id="rId8"/>
    <hyperlink ref="I11" r:id="rId9"/>
    <hyperlink ref="I12" r:id="rId1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80" zoomScaleNormal="80" workbookViewId="0">
      <selection activeCell="B36" sqref="B36"/>
    </sheetView>
  </sheetViews>
  <sheetFormatPr defaultRowHeight="15.6" x14ac:dyDescent="0.3"/>
  <cols>
    <col min="1" max="1" width="9.8984375" style="1" bestFit="1" customWidth="1"/>
    <col min="2" max="2" width="29.19921875" style="1" customWidth="1"/>
    <col min="3" max="3" width="12.3984375" style="1" bestFit="1" customWidth="1"/>
    <col min="4" max="16384" width="8.796875" style="1"/>
  </cols>
  <sheetData>
    <row r="1" spans="1:3" x14ac:dyDescent="0.3">
      <c r="A1" s="5" t="s">
        <v>191</v>
      </c>
      <c r="B1" s="5" t="s">
        <v>190</v>
      </c>
      <c r="C1" s="5" t="s">
        <v>189</v>
      </c>
    </row>
    <row r="2" spans="1:3" x14ac:dyDescent="0.3">
      <c r="A2" s="1" t="s">
        <v>111</v>
      </c>
      <c r="B2" s="1" t="s">
        <v>132</v>
      </c>
      <c r="C2" s="1" t="s">
        <v>120</v>
      </c>
    </row>
    <row r="3" spans="1:3" x14ac:dyDescent="0.3">
      <c r="A3" s="1" t="s">
        <v>112</v>
      </c>
      <c r="B3" s="1" t="s">
        <v>133</v>
      </c>
      <c r="C3" s="1" t="s">
        <v>120</v>
      </c>
    </row>
    <row r="4" spans="1:3" x14ac:dyDescent="0.3">
      <c r="A4" s="1" t="s">
        <v>114</v>
      </c>
      <c r="B4" s="1" t="s">
        <v>134</v>
      </c>
      <c r="C4" s="1" t="s">
        <v>134</v>
      </c>
    </row>
    <row r="5" spans="1:3" x14ac:dyDescent="0.3">
      <c r="A5" s="1" t="s">
        <v>135</v>
      </c>
      <c r="B5" s="1" t="s">
        <v>126</v>
      </c>
      <c r="C5" s="1" t="s">
        <v>134</v>
      </c>
    </row>
    <row r="6" spans="1:3" x14ac:dyDescent="0.3">
      <c r="A6" s="1" t="s">
        <v>115</v>
      </c>
      <c r="B6" s="1" t="s">
        <v>113</v>
      </c>
      <c r="C6" s="1" t="s">
        <v>136</v>
      </c>
    </row>
    <row r="7" spans="1:3" x14ac:dyDescent="0.3">
      <c r="A7" s="1" t="s">
        <v>116</v>
      </c>
      <c r="B7" s="1" t="s">
        <v>137</v>
      </c>
      <c r="C7" s="1" t="s">
        <v>136</v>
      </c>
    </row>
    <row r="8" spans="1:3" x14ac:dyDescent="0.3">
      <c r="A8" s="1" t="s">
        <v>117</v>
      </c>
      <c r="B8" s="1" t="s">
        <v>138</v>
      </c>
      <c r="C8" s="1" t="s">
        <v>136</v>
      </c>
    </row>
    <row r="9" spans="1:3" x14ac:dyDescent="0.3">
      <c r="A9" s="1" t="s">
        <v>119</v>
      </c>
      <c r="B9" s="1" t="s">
        <v>3</v>
      </c>
      <c r="C9" s="1" t="s">
        <v>136</v>
      </c>
    </row>
    <row r="10" spans="1:3" x14ac:dyDescent="0.3">
      <c r="A10" s="1" t="s">
        <v>139</v>
      </c>
      <c r="B10" s="1" t="s">
        <v>122</v>
      </c>
      <c r="C10" s="1" t="s">
        <v>136</v>
      </c>
    </row>
    <row r="11" spans="1:3" x14ac:dyDescent="0.3">
      <c r="A11" s="1" t="s">
        <v>121</v>
      </c>
      <c r="B11" s="1" t="s">
        <v>124</v>
      </c>
      <c r="C11" s="1" t="s">
        <v>136</v>
      </c>
    </row>
    <row r="12" spans="1:3" x14ac:dyDescent="0.3">
      <c r="A12" s="1" t="s">
        <v>123</v>
      </c>
      <c r="B12" s="1" t="s">
        <v>56</v>
      </c>
      <c r="C12" s="1" t="s">
        <v>136</v>
      </c>
    </row>
    <row r="13" spans="1:3" x14ac:dyDescent="0.3">
      <c r="A13" s="1" t="s">
        <v>125</v>
      </c>
      <c r="B13" s="1" t="s">
        <v>129</v>
      </c>
      <c r="C13" s="1" t="s">
        <v>136</v>
      </c>
    </row>
    <row r="14" spans="1:3" x14ac:dyDescent="0.3">
      <c r="A14" s="1" t="s">
        <v>127</v>
      </c>
      <c r="B14" s="1" t="s">
        <v>55</v>
      </c>
      <c r="C14" s="1" t="s">
        <v>136</v>
      </c>
    </row>
    <row r="15" spans="1:3" x14ac:dyDescent="0.3">
      <c r="A15" s="1" t="s">
        <v>140</v>
      </c>
      <c r="B15" s="1" t="s">
        <v>118</v>
      </c>
      <c r="C15" s="1" t="s">
        <v>141</v>
      </c>
    </row>
    <row r="16" spans="1:3" x14ac:dyDescent="0.3">
      <c r="A16" s="1" t="s">
        <v>142</v>
      </c>
      <c r="B16" s="1" t="s">
        <v>143</v>
      </c>
      <c r="C16" s="1" t="s">
        <v>141</v>
      </c>
    </row>
    <row r="17" spans="1:3" x14ac:dyDescent="0.3">
      <c r="A17" s="1" t="s">
        <v>128</v>
      </c>
      <c r="B17" s="1" t="s">
        <v>141</v>
      </c>
      <c r="C17" s="1" t="s">
        <v>141</v>
      </c>
    </row>
    <row r="18" spans="1:3" x14ac:dyDescent="0.3">
      <c r="A18" s="1" t="s">
        <v>130</v>
      </c>
      <c r="B18" s="1" t="s">
        <v>99</v>
      </c>
      <c r="C18" s="1" t="s">
        <v>141</v>
      </c>
    </row>
    <row r="19" spans="1:3" x14ac:dyDescent="0.3">
      <c r="A19" s="1" t="s">
        <v>131</v>
      </c>
      <c r="B19" s="1" t="s">
        <v>144</v>
      </c>
      <c r="C19" s="1" t="s">
        <v>141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7"/>
  <sheetViews>
    <sheetView zoomScale="80" zoomScaleNormal="80" workbookViewId="0">
      <pane ySplit="1" topLeftCell="A113" activePane="bottomLeft" state="frozen"/>
      <selection pane="bottomLeft" activeCell="F135" sqref="F135"/>
    </sheetView>
  </sheetViews>
  <sheetFormatPr defaultRowHeight="15.6" x14ac:dyDescent="0.3"/>
  <cols>
    <col min="1" max="1" width="5.5" style="1" bestFit="1" customWidth="1"/>
    <col min="2" max="2" width="42.19921875" style="1" customWidth="1"/>
    <col min="3" max="4" width="19.796875" style="1" customWidth="1"/>
    <col min="5" max="5" width="13.59765625" style="1" customWidth="1"/>
    <col min="6" max="6" width="14.59765625" style="1" bestFit="1" customWidth="1"/>
    <col min="7" max="7" width="16.796875" style="1" customWidth="1"/>
    <col min="8" max="8" width="13.5" style="1" bestFit="1" customWidth="1"/>
    <col min="9" max="9" width="9.5" style="1" bestFit="1" customWidth="1"/>
    <col min="10" max="12" width="8.796875" style="1"/>
    <col min="13" max="13" width="16.796875" style="1" customWidth="1"/>
    <col min="14" max="16384" width="8.796875" style="1"/>
  </cols>
  <sheetData>
    <row r="1" spans="1:14" x14ac:dyDescent="0.3">
      <c r="A1" s="3" t="s">
        <v>176</v>
      </c>
      <c r="B1" s="9" t="s">
        <v>177</v>
      </c>
      <c r="C1" s="8" t="s">
        <v>172</v>
      </c>
      <c r="D1" s="8" t="s">
        <v>173</v>
      </c>
      <c r="E1" s="9" t="s">
        <v>74</v>
      </c>
      <c r="F1" s="8" t="s">
        <v>188</v>
      </c>
      <c r="G1" s="8" t="s">
        <v>190</v>
      </c>
      <c r="H1" s="8" t="s">
        <v>189</v>
      </c>
      <c r="I1" s="10" t="s">
        <v>191</v>
      </c>
      <c r="J1" s="8" t="s">
        <v>0</v>
      </c>
      <c r="M1" s="1" t="s">
        <v>193</v>
      </c>
      <c r="N1" s="1" t="s">
        <v>192</v>
      </c>
    </row>
    <row r="2" spans="1:14" x14ac:dyDescent="0.3">
      <c r="A2" s="1" t="s">
        <v>100</v>
      </c>
      <c r="B2" s="1" t="s">
        <v>20</v>
      </c>
      <c r="C2" s="1" t="s">
        <v>19</v>
      </c>
      <c r="D2" s="1" t="s">
        <v>18</v>
      </c>
      <c r="E2" s="1" t="s">
        <v>21</v>
      </c>
      <c r="F2" s="1" t="s">
        <v>54</v>
      </c>
      <c r="G2" s="1" t="s">
        <v>56</v>
      </c>
      <c r="H2" s="1" t="str">
        <f>VLOOKUP(G2,dataNodes!$B$2:$C$19,2,FALSE)</f>
        <v>Quantity</v>
      </c>
      <c r="I2" s="1" t="str">
        <f t="shared" ref="I2:I18" si="0">VLOOKUP(G2,$M$2:$N$19,2,FALSE)</f>
        <v>d11</v>
      </c>
      <c r="M2" s="7" t="str">
        <f>dataNodes!B2</f>
        <v>Built</v>
      </c>
      <c r="N2" s="4" t="str">
        <f>dataNodes!A2</f>
        <v>d01</v>
      </c>
    </row>
    <row r="3" spans="1:14" x14ac:dyDescent="0.3">
      <c r="A3" s="1" t="s">
        <v>100</v>
      </c>
      <c r="B3" s="1" t="s">
        <v>20</v>
      </c>
      <c r="C3" s="1" t="s">
        <v>19</v>
      </c>
      <c r="D3" s="1" t="s">
        <v>18</v>
      </c>
      <c r="E3" s="1" t="s">
        <v>21</v>
      </c>
      <c r="F3" s="1" t="s">
        <v>145</v>
      </c>
      <c r="G3" s="1" t="s">
        <v>137</v>
      </c>
      <c r="H3" s="1" t="str">
        <f>VLOOKUP(G3,dataNodes!$B$2:$C$19,2,FALSE)</f>
        <v>Quantity</v>
      </c>
      <c r="I3" s="1" t="str">
        <f t="shared" si="0"/>
        <v>d06</v>
      </c>
      <c r="M3" s="7" t="str">
        <f>dataNodes!B3</f>
        <v>Natural</v>
      </c>
      <c r="N3" s="4" t="str">
        <f>dataNodes!A3</f>
        <v>d02</v>
      </c>
    </row>
    <row r="4" spans="1:14" x14ac:dyDescent="0.3">
      <c r="A4" s="1" t="s">
        <v>101</v>
      </c>
      <c r="B4" s="1" t="s">
        <v>25</v>
      </c>
      <c r="C4" s="1" t="s">
        <v>23</v>
      </c>
      <c r="D4" s="1" t="s">
        <v>22</v>
      </c>
      <c r="E4" s="1" t="s">
        <v>24</v>
      </c>
      <c r="F4" s="1" t="s">
        <v>147</v>
      </c>
      <c r="G4" s="1" t="s">
        <v>144</v>
      </c>
      <c r="H4" s="1" t="str">
        <f>VLOOKUP(G4,dataNodes!$B$2:$C$19,2,FALSE)</f>
        <v>Use</v>
      </c>
      <c r="I4" s="1" t="str">
        <f t="shared" si="0"/>
        <v>d18</v>
      </c>
      <c r="M4" s="7" t="str">
        <f>dataNodes!B4</f>
        <v>Quality</v>
      </c>
      <c r="N4" s="4" t="str">
        <f>dataNodes!A4</f>
        <v>d03</v>
      </c>
    </row>
    <row r="5" spans="1:14" x14ac:dyDescent="0.3">
      <c r="A5" s="1" t="s">
        <v>102</v>
      </c>
      <c r="B5" s="1" t="s">
        <v>26</v>
      </c>
      <c r="C5" s="1" t="s">
        <v>23</v>
      </c>
      <c r="D5" s="1" t="s">
        <v>22</v>
      </c>
      <c r="E5" s="1" t="s">
        <v>27</v>
      </c>
      <c r="F5" s="1" t="s">
        <v>146</v>
      </c>
      <c r="G5" s="1" t="s">
        <v>144</v>
      </c>
      <c r="H5" s="1" t="str">
        <f>VLOOKUP(G5,dataNodes!$B$2:$C$19,2,FALSE)</f>
        <v>Use</v>
      </c>
      <c r="I5" s="1" t="str">
        <f t="shared" si="0"/>
        <v>d18</v>
      </c>
      <c r="M5" s="7" t="str">
        <f>dataNodes!B5</f>
        <v>Regulatory</v>
      </c>
      <c r="N5" s="4" t="str">
        <f>dataNodes!A5</f>
        <v>d04</v>
      </c>
    </row>
    <row r="6" spans="1:14" x14ac:dyDescent="0.3">
      <c r="A6" s="1" t="s">
        <v>103</v>
      </c>
      <c r="B6" s="1" t="s">
        <v>28</v>
      </c>
      <c r="C6" s="1" t="s">
        <v>4</v>
      </c>
      <c r="D6" s="1" t="s">
        <v>22</v>
      </c>
      <c r="E6" s="1" t="s">
        <v>29</v>
      </c>
      <c r="F6" s="1" t="s">
        <v>28</v>
      </c>
      <c r="G6" s="1" t="s">
        <v>134</v>
      </c>
      <c r="H6" s="1" t="str">
        <f>VLOOKUP(G6,dataNodes!$B$2:$C$19,2,FALSE)</f>
        <v>Quality</v>
      </c>
      <c r="I6" s="1" t="str">
        <f t="shared" si="0"/>
        <v>d03</v>
      </c>
      <c r="M6" s="7" t="str">
        <f>dataNodes!B6</f>
        <v>Evapotranspiration</v>
      </c>
      <c r="N6" s="4" t="str">
        <f>dataNodes!A6</f>
        <v>d05</v>
      </c>
    </row>
    <row r="7" spans="1:14" x14ac:dyDescent="0.3">
      <c r="A7" s="1" t="s">
        <v>104</v>
      </c>
      <c r="B7" s="1" t="s">
        <v>31</v>
      </c>
      <c r="C7" s="1" t="s">
        <v>30</v>
      </c>
      <c r="D7" s="1" t="s">
        <v>22</v>
      </c>
      <c r="E7" s="1" t="s">
        <v>32</v>
      </c>
      <c r="F7" s="1" t="s">
        <v>148</v>
      </c>
      <c r="G7" s="1" t="s">
        <v>134</v>
      </c>
      <c r="H7" s="1" t="str">
        <f>VLOOKUP(G7,dataNodes!$B$2:$C$19,2,FALSE)</f>
        <v>Quality</v>
      </c>
      <c r="I7" s="1" t="str">
        <f t="shared" si="0"/>
        <v>d03</v>
      </c>
      <c r="M7" s="7" t="str">
        <f>dataNodes!B7</f>
        <v>Extreme Events</v>
      </c>
      <c r="N7" s="4" t="str">
        <f>dataNodes!A7</f>
        <v>d06</v>
      </c>
    </row>
    <row r="8" spans="1:14" x14ac:dyDescent="0.3">
      <c r="A8" s="1" t="s">
        <v>105</v>
      </c>
      <c r="B8" s="1" t="s">
        <v>42</v>
      </c>
      <c r="C8" s="1" t="s">
        <v>40</v>
      </c>
      <c r="D8" s="1" t="s">
        <v>45</v>
      </c>
      <c r="E8" s="1" t="s">
        <v>43</v>
      </c>
      <c r="F8" s="1" t="s">
        <v>150</v>
      </c>
      <c r="G8" s="1" t="s">
        <v>99</v>
      </c>
      <c r="H8" s="1" t="str">
        <f>VLOOKUP(G8,dataNodes!$B$2:$C$19,2,FALSE)</f>
        <v>Use</v>
      </c>
      <c r="I8" s="1" t="str">
        <f t="shared" si="0"/>
        <v>d17</v>
      </c>
      <c r="J8" s="1" t="s">
        <v>1082</v>
      </c>
      <c r="M8" s="7" t="str">
        <f>dataNodes!B8</f>
        <v>Glacial and Snow</v>
      </c>
      <c r="N8" s="4" t="str">
        <f>dataNodes!A8</f>
        <v>d07</v>
      </c>
    </row>
    <row r="9" spans="1:14" x14ac:dyDescent="0.3">
      <c r="A9" s="1" t="s">
        <v>106</v>
      </c>
      <c r="B9" s="1" t="s">
        <v>16</v>
      </c>
      <c r="C9" s="1" t="s">
        <v>39</v>
      </c>
      <c r="D9" s="1" t="s">
        <v>45</v>
      </c>
      <c r="E9" s="1" t="s">
        <v>44</v>
      </c>
      <c r="F9" s="1" t="s">
        <v>149</v>
      </c>
      <c r="G9" s="1" t="s">
        <v>99</v>
      </c>
      <c r="H9" s="1" t="str">
        <f>VLOOKUP(G9,dataNodes!$B$2:$C$19,2,FALSE)</f>
        <v>Use</v>
      </c>
      <c r="I9" s="1" t="str">
        <f t="shared" si="0"/>
        <v>d17</v>
      </c>
      <c r="J9" s="1" t="s">
        <v>1083</v>
      </c>
      <c r="M9" s="7" t="str">
        <f>dataNodes!B9</f>
        <v>Groundwater</v>
      </c>
      <c r="N9" s="4" t="str">
        <f>dataNodes!A9</f>
        <v>d08</v>
      </c>
    </row>
    <row r="10" spans="1:14" x14ac:dyDescent="0.3">
      <c r="A10" s="1" t="s">
        <v>107</v>
      </c>
      <c r="B10" s="1" t="s">
        <v>46</v>
      </c>
      <c r="C10" s="1" t="s">
        <v>38</v>
      </c>
      <c r="D10" s="1" t="s">
        <v>45</v>
      </c>
      <c r="E10" s="1" t="s">
        <v>47</v>
      </c>
      <c r="F10" s="1" t="s">
        <v>152</v>
      </c>
      <c r="G10" s="1" t="s">
        <v>141</v>
      </c>
      <c r="H10" s="1" t="str">
        <f>VLOOKUP(G10,dataNodes!$B$2:$C$19,2,FALSE)</f>
        <v>Use</v>
      </c>
      <c r="I10" s="1" t="str">
        <f t="shared" si="0"/>
        <v>d16</v>
      </c>
      <c r="M10" s="7" t="str">
        <f>dataNodes!B10</f>
        <v>Meteorology</v>
      </c>
      <c r="N10" s="4" t="str">
        <f>dataNodes!A10</f>
        <v>d09</v>
      </c>
    </row>
    <row r="11" spans="1:14" x14ac:dyDescent="0.3">
      <c r="A11" s="1" t="s">
        <v>107</v>
      </c>
      <c r="B11" s="1" t="s">
        <v>46</v>
      </c>
      <c r="C11" s="1" t="s">
        <v>38</v>
      </c>
      <c r="D11" s="1" t="s">
        <v>45</v>
      </c>
      <c r="E11" s="1" t="s">
        <v>47</v>
      </c>
      <c r="F11" s="1" t="s">
        <v>153</v>
      </c>
      <c r="G11" s="1" t="s">
        <v>132</v>
      </c>
      <c r="H11" s="1" t="str">
        <f>VLOOKUP(G11,dataNodes!$B$2:$C$19,2,FALSE)</f>
        <v>Infrastructure</v>
      </c>
      <c r="I11" s="1" t="str">
        <f t="shared" si="0"/>
        <v>d01</v>
      </c>
      <c r="M11" s="7" t="str">
        <f>dataNodes!B11</f>
        <v>Precipitation</v>
      </c>
      <c r="N11" s="4" t="str">
        <f>dataNodes!A11</f>
        <v>d10</v>
      </c>
    </row>
    <row r="12" spans="1:14" x14ac:dyDescent="0.3">
      <c r="A12" s="1" t="s">
        <v>108</v>
      </c>
      <c r="B12" s="1" t="s">
        <v>48</v>
      </c>
      <c r="C12" s="1" t="s">
        <v>38</v>
      </c>
      <c r="D12" s="1" t="s">
        <v>45</v>
      </c>
      <c r="E12" s="1" t="s">
        <v>49</v>
      </c>
      <c r="F12" s="1" t="s">
        <v>154</v>
      </c>
      <c r="G12" s="1" t="s">
        <v>132</v>
      </c>
      <c r="H12" s="1" t="str">
        <f>VLOOKUP(G12,dataNodes!$B$2:$C$19,2,FALSE)</f>
        <v>Infrastructure</v>
      </c>
      <c r="I12" s="1" t="str">
        <f t="shared" si="0"/>
        <v>d01</v>
      </c>
      <c r="M12" s="7" t="str">
        <f>dataNodes!B12</f>
        <v>Reservoir</v>
      </c>
      <c r="N12" s="4" t="str">
        <f>dataNodes!A12</f>
        <v>d11</v>
      </c>
    </row>
    <row r="13" spans="1:14" x14ac:dyDescent="0.3">
      <c r="A13" s="1" t="s">
        <v>108</v>
      </c>
      <c r="B13" s="1" t="s">
        <v>48</v>
      </c>
      <c r="C13" s="1" t="s">
        <v>38</v>
      </c>
      <c r="D13" s="1" t="s">
        <v>45</v>
      </c>
      <c r="E13" s="1" t="s">
        <v>49</v>
      </c>
      <c r="F13" s="1" t="s">
        <v>155</v>
      </c>
      <c r="G13" s="1" t="s">
        <v>133</v>
      </c>
      <c r="H13" s="1" t="str">
        <f>VLOOKUP(G13,dataNodes!$B$2:$C$19,2,FALSE)</f>
        <v>Infrastructure</v>
      </c>
      <c r="I13" s="1" t="str">
        <f t="shared" si="0"/>
        <v>d02</v>
      </c>
      <c r="M13" s="7" t="str">
        <f>dataNodes!B13</f>
        <v>Soil</v>
      </c>
      <c r="N13" s="4" t="str">
        <f>dataNodes!A13</f>
        <v>d12</v>
      </c>
    </row>
    <row r="14" spans="1:14" x14ac:dyDescent="0.3">
      <c r="A14" s="1" t="s">
        <v>108</v>
      </c>
      <c r="B14" s="1" t="s">
        <v>48</v>
      </c>
      <c r="C14" s="1" t="s">
        <v>38</v>
      </c>
      <c r="D14" s="1" t="s">
        <v>45</v>
      </c>
      <c r="E14" s="1" t="s">
        <v>49</v>
      </c>
      <c r="F14" s="1" t="s">
        <v>157</v>
      </c>
      <c r="G14" s="1" t="s">
        <v>55</v>
      </c>
      <c r="H14" s="1" t="str">
        <f>VLOOKUP(G14,dataNodes!$B$2:$C$19,2,FALSE)</f>
        <v>Quantity</v>
      </c>
      <c r="I14" s="1" t="str">
        <f t="shared" si="0"/>
        <v>d13</v>
      </c>
      <c r="M14" s="7" t="str">
        <f>dataNodes!B14</f>
        <v>Surface Water</v>
      </c>
      <c r="N14" s="4" t="str">
        <f>dataNodes!A14</f>
        <v>d13</v>
      </c>
    </row>
    <row r="15" spans="1:14" x14ac:dyDescent="0.3">
      <c r="A15" s="1" t="s">
        <v>108</v>
      </c>
      <c r="B15" s="1" t="s">
        <v>48</v>
      </c>
      <c r="C15" s="1" t="s">
        <v>38</v>
      </c>
      <c r="D15" s="1" t="s">
        <v>45</v>
      </c>
      <c r="E15" s="1" t="s">
        <v>49</v>
      </c>
      <c r="F15" s="1" t="s">
        <v>158</v>
      </c>
      <c r="G15" s="1" t="s">
        <v>141</v>
      </c>
      <c r="H15" s="1" t="str">
        <f>VLOOKUP(G15,dataNodes!$B$2:$C$19,2,FALSE)</f>
        <v>Use</v>
      </c>
      <c r="I15" s="1" t="str">
        <f t="shared" si="0"/>
        <v>d16</v>
      </c>
      <c r="M15" s="7" t="str">
        <f>dataNodes!B15</f>
        <v>Hydropower</v>
      </c>
      <c r="N15" s="4" t="str">
        <f>dataNodes!A15</f>
        <v>d14</v>
      </c>
    </row>
    <row r="16" spans="1:14" x14ac:dyDescent="0.3">
      <c r="A16" s="1" t="s">
        <v>109</v>
      </c>
      <c r="B16" s="1" t="s">
        <v>50</v>
      </c>
      <c r="C16" s="1" t="s">
        <v>57</v>
      </c>
      <c r="D16" s="1" t="s">
        <v>45</v>
      </c>
      <c r="E16" s="1" t="s">
        <v>51</v>
      </c>
      <c r="F16" s="1" t="s">
        <v>159</v>
      </c>
      <c r="G16" s="1" t="s">
        <v>134</v>
      </c>
      <c r="H16" s="1" t="str">
        <f>VLOOKUP(G16,dataNodes!$B$2:$C$19,2,FALSE)</f>
        <v>Quality</v>
      </c>
      <c r="I16" s="1" t="str">
        <f t="shared" si="0"/>
        <v>d03</v>
      </c>
      <c r="M16" s="7" t="str">
        <f>dataNodes!B16</f>
        <v>Irrigation</v>
      </c>
      <c r="N16" s="4" t="str">
        <f>dataNodes!A16</f>
        <v>d15</v>
      </c>
    </row>
    <row r="17" spans="1:14" x14ac:dyDescent="0.3">
      <c r="A17" s="1" t="s">
        <v>109</v>
      </c>
      <c r="B17" s="1" t="s">
        <v>50</v>
      </c>
      <c r="C17" s="1" t="s">
        <v>57</v>
      </c>
      <c r="D17" s="1" t="s">
        <v>45</v>
      </c>
      <c r="E17" s="1" t="s">
        <v>51</v>
      </c>
      <c r="F17" s="1" t="s">
        <v>160</v>
      </c>
      <c r="G17" s="1" t="s">
        <v>126</v>
      </c>
      <c r="H17" s="1" t="str">
        <f>VLOOKUP(G17,dataNodes!$B$2:$C$19,2,FALSE)</f>
        <v>Quality</v>
      </c>
      <c r="I17" s="1" t="str">
        <f t="shared" si="0"/>
        <v>d04</v>
      </c>
      <c r="M17" s="7" t="str">
        <f>dataNodes!B17</f>
        <v>Use</v>
      </c>
      <c r="N17" s="4" t="str">
        <f>dataNodes!A17</f>
        <v>d16</v>
      </c>
    </row>
    <row r="18" spans="1:14" x14ac:dyDescent="0.3">
      <c r="A18" s="1" t="s">
        <v>110</v>
      </c>
      <c r="B18" s="1" t="s">
        <v>52</v>
      </c>
      <c r="C18" s="1" t="s">
        <v>58</v>
      </c>
      <c r="D18" s="1" t="s">
        <v>45</v>
      </c>
      <c r="E18" s="1" t="s">
        <v>53</v>
      </c>
      <c r="F18" s="1" t="s">
        <v>161</v>
      </c>
      <c r="G18" s="1" t="s">
        <v>134</v>
      </c>
      <c r="H18" s="1" t="str">
        <f>VLOOKUP(G18,dataNodes!$B$2:$C$19,2,FALSE)</f>
        <v>Quality</v>
      </c>
      <c r="I18" s="1" t="str">
        <f t="shared" si="0"/>
        <v>d03</v>
      </c>
      <c r="M18" s="7" t="str">
        <f>dataNodes!B18</f>
        <v>Utilities</v>
      </c>
      <c r="N18" s="4" t="str">
        <f>dataNodes!A18</f>
        <v>d17</v>
      </c>
    </row>
    <row r="19" spans="1:14" x14ac:dyDescent="0.3">
      <c r="A19" s="1" t="s">
        <v>568</v>
      </c>
      <c r="B19" s="1" t="s">
        <v>569</v>
      </c>
      <c r="C19" s="1" t="s">
        <v>208</v>
      </c>
      <c r="D19" s="1" t="s">
        <v>45</v>
      </c>
      <c r="E19" s="1" t="s">
        <v>804</v>
      </c>
      <c r="F19" s="1" t="s">
        <v>950</v>
      </c>
      <c r="G19" s="1" t="s">
        <v>144</v>
      </c>
      <c r="H19" s="1" t="str">
        <f>VLOOKUP(G19,dataNodes!$B$2:$C$19,2,FALSE)</f>
        <v>Use</v>
      </c>
      <c r="I19" s="1" t="str">
        <f t="shared" ref="I19:I82" si="1">VLOOKUP(G19,$M$2:$N$19,2,FALSE)</f>
        <v>d18</v>
      </c>
      <c r="M19" s="7" t="str">
        <f>dataNodes!B19</f>
        <v>Management Plans</v>
      </c>
      <c r="N19" s="4" t="str">
        <f>dataNodes!A19</f>
        <v>d18</v>
      </c>
    </row>
    <row r="20" spans="1:14" x14ac:dyDescent="0.3">
      <c r="A20" s="1" t="s">
        <v>570</v>
      </c>
      <c r="B20" s="1" t="s">
        <v>571</v>
      </c>
      <c r="C20" s="1" t="s">
        <v>210</v>
      </c>
      <c r="D20" s="1" t="s">
        <v>45</v>
      </c>
      <c r="E20" s="1" t="s">
        <v>805</v>
      </c>
      <c r="F20" s="1" t="s">
        <v>157</v>
      </c>
      <c r="G20" s="1" t="s">
        <v>55</v>
      </c>
      <c r="H20" s="1" t="str">
        <f>VLOOKUP(G20,dataNodes!$B$2:$C$19,2,FALSE)</f>
        <v>Quantity</v>
      </c>
      <c r="I20" s="1" t="str">
        <f t="shared" si="1"/>
        <v>d13</v>
      </c>
    </row>
    <row r="21" spans="1:14" x14ac:dyDescent="0.3">
      <c r="A21" s="1" t="s">
        <v>570</v>
      </c>
      <c r="B21" s="1" t="s">
        <v>571</v>
      </c>
      <c r="C21" s="1" t="s">
        <v>210</v>
      </c>
      <c r="D21" s="1" t="s">
        <v>45</v>
      </c>
      <c r="E21" s="1" t="s">
        <v>805</v>
      </c>
      <c r="F21" s="1" t="s">
        <v>951</v>
      </c>
      <c r="G21" s="1" t="s">
        <v>134</v>
      </c>
      <c r="H21" s="1" t="str">
        <f>VLOOKUP(G21,dataNodes!$B$2:$C$19,2,FALSE)</f>
        <v>Quality</v>
      </c>
      <c r="I21" s="1" t="str">
        <f t="shared" si="1"/>
        <v>d03</v>
      </c>
    </row>
    <row r="22" spans="1:14" x14ac:dyDescent="0.3">
      <c r="A22" s="1" t="s">
        <v>572</v>
      </c>
      <c r="B22" s="1" t="s">
        <v>573</v>
      </c>
      <c r="C22" s="1" t="s">
        <v>38</v>
      </c>
      <c r="D22" s="1" t="s">
        <v>45</v>
      </c>
      <c r="E22" s="1" t="s">
        <v>806</v>
      </c>
      <c r="F22" s="1" t="s">
        <v>952</v>
      </c>
      <c r="G22" s="1" t="s">
        <v>126</v>
      </c>
      <c r="H22" s="1" t="str">
        <f>VLOOKUP(G22,dataNodes!$B$2:$C$19,2,FALSE)</f>
        <v>Quality</v>
      </c>
      <c r="I22" s="1" t="str">
        <f t="shared" si="1"/>
        <v>d04</v>
      </c>
    </row>
    <row r="23" spans="1:14" x14ac:dyDescent="0.3">
      <c r="A23" s="1" t="s">
        <v>574</v>
      </c>
      <c r="B23" s="1" t="s">
        <v>575</v>
      </c>
      <c r="C23" s="1" t="s">
        <v>38</v>
      </c>
      <c r="D23" s="1" t="s">
        <v>45</v>
      </c>
      <c r="E23" s="1" t="s">
        <v>807</v>
      </c>
      <c r="F23" s="1" t="s">
        <v>953</v>
      </c>
      <c r="G23" s="1" t="s">
        <v>134</v>
      </c>
      <c r="H23" s="1" t="str">
        <f>VLOOKUP(G23,dataNodes!$B$2:$C$19,2,FALSE)</f>
        <v>Quality</v>
      </c>
      <c r="I23" s="1" t="str">
        <f t="shared" si="1"/>
        <v>d03</v>
      </c>
    </row>
    <row r="24" spans="1:14" x14ac:dyDescent="0.3">
      <c r="A24" s="1" t="s">
        <v>574</v>
      </c>
      <c r="B24" s="1" t="s">
        <v>575</v>
      </c>
      <c r="C24" s="1" t="s">
        <v>38</v>
      </c>
      <c r="D24" s="1" t="s">
        <v>45</v>
      </c>
      <c r="E24" s="1" t="s">
        <v>807</v>
      </c>
      <c r="F24" s="1" t="s">
        <v>954</v>
      </c>
      <c r="G24" s="1" t="s">
        <v>144</v>
      </c>
      <c r="H24" s="1" t="str">
        <f>VLOOKUP(G24,dataNodes!$B$2:$C$19,2,FALSE)</f>
        <v>Use</v>
      </c>
      <c r="I24" s="1" t="str">
        <f t="shared" si="1"/>
        <v>d18</v>
      </c>
    </row>
    <row r="25" spans="1:14" x14ac:dyDescent="0.3">
      <c r="A25" s="1" t="s">
        <v>576</v>
      </c>
      <c r="B25" s="1" t="s">
        <v>577</v>
      </c>
      <c r="C25" s="1" t="s">
        <v>40</v>
      </c>
      <c r="D25" s="1" t="s">
        <v>45</v>
      </c>
      <c r="E25" s="1" t="s">
        <v>808</v>
      </c>
      <c r="F25" s="1" t="s">
        <v>955</v>
      </c>
      <c r="G25" s="1" t="s">
        <v>99</v>
      </c>
      <c r="H25" s="1" t="str">
        <f>VLOOKUP(G25,dataNodes!$B$2:$C$19,2,FALSE)</f>
        <v>Use</v>
      </c>
      <c r="I25" s="1" t="str">
        <f t="shared" si="1"/>
        <v>d17</v>
      </c>
      <c r="J25" s="1" t="s">
        <v>1082</v>
      </c>
    </row>
    <row r="26" spans="1:14" x14ac:dyDescent="0.3">
      <c r="A26" s="1" t="s">
        <v>576</v>
      </c>
      <c r="B26" s="1" t="s">
        <v>577</v>
      </c>
      <c r="C26" s="1" t="s">
        <v>40</v>
      </c>
      <c r="D26" s="1" t="s">
        <v>45</v>
      </c>
      <c r="E26" s="1" t="s">
        <v>956</v>
      </c>
      <c r="F26" s="1" t="s">
        <v>957</v>
      </c>
      <c r="G26" s="1" t="s">
        <v>137</v>
      </c>
      <c r="H26" s="1" t="str">
        <f>VLOOKUP(G26,dataNodes!$B$2:$C$19,2,FALSE)</f>
        <v>Quantity</v>
      </c>
      <c r="I26" s="1" t="str">
        <f t="shared" si="1"/>
        <v>d06</v>
      </c>
    </row>
    <row r="27" spans="1:14" x14ac:dyDescent="0.3">
      <c r="A27" s="1" t="s">
        <v>578</v>
      </c>
      <c r="B27" s="1" t="s">
        <v>579</v>
      </c>
      <c r="C27" s="1" t="s">
        <v>35</v>
      </c>
      <c r="D27" s="1" t="s">
        <v>45</v>
      </c>
      <c r="E27" s="1" t="s">
        <v>809</v>
      </c>
      <c r="F27" s="1" t="s">
        <v>958</v>
      </c>
      <c r="G27" s="1" t="s">
        <v>132</v>
      </c>
      <c r="H27" s="1" t="str">
        <f>VLOOKUP(G27,dataNodes!$B$2:$C$19,2,FALSE)</f>
        <v>Infrastructure</v>
      </c>
      <c r="I27" s="1" t="str">
        <f t="shared" si="1"/>
        <v>d01</v>
      </c>
      <c r="J27" s="1" t="s">
        <v>1082</v>
      </c>
    </row>
    <row r="28" spans="1:14" x14ac:dyDescent="0.3">
      <c r="A28" s="1" t="s">
        <v>578</v>
      </c>
      <c r="B28" s="1" t="s">
        <v>579</v>
      </c>
      <c r="C28" s="1" t="s">
        <v>35</v>
      </c>
      <c r="D28" s="1" t="s">
        <v>45</v>
      </c>
      <c r="E28" s="1" t="s">
        <v>809</v>
      </c>
      <c r="F28" s="1" t="s">
        <v>959</v>
      </c>
      <c r="G28" s="1" t="s">
        <v>133</v>
      </c>
      <c r="H28" s="1" t="str">
        <f>VLOOKUP(G28,dataNodes!$B$2:$C$19,2,FALSE)</f>
        <v>Infrastructure</v>
      </c>
      <c r="I28" s="1" t="str">
        <f t="shared" si="1"/>
        <v>d02</v>
      </c>
    </row>
    <row r="29" spans="1:14" x14ac:dyDescent="0.3">
      <c r="A29" s="1" t="s">
        <v>580</v>
      </c>
      <c r="B29" s="1" t="s">
        <v>581</v>
      </c>
      <c r="C29" s="1" t="s">
        <v>40</v>
      </c>
      <c r="D29" s="1" t="s">
        <v>45</v>
      </c>
      <c r="E29" s="1" t="s">
        <v>810</v>
      </c>
      <c r="F29" s="1" t="s">
        <v>960</v>
      </c>
      <c r="G29" s="1" t="s">
        <v>126</v>
      </c>
      <c r="H29" s="1" t="str">
        <f>VLOOKUP(G29,dataNodes!$B$2:$C$19,2,FALSE)</f>
        <v>Quality</v>
      </c>
      <c r="I29" s="1" t="str">
        <f t="shared" si="1"/>
        <v>d04</v>
      </c>
    </row>
    <row r="30" spans="1:14" x14ac:dyDescent="0.3">
      <c r="A30" s="1" t="s">
        <v>582</v>
      </c>
      <c r="B30" s="1" t="s">
        <v>583</v>
      </c>
      <c r="C30" s="1" t="s">
        <v>210</v>
      </c>
      <c r="D30" s="1" t="s">
        <v>45</v>
      </c>
      <c r="E30" s="1" t="s">
        <v>811</v>
      </c>
      <c r="F30" s="1" t="s">
        <v>160</v>
      </c>
      <c r="G30" s="1" t="s">
        <v>134</v>
      </c>
      <c r="H30" s="1" t="str">
        <f>VLOOKUP(G30,dataNodes!$B$2:$C$19,2,FALSE)</f>
        <v>Quality</v>
      </c>
      <c r="I30" s="1" t="str">
        <f t="shared" si="1"/>
        <v>d03</v>
      </c>
    </row>
    <row r="31" spans="1:14" x14ac:dyDescent="0.3">
      <c r="A31" s="1" t="s">
        <v>584</v>
      </c>
      <c r="B31" s="1" t="s">
        <v>585</v>
      </c>
      <c r="C31" s="1" t="s">
        <v>586</v>
      </c>
      <c r="D31" s="1" t="s">
        <v>45</v>
      </c>
      <c r="E31" s="1" t="s">
        <v>812</v>
      </c>
      <c r="F31" s="1" t="s">
        <v>961</v>
      </c>
      <c r="G31" s="1" t="s">
        <v>126</v>
      </c>
      <c r="H31" s="1" t="str">
        <f>VLOOKUP(G31,dataNodes!$B$2:$C$19,2,FALSE)</f>
        <v>Quality</v>
      </c>
      <c r="I31" s="1" t="str">
        <f t="shared" si="1"/>
        <v>d04</v>
      </c>
      <c r="J31" s="1" t="s">
        <v>1084</v>
      </c>
    </row>
    <row r="32" spans="1:14" x14ac:dyDescent="0.3">
      <c r="A32" s="1" t="s">
        <v>587</v>
      </c>
      <c r="B32" s="1" t="s">
        <v>588</v>
      </c>
      <c r="C32" s="1" t="s">
        <v>4</v>
      </c>
      <c r="D32" s="1" t="s">
        <v>45</v>
      </c>
      <c r="E32" s="1" t="s">
        <v>813</v>
      </c>
      <c r="F32" s="1" t="s">
        <v>962</v>
      </c>
      <c r="G32" s="1" t="s">
        <v>126</v>
      </c>
      <c r="H32" s="1" t="str">
        <f>VLOOKUP(G32,dataNodes!$B$2:$C$19,2,FALSE)</f>
        <v>Quality</v>
      </c>
      <c r="I32" s="1" t="str">
        <f t="shared" si="1"/>
        <v>d04</v>
      </c>
    </row>
    <row r="33" spans="1:10" x14ac:dyDescent="0.3">
      <c r="A33" s="1" t="s">
        <v>587</v>
      </c>
      <c r="B33" s="1" t="s">
        <v>588</v>
      </c>
      <c r="C33" s="1" t="s">
        <v>4</v>
      </c>
      <c r="D33" s="1" t="s">
        <v>45</v>
      </c>
      <c r="E33" s="1" t="s">
        <v>813</v>
      </c>
      <c r="F33" s="1" t="s">
        <v>963</v>
      </c>
      <c r="G33" s="1" t="s">
        <v>141</v>
      </c>
      <c r="H33" s="1" t="str">
        <f>VLOOKUP(G33,dataNodes!$B$2:$C$19,2,FALSE)</f>
        <v>Use</v>
      </c>
      <c r="I33" s="1" t="str">
        <f t="shared" si="1"/>
        <v>d16</v>
      </c>
      <c r="J33" s="1" t="s">
        <v>1085</v>
      </c>
    </row>
    <row r="34" spans="1:10" x14ac:dyDescent="0.3">
      <c r="A34" s="1" t="s">
        <v>589</v>
      </c>
      <c r="B34" s="1" t="s">
        <v>590</v>
      </c>
      <c r="C34" s="1" t="s">
        <v>212</v>
      </c>
      <c r="D34" s="1" t="s">
        <v>45</v>
      </c>
      <c r="E34" s="1" t="s">
        <v>814</v>
      </c>
      <c r="F34" s="1" t="s">
        <v>964</v>
      </c>
      <c r="G34" s="1" t="s">
        <v>132</v>
      </c>
      <c r="H34" s="1" t="str">
        <f>VLOOKUP(G34,dataNodes!$B$2:$C$19,2,FALSE)</f>
        <v>Infrastructure</v>
      </c>
      <c r="I34" s="1" t="str">
        <f t="shared" si="1"/>
        <v>d01</v>
      </c>
    </row>
    <row r="35" spans="1:10" x14ac:dyDescent="0.3">
      <c r="A35" s="1" t="s">
        <v>589</v>
      </c>
      <c r="B35" s="1" t="s">
        <v>590</v>
      </c>
      <c r="C35" s="1" t="s">
        <v>212</v>
      </c>
      <c r="D35" s="1" t="s">
        <v>45</v>
      </c>
      <c r="E35" s="1" t="s">
        <v>814</v>
      </c>
      <c r="F35" s="1" t="s">
        <v>965</v>
      </c>
      <c r="G35" s="1" t="s">
        <v>134</v>
      </c>
      <c r="H35" s="1" t="str">
        <f>VLOOKUP(G35,dataNodes!$B$2:$C$19,2,FALSE)</f>
        <v>Quality</v>
      </c>
      <c r="I35" s="1" t="str">
        <f t="shared" si="1"/>
        <v>d03</v>
      </c>
    </row>
    <row r="36" spans="1:10" x14ac:dyDescent="0.3">
      <c r="A36" s="1" t="s">
        <v>591</v>
      </c>
      <c r="B36" s="1" t="s">
        <v>592</v>
      </c>
      <c r="C36" s="1" t="s">
        <v>40</v>
      </c>
      <c r="D36" s="1" t="s">
        <v>45</v>
      </c>
      <c r="E36" s="1" t="s">
        <v>815</v>
      </c>
      <c r="F36" s="1" t="s">
        <v>966</v>
      </c>
      <c r="G36" s="1" t="s">
        <v>132</v>
      </c>
      <c r="H36" s="1" t="str">
        <f>VLOOKUP(G36,dataNodes!$B$2:$C$19,2,FALSE)</f>
        <v>Infrastructure</v>
      </c>
      <c r="I36" s="1" t="str">
        <f t="shared" si="1"/>
        <v>d01</v>
      </c>
    </row>
    <row r="37" spans="1:10" x14ac:dyDescent="0.3">
      <c r="A37" s="1" t="s">
        <v>591</v>
      </c>
      <c r="B37" s="1" t="s">
        <v>592</v>
      </c>
      <c r="C37" s="1" t="s">
        <v>40</v>
      </c>
      <c r="D37" s="1" t="s">
        <v>45</v>
      </c>
      <c r="E37" s="1" t="s">
        <v>815</v>
      </c>
      <c r="F37" s="1" t="s">
        <v>967</v>
      </c>
      <c r="G37" s="1" t="s">
        <v>141</v>
      </c>
      <c r="H37" s="1" t="str">
        <f>VLOOKUP(G37,dataNodes!$B$2:$C$19,2,FALSE)</f>
        <v>Use</v>
      </c>
      <c r="I37" s="1" t="str">
        <f t="shared" si="1"/>
        <v>d16</v>
      </c>
      <c r="J37" s="1" t="s">
        <v>1086</v>
      </c>
    </row>
    <row r="38" spans="1:10" x14ac:dyDescent="0.3">
      <c r="A38" s="1" t="s">
        <v>593</v>
      </c>
      <c r="B38" s="1" t="s">
        <v>242</v>
      </c>
      <c r="C38" s="1" t="s">
        <v>221</v>
      </c>
      <c r="D38" s="1" t="s">
        <v>221</v>
      </c>
      <c r="E38" s="1" t="s">
        <v>816</v>
      </c>
      <c r="F38" s="1" t="s">
        <v>54</v>
      </c>
      <c r="G38" s="1" t="s">
        <v>56</v>
      </c>
      <c r="H38" s="1" t="str">
        <f>VLOOKUP(G38,dataNodes!$B$2:$C$19,2,FALSE)</f>
        <v>Quantity</v>
      </c>
      <c r="I38" s="1" t="str">
        <f t="shared" si="1"/>
        <v>d11</v>
      </c>
    </row>
    <row r="39" spans="1:10" x14ac:dyDescent="0.3">
      <c r="A39" s="1" t="s">
        <v>593</v>
      </c>
      <c r="B39" s="1" t="s">
        <v>242</v>
      </c>
      <c r="C39" s="1" t="s">
        <v>221</v>
      </c>
      <c r="D39" s="1" t="s">
        <v>221</v>
      </c>
      <c r="E39" s="1" t="s">
        <v>816</v>
      </c>
      <c r="F39" s="1" t="s">
        <v>968</v>
      </c>
      <c r="G39" s="1" t="s">
        <v>132</v>
      </c>
      <c r="H39" s="1" t="str">
        <f>VLOOKUP(G39,dataNodes!$B$2:$C$19,2,FALSE)</f>
        <v>Infrastructure</v>
      </c>
      <c r="I39" s="1" t="str">
        <f t="shared" si="1"/>
        <v>d01</v>
      </c>
    </row>
    <row r="40" spans="1:10" x14ac:dyDescent="0.3">
      <c r="A40" s="1" t="s">
        <v>593</v>
      </c>
      <c r="B40" s="1" t="s">
        <v>242</v>
      </c>
      <c r="C40" s="1" t="s">
        <v>221</v>
      </c>
      <c r="D40" s="1" t="s">
        <v>221</v>
      </c>
      <c r="E40" s="1" t="s">
        <v>816</v>
      </c>
      <c r="F40" s="1" t="s">
        <v>969</v>
      </c>
      <c r="G40" s="1" t="s">
        <v>124</v>
      </c>
      <c r="H40" s="1" t="str">
        <f>VLOOKUP(G40,dataNodes!$B$2:$C$19,2,FALSE)</f>
        <v>Quantity</v>
      </c>
      <c r="I40" s="1" t="str">
        <f t="shared" si="1"/>
        <v>d10</v>
      </c>
    </row>
    <row r="41" spans="1:10" x14ac:dyDescent="0.3">
      <c r="A41" s="1" t="s">
        <v>593</v>
      </c>
      <c r="B41" s="1" t="s">
        <v>242</v>
      </c>
      <c r="C41" s="1" t="s">
        <v>221</v>
      </c>
      <c r="D41" s="1" t="s">
        <v>221</v>
      </c>
      <c r="E41" s="1" t="s">
        <v>816</v>
      </c>
      <c r="F41" s="1" t="s">
        <v>970</v>
      </c>
      <c r="G41" s="1" t="s">
        <v>113</v>
      </c>
      <c r="H41" s="1" t="str">
        <f>VLOOKUP(G41,dataNodes!$B$2:$C$19,2,FALSE)</f>
        <v>Quantity</v>
      </c>
      <c r="I41" s="1" t="str">
        <f t="shared" si="1"/>
        <v>d05</v>
      </c>
    </row>
    <row r="42" spans="1:10" x14ac:dyDescent="0.3">
      <c r="A42" s="1" t="s">
        <v>593</v>
      </c>
      <c r="B42" s="1" t="s">
        <v>242</v>
      </c>
      <c r="C42" s="1" t="s">
        <v>221</v>
      </c>
      <c r="D42" s="1" t="s">
        <v>221</v>
      </c>
      <c r="E42" s="1" t="s">
        <v>816</v>
      </c>
      <c r="F42" s="1" t="s">
        <v>971</v>
      </c>
      <c r="G42" s="1" t="s">
        <v>137</v>
      </c>
      <c r="H42" s="1" t="str">
        <f>VLOOKUP(G42,dataNodes!$B$2:$C$19,2,FALSE)</f>
        <v>Quantity</v>
      </c>
      <c r="I42" s="1" t="str">
        <f t="shared" si="1"/>
        <v>d06</v>
      </c>
    </row>
    <row r="43" spans="1:10" x14ac:dyDescent="0.3">
      <c r="A43" s="1" t="s">
        <v>593</v>
      </c>
      <c r="B43" s="1" t="s">
        <v>242</v>
      </c>
      <c r="C43" s="1" t="s">
        <v>221</v>
      </c>
      <c r="D43" s="1" t="s">
        <v>221</v>
      </c>
      <c r="E43" s="1" t="s">
        <v>816</v>
      </c>
      <c r="F43" s="1" t="s">
        <v>972</v>
      </c>
      <c r="G43" s="1" t="s">
        <v>3</v>
      </c>
      <c r="H43" s="1" t="str">
        <f>VLOOKUP(G43,dataNodes!$B$2:$C$19,2,FALSE)</f>
        <v>Quantity</v>
      </c>
      <c r="I43" s="1" t="str">
        <f t="shared" si="1"/>
        <v>d08</v>
      </c>
    </row>
    <row r="44" spans="1:10" x14ac:dyDescent="0.3">
      <c r="A44" s="1" t="s">
        <v>593</v>
      </c>
      <c r="B44" s="1" t="s">
        <v>242</v>
      </c>
      <c r="C44" s="1" t="s">
        <v>221</v>
      </c>
      <c r="D44" s="1" t="s">
        <v>221</v>
      </c>
      <c r="E44" s="1" t="s">
        <v>816</v>
      </c>
      <c r="F44" s="1" t="s">
        <v>973</v>
      </c>
      <c r="G44" s="1" t="s">
        <v>134</v>
      </c>
      <c r="H44" s="1" t="str">
        <f>VLOOKUP(G44,dataNodes!$B$2:$C$19,2,FALSE)</f>
        <v>Quality</v>
      </c>
      <c r="I44" s="1" t="str">
        <f t="shared" si="1"/>
        <v>d03</v>
      </c>
    </row>
    <row r="45" spans="1:10" x14ac:dyDescent="0.3">
      <c r="A45" s="1" t="s">
        <v>594</v>
      </c>
      <c r="B45" s="1" t="s">
        <v>595</v>
      </c>
      <c r="C45" s="1" t="s">
        <v>245</v>
      </c>
      <c r="D45" s="1" t="s">
        <v>221</v>
      </c>
      <c r="E45" s="1" t="s">
        <v>817</v>
      </c>
      <c r="F45" s="1" t="s">
        <v>974</v>
      </c>
      <c r="G45" s="1" t="s">
        <v>3</v>
      </c>
      <c r="H45" s="1" t="str">
        <f>VLOOKUP(G45,dataNodes!$B$2:$C$19,2,FALSE)</f>
        <v>Quantity</v>
      </c>
      <c r="I45" s="1" t="str">
        <f t="shared" si="1"/>
        <v>d08</v>
      </c>
    </row>
    <row r="46" spans="1:10" x14ac:dyDescent="0.3">
      <c r="A46" s="1" t="s">
        <v>594</v>
      </c>
      <c r="B46" s="1" t="s">
        <v>595</v>
      </c>
      <c r="C46" s="1" t="s">
        <v>245</v>
      </c>
      <c r="D46" s="1" t="s">
        <v>221</v>
      </c>
      <c r="E46" s="1" t="s">
        <v>817</v>
      </c>
      <c r="F46" s="1" t="s">
        <v>975</v>
      </c>
      <c r="G46" s="1" t="s">
        <v>144</v>
      </c>
      <c r="H46" s="1" t="str">
        <f>VLOOKUP(G46,dataNodes!$B$2:$C$19,2,FALSE)</f>
        <v>Use</v>
      </c>
      <c r="I46" s="1" t="str">
        <f t="shared" si="1"/>
        <v>d18</v>
      </c>
    </row>
    <row r="47" spans="1:10" x14ac:dyDescent="0.3">
      <c r="A47" s="1" t="s">
        <v>596</v>
      </c>
      <c r="B47" s="1" t="s">
        <v>597</v>
      </c>
      <c r="C47" s="1" t="s">
        <v>221</v>
      </c>
      <c r="D47" s="1" t="s">
        <v>221</v>
      </c>
      <c r="E47" s="1" t="s">
        <v>818</v>
      </c>
      <c r="F47" s="1" t="s">
        <v>976</v>
      </c>
      <c r="G47" s="1" t="s">
        <v>133</v>
      </c>
      <c r="H47" s="1" t="str">
        <f>VLOOKUP(G47,dataNodes!$B$2:$C$19,2,FALSE)</f>
        <v>Infrastructure</v>
      </c>
      <c r="I47" s="1" t="str">
        <f t="shared" si="1"/>
        <v>d02</v>
      </c>
    </row>
    <row r="48" spans="1:10" x14ac:dyDescent="0.3">
      <c r="A48" s="1" t="s">
        <v>596</v>
      </c>
      <c r="B48" s="1" t="s">
        <v>597</v>
      </c>
      <c r="C48" s="1" t="s">
        <v>221</v>
      </c>
      <c r="D48" s="1" t="s">
        <v>221</v>
      </c>
      <c r="E48" s="1" t="s">
        <v>818</v>
      </c>
      <c r="F48" s="1" t="s">
        <v>977</v>
      </c>
      <c r="G48" s="1" t="s">
        <v>132</v>
      </c>
      <c r="H48" s="1" t="str">
        <f>VLOOKUP(G48,dataNodes!$B$2:$C$19,2,FALSE)</f>
        <v>Infrastructure</v>
      </c>
      <c r="I48" s="1" t="str">
        <f t="shared" si="1"/>
        <v>d01</v>
      </c>
    </row>
    <row r="49" spans="1:10" x14ac:dyDescent="0.3">
      <c r="A49" s="1" t="s">
        <v>598</v>
      </c>
      <c r="B49" s="1" t="s">
        <v>599</v>
      </c>
      <c r="C49" s="1" t="s">
        <v>240</v>
      </c>
      <c r="D49" s="1" t="s">
        <v>221</v>
      </c>
      <c r="E49" s="1" t="s">
        <v>438</v>
      </c>
      <c r="F49" s="1" t="s">
        <v>124</v>
      </c>
      <c r="G49" s="1" t="s">
        <v>124</v>
      </c>
      <c r="H49" s="1" t="str">
        <f>VLOOKUP(G49,dataNodes!$B$2:$C$19,2,FALSE)</f>
        <v>Quantity</v>
      </c>
      <c r="I49" s="1" t="str">
        <f t="shared" si="1"/>
        <v>d10</v>
      </c>
    </row>
    <row r="50" spans="1:10" x14ac:dyDescent="0.3">
      <c r="A50" s="1" t="s">
        <v>598</v>
      </c>
      <c r="B50" s="1" t="s">
        <v>599</v>
      </c>
      <c r="C50" s="1" t="s">
        <v>240</v>
      </c>
      <c r="D50" s="1" t="s">
        <v>221</v>
      </c>
      <c r="E50" s="1" t="s">
        <v>438</v>
      </c>
      <c r="F50" s="1" t="s">
        <v>978</v>
      </c>
      <c r="G50" s="1" t="s">
        <v>122</v>
      </c>
      <c r="H50" s="1" t="str">
        <f>VLOOKUP(G50,dataNodes!$B$2:$C$19,2,FALSE)</f>
        <v>Quantity</v>
      </c>
      <c r="I50" s="1" t="str">
        <f t="shared" si="1"/>
        <v>d09</v>
      </c>
    </row>
    <row r="51" spans="1:10" x14ac:dyDescent="0.3">
      <c r="A51" s="1" t="s">
        <v>598</v>
      </c>
      <c r="B51" s="1" t="s">
        <v>599</v>
      </c>
      <c r="C51" s="1" t="s">
        <v>240</v>
      </c>
      <c r="D51" s="1" t="s">
        <v>221</v>
      </c>
      <c r="E51" s="1" t="s">
        <v>438</v>
      </c>
      <c r="F51" s="1" t="s">
        <v>979</v>
      </c>
      <c r="G51" s="1" t="s">
        <v>129</v>
      </c>
      <c r="H51" s="1" t="str">
        <f>VLOOKUP(G51,dataNodes!$B$2:$C$19,2,FALSE)</f>
        <v>Quantity</v>
      </c>
      <c r="I51" s="1" t="str">
        <f t="shared" si="1"/>
        <v>d12</v>
      </c>
    </row>
    <row r="52" spans="1:10" x14ac:dyDescent="0.3">
      <c r="A52" s="1" t="s">
        <v>598</v>
      </c>
      <c r="B52" s="1" t="s">
        <v>599</v>
      </c>
      <c r="C52" s="1" t="s">
        <v>240</v>
      </c>
      <c r="D52" s="1" t="s">
        <v>221</v>
      </c>
      <c r="E52" s="1" t="s">
        <v>438</v>
      </c>
      <c r="F52" s="1" t="s">
        <v>980</v>
      </c>
      <c r="G52" s="1" t="s">
        <v>55</v>
      </c>
      <c r="H52" s="1" t="str">
        <f>VLOOKUP(G52,dataNodes!$B$2:$C$19,2,FALSE)</f>
        <v>Quantity</v>
      </c>
      <c r="I52" s="1" t="str">
        <f t="shared" si="1"/>
        <v>d13</v>
      </c>
    </row>
    <row r="53" spans="1:10" x14ac:dyDescent="0.3">
      <c r="A53" s="1" t="s">
        <v>600</v>
      </c>
      <c r="B53" s="1" t="s">
        <v>601</v>
      </c>
      <c r="C53" s="1" t="s">
        <v>245</v>
      </c>
      <c r="D53" s="1" t="s">
        <v>221</v>
      </c>
      <c r="E53" s="1" t="s">
        <v>819</v>
      </c>
      <c r="F53" s="1" t="s">
        <v>981</v>
      </c>
      <c r="G53" s="1" t="s">
        <v>3</v>
      </c>
      <c r="H53" s="1" t="str">
        <f>VLOOKUP(G53,dataNodes!$B$2:$C$19,2,FALSE)</f>
        <v>Quantity</v>
      </c>
      <c r="I53" s="1" t="str">
        <f t="shared" si="1"/>
        <v>d08</v>
      </c>
    </row>
    <row r="54" spans="1:10" x14ac:dyDescent="0.3">
      <c r="A54" s="1" t="s">
        <v>600</v>
      </c>
      <c r="B54" s="1" t="s">
        <v>601</v>
      </c>
      <c r="C54" s="1" t="s">
        <v>245</v>
      </c>
      <c r="D54" s="1" t="s">
        <v>221</v>
      </c>
      <c r="E54" s="1" t="s">
        <v>819</v>
      </c>
      <c r="F54" s="1" t="s">
        <v>982</v>
      </c>
      <c r="G54" s="1" t="s">
        <v>132</v>
      </c>
      <c r="H54" s="1" t="str">
        <f>VLOOKUP(G54,dataNodes!$B$2:$C$19,2,FALSE)</f>
        <v>Infrastructure</v>
      </c>
      <c r="I54" s="1" t="str">
        <f t="shared" si="1"/>
        <v>d01</v>
      </c>
    </row>
    <row r="55" spans="1:10" x14ac:dyDescent="0.3">
      <c r="A55" s="1" t="s">
        <v>600</v>
      </c>
      <c r="B55" s="1" t="s">
        <v>601</v>
      </c>
      <c r="C55" s="1" t="s">
        <v>245</v>
      </c>
      <c r="D55" s="1" t="s">
        <v>221</v>
      </c>
      <c r="E55" s="1" t="s">
        <v>819</v>
      </c>
      <c r="F55" s="1" t="s">
        <v>983</v>
      </c>
      <c r="G55" s="1" t="s">
        <v>134</v>
      </c>
      <c r="H55" s="1" t="str">
        <f>VLOOKUP(G55,dataNodes!$B$2:$C$19,2,FALSE)</f>
        <v>Quality</v>
      </c>
      <c r="I55" s="1" t="str">
        <f t="shared" si="1"/>
        <v>d03</v>
      </c>
    </row>
    <row r="56" spans="1:10" x14ac:dyDescent="0.3">
      <c r="A56" s="1" t="s">
        <v>602</v>
      </c>
      <c r="B56" s="1" t="s">
        <v>603</v>
      </c>
      <c r="C56" s="1" t="s">
        <v>604</v>
      </c>
      <c r="D56" s="1" t="s">
        <v>221</v>
      </c>
      <c r="E56" s="1" t="s">
        <v>820</v>
      </c>
      <c r="F56" s="1" t="s">
        <v>984</v>
      </c>
      <c r="G56" s="1" t="s">
        <v>141</v>
      </c>
      <c r="H56" s="1" t="str">
        <f>VLOOKUP(G56,dataNodes!$B$2:$C$19,2,FALSE)</f>
        <v>Use</v>
      </c>
      <c r="I56" s="1" t="str">
        <f t="shared" si="1"/>
        <v>d16</v>
      </c>
    </row>
    <row r="57" spans="1:10" x14ac:dyDescent="0.3">
      <c r="A57" s="1" t="s">
        <v>605</v>
      </c>
      <c r="B57" s="1" t="s">
        <v>606</v>
      </c>
      <c r="C57" s="1" t="s">
        <v>247</v>
      </c>
      <c r="D57" s="1" t="s">
        <v>221</v>
      </c>
      <c r="E57" s="1" t="s">
        <v>821</v>
      </c>
      <c r="F57" s="1" t="s">
        <v>54</v>
      </c>
      <c r="G57" s="1" t="s">
        <v>56</v>
      </c>
      <c r="H57" s="1" t="str">
        <f>VLOOKUP(G57,dataNodes!$B$2:$C$19,2,FALSE)</f>
        <v>Quantity</v>
      </c>
      <c r="I57" s="1" t="str">
        <f t="shared" si="1"/>
        <v>d11</v>
      </c>
    </row>
    <row r="58" spans="1:10" x14ac:dyDescent="0.3">
      <c r="A58" s="1" t="s">
        <v>605</v>
      </c>
      <c r="B58" s="1" t="s">
        <v>606</v>
      </c>
      <c r="C58" s="1" t="s">
        <v>247</v>
      </c>
      <c r="D58" s="1" t="s">
        <v>221</v>
      </c>
      <c r="E58" s="1" t="s">
        <v>821</v>
      </c>
      <c r="F58" s="1" t="s">
        <v>985</v>
      </c>
      <c r="G58" s="1" t="s">
        <v>55</v>
      </c>
      <c r="H58" s="1" t="str">
        <f>VLOOKUP(G58,dataNodes!$B$2:$C$19,2,FALSE)</f>
        <v>Quantity</v>
      </c>
      <c r="I58" s="1" t="str">
        <f t="shared" si="1"/>
        <v>d13</v>
      </c>
    </row>
    <row r="59" spans="1:10" x14ac:dyDescent="0.3">
      <c r="A59" s="1" t="s">
        <v>605</v>
      </c>
      <c r="B59" s="1" t="s">
        <v>606</v>
      </c>
      <c r="C59" s="1" t="s">
        <v>247</v>
      </c>
      <c r="D59" s="1" t="s">
        <v>221</v>
      </c>
      <c r="E59" s="1" t="s">
        <v>821</v>
      </c>
      <c r="F59" s="1" t="s">
        <v>986</v>
      </c>
      <c r="G59" s="1" t="s">
        <v>132</v>
      </c>
      <c r="H59" s="1" t="str">
        <f>VLOOKUP(G59,dataNodes!$B$2:$C$19,2,FALSE)</f>
        <v>Infrastructure</v>
      </c>
      <c r="I59" s="1" t="str">
        <f t="shared" si="1"/>
        <v>d01</v>
      </c>
    </row>
    <row r="60" spans="1:10" x14ac:dyDescent="0.3">
      <c r="A60" s="1" t="s">
        <v>605</v>
      </c>
      <c r="B60" s="1" t="s">
        <v>606</v>
      </c>
      <c r="C60" s="1" t="s">
        <v>247</v>
      </c>
      <c r="D60" s="1" t="s">
        <v>221</v>
      </c>
      <c r="E60" s="1" t="s">
        <v>821</v>
      </c>
      <c r="F60" s="1" t="s">
        <v>987</v>
      </c>
      <c r="G60" s="1" t="s">
        <v>137</v>
      </c>
      <c r="H60" s="1" t="str">
        <f>VLOOKUP(G60,dataNodes!$B$2:$C$19,2,FALSE)</f>
        <v>Quantity</v>
      </c>
      <c r="I60" s="1" t="str">
        <f t="shared" si="1"/>
        <v>d06</v>
      </c>
    </row>
    <row r="61" spans="1:10" x14ac:dyDescent="0.3">
      <c r="A61" s="1" t="s">
        <v>605</v>
      </c>
      <c r="B61" s="1" t="s">
        <v>606</v>
      </c>
      <c r="C61" s="1" t="s">
        <v>247</v>
      </c>
      <c r="D61" s="1" t="s">
        <v>221</v>
      </c>
      <c r="E61" s="1" t="s">
        <v>821</v>
      </c>
      <c r="F61" s="1" t="s">
        <v>988</v>
      </c>
      <c r="G61" s="1" t="s">
        <v>122</v>
      </c>
      <c r="H61" s="1" t="str">
        <f>VLOOKUP(G61,dataNodes!$B$2:$C$19,2,FALSE)</f>
        <v>Quantity</v>
      </c>
      <c r="I61" s="1" t="str">
        <f t="shared" si="1"/>
        <v>d09</v>
      </c>
    </row>
    <row r="62" spans="1:10" x14ac:dyDescent="0.3">
      <c r="A62" s="1" t="s">
        <v>605</v>
      </c>
      <c r="B62" s="1" t="s">
        <v>606</v>
      </c>
      <c r="C62" s="1" t="s">
        <v>247</v>
      </c>
      <c r="D62" s="1" t="s">
        <v>221</v>
      </c>
      <c r="E62" s="1" t="s">
        <v>821</v>
      </c>
      <c r="F62" s="1" t="s">
        <v>124</v>
      </c>
      <c r="G62" s="1" t="s">
        <v>124</v>
      </c>
      <c r="H62" s="1" t="str">
        <f>VLOOKUP(G62,dataNodes!$B$2:$C$19,2,FALSE)</f>
        <v>Quantity</v>
      </c>
      <c r="I62" s="1" t="str">
        <f t="shared" si="1"/>
        <v>d10</v>
      </c>
    </row>
    <row r="63" spans="1:10" x14ac:dyDescent="0.3">
      <c r="A63" s="1" t="s">
        <v>607</v>
      </c>
      <c r="B63" s="1" t="s">
        <v>608</v>
      </c>
      <c r="C63" s="1" t="s">
        <v>227</v>
      </c>
      <c r="D63" s="1" t="s">
        <v>221</v>
      </c>
      <c r="E63" s="1" t="s">
        <v>822</v>
      </c>
      <c r="F63" s="1" t="s">
        <v>984</v>
      </c>
      <c r="G63" s="1" t="s">
        <v>144</v>
      </c>
      <c r="H63" s="1" t="str">
        <f>VLOOKUP(G63,dataNodes!$B$2:$C$19,2,FALSE)</f>
        <v>Use</v>
      </c>
      <c r="I63" s="1" t="str">
        <f t="shared" si="1"/>
        <v>d18</v>
      </c>
    </row>
    <row r="64" spans="1:10" x14ac:dyDescent="0.3">
      <c r="A64" s="1" t="s">
        <v>607</v>
      </c>
      <c r="B64" s="1" t="s">
        <v>608</v>
      </c>
      <c r="C64" s="1" t="s">
        <v>227</v>
      </c>
      <c r="D64" s="1" t="s">
        <v>221</v>
      </c>
      <c r="E64" s="1" t="s">
        <v>822</v>
      </c>
      <c r="F64" s="1" t="s">
        <v>989</v>
      </c>
      <c r="G64" s="1" t="s">
        <v>141</v>
      </c>
      <c r="H64" s="1" t="str">
        <f>VLOOKUP(G64,dataNodes!$B$2:$C$19,2,FALSE)</f>
        <v>Use</v>
      </c>
      <c r="I64" s="1" t="str">
        <f t="shared" si="1"/>
        <v>d16</v>
      </c>
      <c r="J64" s="1" t="s">
        <v>1087</v>
      </c>
    </row>
    <row r="65" spans="1:9" x14ac:dyDescent="0.3">
      <c r="A65" s="1" t="s">
        <v>609</v>
      </c>
      <c r="B65" s="1" t="s">
        <v>610</v>
      </c>
      <c r="C65" s="1" t="s">
        <v>611</v>
      </c>
      <c r="D65" s="1" t="s">
        <v>221</v>
      </c>
      <c r="E65" s="1" t="s">
        <v>823</v>
      </c>
      <c r="F65" s="1" t="s">
        <v>990</v>
      </c>
      <c r="G65" s="1" t="s">
        <v>141</v>
      </c>
      <c r="H65" s="1" t="str">
        <f>VLOOKUP(G65,dataNodes!$B$2:$C$19,2,FALSE)</f>
        <v>Use</v>
      </c>
      <c r="I65" s="1" t="str">
        <f t="shared" si="1"/>
        <v>d16</v>
      </c>
    </row>
    <row r="66" spans="1:9" x14ac:dyDescent="0.3">
      <c r="A66" s="1" t="s">
        <v>609</v>
      </c>
      <c r="B66" s="1" t="s">
        <v>610</v>
      </c>
      <c r="C66" s="1" t="s">
        <v>611</v>
      </c>
      <c r="D66" s="1" t="s">
        <v>221</v>
      </c>
      <c r="E66" s="1" t="s">
        <v>823</v>
      </c>
      <c r="F66" s="1" t="s">
        <v>991</v>
      </c>
      <c r="G66" s="1" t="s">
        <v>99</v>
      </c>
      <c r="H66" s="1" t="str">
        <f>VLOOKUP(G66,dataNodes!$B$2:$C$19,2,FALSE)</f>
        <v>Use</v>
      </c>
      <c r="I66" s="1" t="str">
        <f t="shared" si="1"/>
        <v>d17</v>
      </c>
    </row>
    <row r="67" spans="1:9" x14ac:dyDescent="0.3">
      <c r="A67" s="1" t="s">
        <v>612</v>
      </c>
      <c r="B67" s="1" t="s">
        <v>613</v>
      </c>
      <c r="C67" s="1" t="s">
        <v>245</v>
      </c>
      <c r="D67" s="1" t="s">
        <v>221</v>
      </c>
      <c r="E67" s="1" t="s">
        <v>824</v>
      </c>
      <c r="F67" s="1" t="s">
        <v>992</v>
      </c>
      <c r="G67" s="1" t="s">
        <v>132</v>
      </c>
      <c r="H67" s="1" t="str">
        <f>VLOOKUP(G67,dataNodes!$B$2:$C$19,2,FALSE)</f>
        <v>Infrastructure</v>
      </c>
      <c r="I67" s="1" t="str">
        <f t="shared" si="1"/>
        <v>d01</v>
      </c>
    </row>
    <row r="68" spans="1:9" x14ac:dyDescent="0.3">
      <c r="A68" s="1" t="s">
        <v>614</v>
      </c>
      <c r="B68" s="1" t="s">
        <v>615</v>
      </c>
      <c r="C68" s="1" t="s">
        <v>616</v>
      </c>
      <c r="D68" s="1" t="s">
        <v>221</v>
      </c>
      <c r="E68" s="1" t="s">
        <v>825</v>
      </c>
      <c r="F68" s="1" t="s">
        <v>124</v>
      </c>
      <c r="G68" s="1" t="s">
        <v>124</v>
      </c>
      <c r="H68" s="1" t="str">
        <f>VLOOKUP(G68,dataNodes!$B$2:$C$19,2,FALSE)</f>
        <v>Quantity</v>
      </c>
      <c r="I68" s="1" t="str">
        <f t="shared" si="1"/>
        <v>d10</v>
      </c>
    </row>
    <row r="69" spans="1:9" x14ac:dyDescent="0.3">
      <c r="A69" s="1" t="s">
        <v>614</v>
      </c>
      <c r="B69" s="1" t="s">
        <v>615</v>
      </c>
      <c r="C69" s="1" t="s">
        <v>616</v>
      </c>
      <c r="D69" s="1" t="s">
        <v>221</v>
      </c>
      <c r="E69" s="1" t="s">
        <v>825</v>
      </c>
      <c r="F69" s="1" t="s">
        <v>54</v>
      </c>
      <c r="G69" s="1" t="s">
        <v>56</v>
      </c>
      <c r="H69" s="1" t="str">
        <f>VLOOKUP(G69,dataNodes!$B$2:$C$19,2,FALSE)</f>
        <v>Quantity</v>
      </c>
      <c r="I69" s="1" t="str">
        <f t="shared" si="1"/>
        <v>d11</v>
      </c>
    </row>
    <row r="70" spans="1:9" x14ac:dyDescent="0.3">
      <c r="A70" s="1" t="s">
        <v>614</v>
      </c>
      <c r="B70" s="1" t="s">
        <v>615</v>
      </c>
      <c r="C70" s="1" t="s">
        <v>616</v>
      </c>
      <c r="D70" s="1" t="s">
        <v>221</v>
      </c>
      <c r="E70" s="1" t="s">
        <v>825</v>
      </c>
      <c r="F70" s="1" t="s">
        <v>157</v>
      </c>
      <c r="G70" s="1" t="s">
        <v>55</v>
      </c>
      <c r="H70" s="1" t="str">
        <f>VLOOKUP(G70,dataNodes!$B$2:$C$19,2,FALSE)</f>
        <v>Quantity</v>
      </c>
      <c r="I70" s="1" t="str">
        <f t="shared" si="1"/>
        <v>d13</v>
      </c>
    </row>
    <row r="71" spans="1:9" x14ac:dyDescent="0.3">
      <c r="A71" s="1" t="s">
        <v>614</v>
      </c>
      <c r="B71" s="1" t="s">
        <v>615</v>
      </c>
      <c r="C71" s="1" t="s">
        <v>616</v>
      </c>
      <c r="D71" s="1" t="s">
        <v>221</v>
      </c>
      <c r="E71" s="1" t="s">
        <v>825</v>
      </c>
      <c r="F71" s="1" t="s">
        <v>993</v>
      </c>
      <c r="G71" s="1" t="s">
        <v>129</v>
      </c>
      <c r="H71" s="1" t="str">
        <f>VLOOKUP(G71,dataNodes!$B$2:$C$19,2,FALSE)</f>
        <v>Quantity</v>
      </c>
      <c r="I71" s="1" t="str">
        <f t="shared" si="1"/>
        <v>d12</v>
      </c>
    </row>
    <row r="72" spans="1:9" x14ac:dyDescent="0.3">
      <c r="A72" s="1" t="s">
        <v>614</v>
      </c>
      <c r="B72" s="1" t="s">
        <v>615</v>
      </c>
      <c r="C72" s="1" t="s">
        <v>616</v>
      </c>
      <c r="D72" s="1" t="s">
        <v>221</v>
      </c>
      <c r="E72" s="1" t="s">
        <v>825</v>
      </c>
      <c r="F72" s="1" t="s">
        <v>994</v>
      </c>
      <c r="G72" s="1" t="s">
        <v>3</v>
      </c>
      <c r="H72" s="1" t="str">
        <f>VLOOKUP(G72,dataNodes!$B$2:$C$19,2,FALSE)</f>
        <v>Quantity</v>
      </c>
      <c r="I72" s="1" t="str">
        <f t="shared" si="1"/>
        <v>d08</v>
      </c>
    </row>
    <row r="73" spans="1:9" x14ac:dyDescent="0.3">
      <c r="A73" s="1" t="s">
        <v>617</v>
      </c>
      <c r="B73" s="1" t="s">
        <v>618</v>
      </c>
      <c r="C73" s="1" t="s">
        <v>616</v>
      </c>
      <c r="D73" s="1" t="s">
        <v>221</v>
      </c>
      <c r="E73" s="1" t="s">
        <v>995</v>
      </c>
      <c r="F73" s="1" t="s">
        <v>124</v>
      </c>
      <c r="G73" s="1" t="s">
        <v>124</v>
      </c>
      <c r="H73" s="1" t="str">
        <f>VLOOKUP(G73,dataNodes!$B$2:$C$19,2,FALSE)</f>
        <v>Quantity</v>
      </c>
      <c r="I73" s="1" t="str">
        <f t="shared" si="1"/>
        <v>d10</v>
      </c>
    </row>
    <row r="74" spans="1:9" x14ac:dyDescent="0.3">
      <c r="A74" s="1" t="s">
        <v>617</v>
      </c>
      <c r="B74" s="1" t="s">
        <v>618</v>
      </c>
      <c r="C74" s="1" t="s">
        <v>616</v>
      </c>
      <c r="D74" s="1" t="s">
        <v>221</v>
      </c>
      <c r="E74" s="1" t="s">
        <v>995</v>
      </c>
      <c r="F74" s="1" t="s">
        <v>996</v>
      </c>
      <c r="G74" s="1" t="s">
        <v>56</v>
      </c>
      <c r="H74" s="1" t="str">
        <f>VLOOKUP(G74,dataNodes!$B$2:$C$19,2,FALSE)</f>
        <v>Quantity</v>
      </c>
      <c r="I74" s="1" t="str">
        <f t="shared" si="1"/>
        <v>d11</v>
      </c>
    </row>
    <row r="75" spans="1:9" x14ac:dyDescent="0.3">
      <c r="A75" s="1" t="s">
        <v>617</v>
      </c>
      <c r="B75" s="1" t="s">
        <v>618</v>
      </c>
      <c r="C75" s="1" t="s">
        <v>616</v>
      </c>
      <c r="D75" s="1" t="s">
        <v>221</v>
      </c>
      <c r="E75" s="1" t="s">
        <v>995</v>
      </c>
      <c r="F75" s="1" t="s">
        <v>996</v>
      </c>
      <c r="G75" s="1" t="s">
        <v>113</v>
      </c>
      <c r="H75" s="1" t="str">
        <f>VLOOKUP(G75,dataNodes!$B$2:$C$19,2,FALSE)</f>
        <v>Quantity</v>
      </c>
      <c r="I75" s="1" t="str">
        <f t="shared" si="1"/>
        <v>d05</v>
      </c>
    </row>
    <row r="76" spans="1:9" x14ac:dyDescent="0.3">
      <c r="A76" s="1" t="s">
        <v>619</v>
      </c>
      <c r="B76" s="1" t="s">
        <v>620</v>
      </c>
      <c r="C76" s="1" t="s">
        <v>616</v>
      </c>
      <c r="D76" s="1" t="s">
        <v>221</v>
      </c>
      <c r="E76" s="1" t="s">
        <v>827</v>
      </c>
      <c r="F76" s="1" t="s">
        <v>997</v>
      </c>
      <c r="G76" s="1" t="s">
        <v>56</v>
      </c>
      <c r="H76" s="1" t="str">
        <f>VLOOKUP(G76,dataNodes!$B$2:$C$19,2,FALSE)</f>
        <v>Quantity</v>
      </c>
      <c r="I76" s="1" t="str">
        <f t="shared" si="1"/>
        <v>d11</v>
      </c>
    </row>
    <row r="77" spans="1:9" x14ac:dyDescent="0.3">
      <c r="A77" s="1" t="s">
        <v>621</v>
      </c>
      <c r="B77" s="1" t="s">
        <v>622</v>
      </c>
      <c r="C77" s="1" t="s">
        <v>235</v>
      </c>
      <c r="D77" s="1" t="s">
        <v>221</v>
      </c>
      <c r="E77" s="1" t="s">
        <v>828</v>
      </c>
      <c r="F77" s="1" t="s">
        <v>998</v>
      </c>
      <c r="G77" s="1" t="s">
        <v>99</v>
      </c>
      <c r="H77" s="1" t="str">
        <f>VLOOKUP(G77,dataNodes!$B$2:$C$19,2,FALSE)</f>
        <v>Use</v>
      </c>
      <c r="I77" s="1" t="str">
        <f t="shared" si="1"/>
        <v>d17</v>
      </c>
    </row>
    <row r="78" spans="1:9" x14ac:dyDescent="0.3">
      <c r="A78" s="1" t="s">
        <v>623</v>
      </c>
      <c r="B78" s="1" t="s">
        <v>624</v>
      </c>
      <c r="C78" s="1" t="s">
        <v>237</v>
      </c>
      <c r="D78" s="1" t="s">
        <v>221</v>
      </c>
      <c r="E78" s="1" t="s">
        <v>829</v>
      </c>
      <c r="F78" s="1" t="s">
        <v>999</v>
      </c>
      <c r="G78" s="1" t="s">
        <v>133</v>
      </c>
      <c r="H78" s="1" t="str">
        <f>VLOOKUP(G78,dataNodes!$B$2:$C$19,2,FALSE)</f>
        <v>Infrastructure</v>
      </c>
      <c r="I78" s="1" t="str">
        <f t="shared" si="1"/>
        <v>d02</v>
      </c>
    </row>
    <row r="79" spans="1:9" x14ac:dyDescent="0.3">
      <c r="A79" s="1" t="s">
        <v>623</v>
      </c>
      <c r="B79" s="1" t="s">
        <v>624</v>
      </c>
      <c r="C79" s="1" t="s">
        <v>237</v>
      </c>
      <c r="D79" s="1" t="s">
        <v>221</v>
      </c>
      <c r="E79" s="1" t="s">
        <v>829</v>
      </c>
      <c r="F79" s="1" t="s">
        <v>999</v>
      </c>
      <c r="G79" s="1" t="s">
        <v>3</v>
      </c>
      <c r="H79" s="1" t="str">
        <f>VLOOKUP(G79,dataNodes!$B$2:$C$19,2,FALSE)</f>
        <v>Quantity</v>
      </c>
      <c r="I79" s="1" t="str">
        <f t="shared" si="1"/>
        <v>d08</v>
      </c>
    </row>
    <row r="80" spans="1:9" x14ac:dyDescent="0.3">
      <c r="A80" s="1" t="s">
        <v>623</v>
      </c>
      <c r="B80" s="1" t="s">
        <v>624</v>
      </c>
      <c r="C80" s="1" t="s">
        <v>237</v>
      </c>
      <c r="D80" s="1" t="s">
        <v>221</v>
      </c>
      <c r="E80" s="1" t="s">
        <v>829</v>
      </c>
      <c r="F80" s="1" t="s">
        <v>1000</v>
      </c>
      <c r="G80" s="1" t="s">
        <v>134</v>
      </c>
      <c r="H80" s="1" t="str">
        <f>VLOOKUP(G80,dataNodes!$B$2:$C$19,2,FALSE)</f>
        <v>Quality</v>
      </c>
      <c r="I80" s="1" t="str">
        <f t="shared" si="1"/>
        <v>d03</v>
      </c>
    </row>
    <row r="81" spans="1:10" x14ac:dyDescent="0.3">
      <c r="A81" s="1" t="s">
        <v>625</v>
      </c>
      <c r="B81" s="1" t="s">
        <v>626</v>
      </c>
      <c r="C81" s="1" t="s">
        <v>237</v>
      </c>
      <c r="D81" s="1" t="s">
        <v>221</v>
      </c>
      <c r="E81" s="1" t="s">
        <v>830</v>
      </c>
      <c r="F81" s="1" t="s">
        <v>1001</v>
      </c>
      <c r="G81" s="1" t="s">
        <v>144</v>
      </c>
      <c r="H81" s="1" t="str">
        <f>VLOOKUP(G81,dataNodes!$B$2:$C$19,2,FALSE)</f>
        <v>Use</v>
      </c>
      <c r="I81" s="1" t="str">
        <f t="shared" si="1"/>
        <v>d18</v>
      </c>
    </row>
    <row r="82" spans="1:10" x14ac:dyDescent="0.3">
      <c r="A82" s="1" t="s">
        <v>625</v>
      </c>
      <c r="B82" s="1" t="s">
        <v>626</v>
      </c>
      <c r="C82" s="1" t="s">
        <v>237</v>
      </c>
      <c r="D82" s="1" t="s">
        <v>221</v>
      </c>
      <c r="E82" s="1" t="s">
        <v>830</v>
      </c>
      <c r="F82" s="1" t="s">
        <v>1002</v>
      </c>
      <c r="G82" s="1" t="s">
        <v>132</v>
      </c>
      <c r="H82" s="1" t="str">
        <f>VLOOKUP(G82,dataNodes!$B$2:$C$19,2,FALSE)</f>
        <v>Infrastructure</v>
      </c>
      <c r="I82" s="1" t="str">
        <f t="shared" si="1"/>
        <v>d01</v>
      </c>
    </row>
    <row r="83" spans="1:10" x14ac:dyDescent="0.3">
      <c r="A83" s="1" t="s">
        <v>625</v>
      </c>
      <c r="B83" s="1" t="s">
        <v>626</v>
      </c>
      <c r="C83" s="1" t="s">
        <v>237</v>
      </c>
      <c r="D83" s="1" t="s">
        <v>221</v>
      </c>
      <c r="E83" s="1" t="s">
        <v>830</v>
      </c>
      <c r="F83" s="1" t="s">
        <v>1003</v>
      </c>
      <c r="G83" s="1" t="s">
        <v>99</v>
      </c>
      <c r="H83" s="1" t="str">
        <f>VLOOKUP(G83,dataNodes!$B$2:$C$19,2,FALSE)</f>
        <v>Use</v>
      </c>
      <c r="I83" s="1" t="str">
        <f t="shared" ref="I83:I146" si="2">VLOOKUP(G83,$M$2:$N$19,2,FALSE)</f>
        <v>d17</v>
      </c>
    </row>
    <row r="84" spans="1:10" x14ac:dyDescent="0.3">
      <c r="A84" s="1" t="s">
        <v>627</v>
      </c>
      <c r="B84" s="1" t="s">
        <v>628</v>
      </c>
      <c r="C84" s="1" t="s">
        <v>237</v>
      </c>
      <c r="D84" s="1" t="s">
        <v>221</v>
      </c>
      <c r="E84" s="1" t="s">
        <v>831</v>
      </c>
      <c r="F84" s="1" t="s">
        <v>1004</v>
      </c>
      <c r="G84" s="1" t="s">
        <v>99</v>
      </c>
      <c r="H84" s="1" t="str">
        <f>VLOOKUP(G84,dataNodes!$B$2:$C$19,2,FALSE)</f>
        <v>Use</v>
      </c>
      <c r="I84" s="1" t="str">
        <f t="shared" si="2"/>
        <v>d17</v>
      </c>
    </row>
    <row r="85" spans="1:10" x14ac:dyDescent="0.3">
      <c r="A85" s="1" t="s">
        <v>627</v>
      </c>
      <c r="B85" s="1" t="s">
        <v>628</v>
      </c>
      <c r="C85" s="1" t="s">
        <v>237</v>
      </c>
      <c r="D85" s="1" t="s">
        <v>221</v>
      </c>
      <c r="E85" s="1" t="s">
        <v>831</v>
      </c>
      <c r="F85" s="1" t="s">
        <v>1005</v>
      </c>
      <c r="G85" s="1" t="s">
        <v>144</v>
      </c>
      <c r="H85" s="1" t="str">
        <f>VLOOKUP(G85,dataNodes!$B$2:$C$19,2,FALSE)</f>
        <v>Use</v>
      </c>
      <c r="I85" s="1" t="str">
        <f t="shared" si="2"/>
        <v>d18</v>
      </c>
    </row>
    <row r="86" spans="1:10" x14ac:dyDescent="0.3">
      <c r="A86" s="1" t="s">
        <v>629</v>
      </c>
      <c r="B86" s="1" t="s">
        <v>247</v>
      </c>
      <c r="C86" s="1" t="s">
        <v>247</v>
      </c>
      <c r="D86" s="1" t="s">
        <v>221</v>
      </c>
      <c r="E86" s="1" t="s">
        <v>446</v>
      </c>
      <c r="F86" s="1" t="s">
        <v>1006</v>
      </c>
      <c r="G86" s="1" t="s">
        <v>137</v>
      </c>
      <c r="H86" s="1" t="str">
        <f>VLOOKUP(G86,dataNodes!$B$2:$C$19,2,FALSE)</f>
        <v>Quantity</v>
      </c>
      <c r="I86" s="1" t="str">
        <f t="shared" si="2"/>
        <v>d06</v>
      </c>
      <c r="J86" s="1" t="s">
        <v>1088</v>
      </c>
    </row>
    <row r="87" spans="1:10" x14ac:dyDescent="0.3">
      <c r="A87" s="1" t="s">
        <v>629</v>
      </c>
      <c r="B87" s="1" t="s">
        <v>247</v>
      </c>
      <c r="C87" s="1" t="s">
        <v>247</v>
      </c>
      <c r="D87" s="1" t="s">
        <v>221</v>
      </c>
      <c r="E87" s="1" t="s">
        <v>446</v>
      </c>
      <c r="F87" s="1" t="s">
        <v>1007</v>
      </c>
      <c r="G87" s="1" t="s">
        <v>133</v>
      </c>
      <c r="H87" s="1" t="str">
        <f>VLOOKUP(G87,dataNodes!$B$2:$C$19,2,FALSE)</f>
        <v>Infrastructure</v>
      </c>
      <c r="I87" s="1" t="str">
        <f t="shared" si="2"/>
        <v>d02</v>
      </c>
    </row>
    <row r="88" spans="1:10" x14ac:dyDescent="0.3">
      <c r="A88" s="1" t="s">
        <v>629</v>
      </c>
      <c r="B88" s="1" t="s">
        <v>247</v>
      </c>
      <c r="C88" s="1" t="s">
        <v>247</v>
      </c>
      <c r="D88" s="1" t="s">
        <v>221</v>
      </c>
      <c r="E88" s="1" t="s">
        <v>446</v>
      </c>
      <c r="F88" s="1" t="s">
        <v>1008</v>
      </c>
      <c r="G88" s="1" t="s">
        <v>132</v>
      </c>
      <c r="H88" s="1" t="str">
        <f>VLOOKUP(G88,dataNodes!$B$2:$C$19,2,FALSE)</f>
        <v>Infrastructure</v>
      </c>
      <c r="I88" s="1" t="str">
        <f t="shared" si="2"/>
        <v>d01</v>
      </c>
    </row>
    <row r="89" spans="1:10" x14ac:dyDescent="0.3">
      <c r="A89" s="1" t="s">
        <v>629</v>
      </c>
      <c r="B89" s="1" t="s">
        <v>247</v>
      </c>
      <c r="C89" s="1" t="s">
        <v>247</v>
      </c>
      <c r="D89" s="1" t="s">
        <v>221</v>
      </c>
      <c r="E89" s="1" t="s">
        <v>446</v>
      </c>
      <c r="F89" s="1" t="s">
        <v>1009</v>
      </c>
      <c r="G89" s="1" t="s">
        <v>129</v>
      </c>
      <c r="H89" s="1" t="str">
        <f>VLOOKUP(G89,dataNodes!$B$2:$C$19,2,FALSE)</f>
        <v>Quantity</v>
      </c>
      <c r="I89" s="1" t="str">
        <f t="shared" si="2"/>
        <v>d12</v>
      </c>
    </row>
    <row r="90" spans="1:10" x14ac:dyDescent="0.3">
      <c r="A90" s="1" t="s">
        <v>630</v>
      </c>
      <c r="B90" s="1" t="s">
        <v>631</v>
      </c>
      <c r="C90" s="1" t="s">
        <v>611</v>
      </c>
      <c r="D90" s="1" t="s">
        <v>221</v>
      </c>
      <c r="E90" s="1" t="s">
        <v>832</v>
      </c>
      <c r="F90" s="1" t="s">
        <v>1010</v>
      </c>
      <c r="G90" s="1" t="s">
        <v>132</v>
      </c>
      <c r="H90" s="1" t="str">
        <f>VLOOKUP(G90,dataNodes!$B$2:$C$19,2,FALSE)</f>
        <v>Infrastructure</v>
      </c>
      <c r="I90" s="1" t="str">
        <f t="shared" si="2"/>
        <v>d01</v>
      </c>
      <c r="J90" s="1" t="s">
        <v>1082</v>
      </c>
    </row>
    <row r="91" spans="1:10" x14ac:dyDescent="0.3">
      <c r="A91" s="1" t="s">
        <v>632</v>
      </c>
      <c r="B91" s="1" t="s">
        <v>216</v>
      </c>
      <c r="C91" s="1" t="s">
        <v>216</v>
      </c>
      <c r="D91" s="1" t="s">
        <v>638</v>
      </c>
      <c r="E91" s="1" t="s">
        <v>416</v>
      </c>
      <c r="F91" s="1" t="s">
        <v>1011</v>
      </c>
      <c r="G91" s="1" t="s">
        <v>132</v>
      </c>
      <c r="H91" s="1" t="str">
        <f>VLOOKUP(G91,dataNodes!$B$2:$C$19,2,FALSE)</f>
        <v>Infrastructure</v>
      </c>
      <c r="I91" s="1" t="str">
        <f t="shared" si="2"/>
        <v>d01</v>
      </c>
    </row>
    <row r="92" spans="1:10" x14ac:dyDescent="0.3">
      <c r="A92" s="1" t="s">
        <v>633</v>
      </c>
      <c r="B92" s="1" t="s">
        <v>634</v>
      </c>
      <c r="C92" s="1" t="s">
        <v>635</v>
      </c>
      <c r="D92" s="1" t="s">
        <v>638</v>
      </c>
      <c r="E92" s="1" t="s">
        <v>833</v>
      </c>
      <c r="F92" s="1" t="s">
        <v>1012</v>
      </c>
      <c r="G92" s="1" t="s">
        <v>134</v>
      </c>
      <c r="H92" s="1" t="str">
        <f>VLOOKUP(G92,dataNodes!$B$2:$C$19,2,FALSE)</f>
        <v>Quality</v>
      </c>
      <c r="I92" s="1" t="str">
        <f t="shared" si="2"/>
        <v>d03</v>
      </c>
    </row>
    <row r="93" spans="1:10" x14ac:dyDescent="0.3">
      <c r="A93" s="1" t="s">
        <v>633</v>
      </c>
      <c r="B93" s="1" t="s">
        <v>634</v>
      </c>
      <c r="C93" s="1" t="s">
        <v>635</v>
      </c>
      <c r="D93" s="1" t="s">
        <v>638</v>
      </c>
      <c r="E93" s="1" t="s">
        <v>833</v>
      </c>
      <c r="F93" s="1" t="s">
        <v>1013</v>
      </c>
      <c r="G93" s="1" t="s">
        <v>144</v>
      </c>
      <c r="H93" s="1" t="str">
        <f>VLOOKUP(G93,dataNodes!$B$2:$C$19,2,FALSE)</f>
        <v>Use</v>
      </c>
      <c r="I93" s="1" t="str">
        <f t="shared" si="2"/>
        <v>d18</v>
      </c>
    </row>
    <row r="94" spans="1:10" x14ac:dyDescent="0.3">
      <c r="A94" s="1" t="s">
        <v>636</v>
      </c>
      <c r="B94" s="1" t="s">
        <v>637</v>
      </c>
      <c r="C94" s="1" t="s">
        <v>638</v>
      </c>
      <c r="D94" s="1" t="s">
        <v>638</v>
      </c>
      <c r="E94" s="1" t="s">
        <v>834</v>
      </c>
      <c r="F94" s="1" t="s">
        <v>1014</v>
      </c>
      <c r="G94" s="1" t="s">
        <v>144</v>
      </c>
      <c r="H94" s="1" t="str">
        <f>VLOOKUP(G94,dataNodes!$B$2:$C$19,2,FALSE)</f>
        <v>Use</v>
      </c>
      <c r="I94" s="1" t="str">
        <f t="shared" si="2"/>
        <v>d18</v>
      </c>
    </row>
    <row r="95" spans="1:10" x14ac:dyDescent="0.3">
      <c r="A95" s="1" t="s">
        <v>639</v>
      </c>
      <c r="B95" s="1" t="s">
        <v>640</v>
      </c>
      <c r="C95" s="1" t="s">
        <v>393</v>
      </c>
      <c r="D95" s="1" t="s">
        <v>393</v>
      </c>
      <c r="E95" s="1" t="s">
        <v>835</v>
      </c>
      <c r="F95" s="1" t="s">
        <v>1015</v>
      </c>
      <c r="G95" s="1" t="s">
        <v>144</v>
      </c>
      <c r="H95" s="1" t="str">
        <f>VLOOKUP(G95,dataNodes!$B$2:$C$19,2,FALSE)</f>
        <v>Use</v>
      </c>
      <c r="I95" s="1" t="str">
        <f t="shared" si="2"/>
        <v>d18</v>
      </c>
    </row>
    <row r="96" spans="1:10" x14ac:dyDescent="0.3">
      <c r="A96" s="1" t="s">
        <v>641</v>
      </c>
      <c r="B96" s="1" t="s">
        <v>642</v>
      </c>
      <c r="C96" s="1" t="s">
        <v>391</v>
      </c>
      <c r="D96" s="1" t="s">
        <v>389</v>
      </c>
      <c r="E96" s="1" t="s">
        <v>836</v>
      </c>
      <c r="F96" s="1" t="s">
        <v>1016</v>
      </c>
      <c r="G96" s="1" t="s">
        <v>99</v>
      </c>
      <c r="H96" s="1" t="str">
        <f>VLOOKUP(G96,dataNodes!$B$2:$C$19,2,FALSE)</f>
        <v>Use</v>
      </c>
      <c r="I96" s="1" t="str">
        <f t="shared" si="2"/>
        <v>d17</v>
      </c>
      <c r="J96" s="1" t="s">
        <v>1089</v>
      </c>
    </row>
    <row r="97" spans="1:9" x14ac:dyDescent="0.3">
      <c r="A97" s="1" t="s">
        <v>641</v>
      </c>
      <c r="B97" s="1" t="s">
        <v>642</v>
      </c>
      <c r="C97" s="1" t="s">
        <v>391</v>
      </c>
      <c r="D97" s="1" t="s">
        <v>389</v>
      </c>
      <c r="E97" s="1" t="s">
        <v>836</v>
      </c>
      <c r="F97" s="1" t="s">
        <v>1017</v>
      </c>
      <c r="G97" s="1" t="s">
        <v>134</v>
      </c>
      <c r="H97" s="1" t="str">
        <f>VLOOKUP(G97,dataNodes!$B$2:$C$19,2,FALSE)</f>
        <v>Quality</v>
      </c>
      <c r="I97" s="1" t="str">
        <f t="shared" si="2"/>
        <v>d03</v>
      </c>
    </row>
    <row r="98" spans="1:9" x14ac:dyDescent="0.3">
      <c r="A98" s="1" t="s">
        <v>641</v>
      </c>
      <c r="B98" s="1" t="s">
        <v>642</v>
      </c>
      <c r="C98" s="1" t="s">
        <v>391</v>
      </c>
      <c r="D98" s="1" t="s">
        <v>389</v>
      </c>
      <c r="E98" s="1" t="s">
        <v>836</v>
      </c>
      <c r="F98" s="1" t="s">
        <v>1018</v>
      </c>
      <c r="G98" s="1" t="s">
        <v>132</v>
      </c>
      <c r="H98" s="1" t="str">
        <f>VLOOKUP(G98,dataNodes!$B$2:$C$19,2,FALSE)</f>
        <v>Infrastructure</v>
      </c>
      <c r="I98" s="1" t="str">
        <f t="shared" si="2"/>
        <v>d01</v>
      </c>
    </row>
    <row r="99" spans="1:9" x14ac:dyDescent="0.3">
      <c r="A99" s="1" t="s">
        <v>643</v>
      </c>
      <c r="B99" s="1" t="s">
        <v>644</v>
      </c>
      <c r="C99" s="1" t="s">
        <v>254</v>
      </c>
      <c r="D99" s="1" t="s">
        <v>251</v>
      </c>
      <c r="E99" s="1" t="s">
        <v>837</v>
      </c>
      <c r="F99" s="1" t="s">
        <v>677</v>
      </c>
      <c r="G99" s="1" t="s">
        <v>126</v>
      </c>
      <c r="H99" s="1" t="str">
        <f>VLOOKUP(G99,dataNodes!$B$2:$C$19,2,FALSE)</f>
        <v>Quality</v>
      </c>
      <c r="I99" s="1" t="str">
        <f t="shared" si="2"/>
        <v>d04</v>
      </c>
    </row>
    <row r="100" spans="1:9" x14ac:dyDescent="0.3">
      <c r="A100" s="1" t="s">
        <v>643</v>
      </c>
      <c r="B100" s="1" t="s">
        <v>644</v>
      </c>
      <c r="C100" s="1" t="s">
        <v>254</v>
      </c>
      <c r="D100" s="1" t="s">
        <v>251</v>
      </c>
      <c r="E100" s="1" t="s">
        <v>837</v>
      </c>
      <c r="F100" s="1" t="s">
        <v>677</v>
      </c>
      <c r="G100" s="1" t="s">
        <v>99</v>
      </c>
      <c r="H100" s="1" t="str">
        <f>VLOOKUP(G100,dataNodes!$B$2:$C$19,2,FALSE)</f>
        <v>Use</v>
      </c>
      <c r="I100" s="1" t="str">
        <f t="shared" si="2"/>
        <v>d17</v>
      </c>
    </row>
    <row r="101" spans="1:9" x14ac:dyDescent="0.3">
      <c r="A101" s="1" t="s">
        <v>645</v>
      </c>
      <c r="B101" s="1" t="s">
        <v>646</v>
      </c>
      <c r="C101" s="1" t="s">
        <v>258</v>
      </c>
      <c r="D101" s="1" t="s">
        <v>251</v>
      </c>
      <c r="E101" s="1" t="s">
        <v>838</v>
      </c>
      <c r="F101" s="1" t="s">
        <v>1019</v>
      </c>
      <c r="G101" s="1" t="s">
        <v>137</v>
      </c>
      <c r="H101" s="1" t="str">
        <f>VLOOKUP(G101,dataNodes!$B$2:$C$19,2,FALSE)</f>
        <v>Quantity</v>
      </c>
      <c r="I101" s="1" t="str">
        <f t="shared" si="2"/>
        <v>d06</v>
      </c>
    </row>
    <row r="102" spans="1:9" x14ac:dyDescent="0.3">
      <c r="A102" s="1" t="s">
        <v>647</v>
      </c>
      <c r="B102" s="1" t="s">
        <v>648</v>
      </c>
      <c r="C102" s="1" t="s">
        <v>258</v>
      </c>
      <c r="D102" s="1" t="s">
        <v>251</v>
      </c>
      <c r="E102" s="1" t="s">
        <v>839</v>
      </c>
      <c r="F102" s="1" t="s">
        <v>157</v>
      </c>
      <c r="G102" s="1" t="s">
        <v>55</v>
      </c>
      <c r="H102" s="1" t="str">
        <f>VLOOKUP(G102,dataNodes!$B$2:$C$19,2,FALSE)</f>
        <v>Quantity</v>
      </c>
      <c r="I102" s="1" t="str">
        <f t="shared" si="2"/>
        <v>d13</v>
      </c>
    </row>
    <row r="103" spans="1:9" x14ac:dyDescent="0.3">
      <c r="A103" s="1" t="s">
        <v>649</v>
      </c>
      <c r="B103" s="1" t="s">
        <v>54</v>
      </c>
      <c r="C103" s="1" t="s">
        <v>258</v>
      </c>
      <c r="D103" s="1" t="s">
        <v>251</v>
      </c>
      <c r="E103" s="1" t="s">
        <v>840</v>
      </c>
      <c r="F103" s="1" t="s">
        <v>1020</v>
      </c>
      <c r="G103" s="1" t="s">
        <v>56</v>
      </c>
      <c r="H103" s="1" t="str">
        <f>VLOOKUP(G103,dataNodes!$B$2:$C$19,2,FALSE)</f>
        <v>Quantity</v>
      </c>
      <c r="I103" s="1" t="str">
        <f t="shared" si="2"/>
        <v>d11</v>
      </c>
    </row>
    <row r="104" spans="1:9" x14ac:dyDescent="0.3">
      <c r="A104" s="1" t="s">
        <v>650</v>
      </c>
      <c r="B104" s="1" t="s">
        <v>651</v>
      </c>
      <c r="C104" s="1" t="s">
        <v>266</v>
      </c>
      <c r="D104" s="1" t="s">
        <v>260</v>
      </c>
      <c r="E104" s="1" t="s">
        <v>460</v>
      </c>
      <c r="F104" s="1" t="s">
        <v>1021</v>
      </c>
      <c r="G104" s="1" t="s">
        <v>134</v>
      </c>
      <c r="H104" s="1" t="str">
        <f>VLOOKUP(G104,dataNodes!$B$2:$C$19,2,FALSE)</f>
        <v>Quality</v>
      </c>
      <c r="I104" s="1" t="str">
        <f t="shared" si="2"/>
        <v>d03</v>
      </c>
    </row>
    <row r="105" spans="1:9" x14ac:dyDescent="0.3">
      <c r="A105" s="1" t="s">
        <v>652</v>
      </c>
      <c r="B105" s="1" t="s">
        <v>653</v>
      </c>
      <c r="C105" s="1" t="s">
        <v>245</v>
      </c>
      <c r="D105" s="1" t="s">
        <v>260</v>
      </c>
      <c r="E105" s="1" t="s">
        <v>841</v>
      </c>
      <c r="F105" s="1" t="s">
        <v>981</v>
      </c>
      <c r="G105" s="1" t="s">
        <v>3</v>
      </c>
      <c r="H105" s="1" t="str">
        <f>VLOOKUP(G105,dataNodes!$B$2:$C$19,2,FALSE)</f>
        <v>Quantity</v>
      </c>
      <c r="I105" s="1" t="str">
        <f t="shared" si="2"/>
        <v>d08</v>
      </c>
    </row>
    <row r="106" spans="1:9" x14ac:dyDescent="0.3">
      <c r="A106" s="1" t="s">
        <v>654</v>
      </c>
      <c r="B106" s="1" t="s">
        <v>655</v>
      </c>
      <c r="C106" s="1" t="s">
        <v>268</v>
      </c>
      <c r="D106" s="1" t="s">
        <v>260</v>
      </c>
      <c r="E106" s="1" t="s">
        <v>842</v>
      </c>
      <c r="F106" s="1" t="s">
        <v>1022</v>
      </c>
      <c r="G106" s="1" t="s">
        <v>124</v>
      </c>
      <c r="H106" s="1" t="str">
        <f>VLOOKUP(G106,dataNodes!$B$2:$C$19,2,FALSE)</f>
        <v>Quantity</v>
      </c>
      <c r="I106" s="1" t="str">
        <f t="shared" si="2"/>
        <v>d10</v>
      </c>
    </row>
    <row r="107" spans="1:9" x14ac:dyDescent="0.3">
      <c r="A107" s="1" t="s">
        <v>654</v>
      </c>
      <c r="B107" s="1" t="s">
        <v>655</v>
      </c>
      <c r="C107" s="1" t="s">
        <v>268</v>
      </c>
      <c r="D107" s="1" t="s">
        <v>260</v>
      </c>
      <c r="E107" s="1" t="s">
        <v>842</v>
      </c>
      <c r="F107" s="1" t="s">
        <v>1023</v>
      </c>
      <c r="G107" s="1" t="s">
        <v>55</v>
      </c>
      <c r="H107" s="1" t="str">
        <f>VLOOKUP(G107,dataNodes!$B$2:$C$19,2,FALSE)</f>
        <v>Quantity</v>
      </c>
      <c r="I107" s="1" t="str">
        <f t="shared" si="2"/>
        <v>d13</v>
      </c>
    </row>
    <row r="108" spans="1:9" x14ac:dyDescent="0.3">
      <c r="A108" s="1" t="s">
        <v>656</v>
      </c>
      <c r="B108" s="1" t="s">
        <v>263</v>
      </c>
      <c r="C108" s="1" t="s">
        <v>258</v>
      </c>
      <c r="D108" s="1" t="s">
        <v>260</v>
      </c>
      <c r="E108" s="1" t="s">
        <v>458</v>
      </c>
      <c r="F108" s="1" t="s">
        <v>54</v>
      </c>
      <c r="G108" s="1" t="s">
        <v>56</v>
      </c>
      <c r="H108" s="1" t="str">
        <f>VLOOKUP(G108,dataNodes!$B$2:$C$19,2,FALSE)</f>
        <v>Quantity</v>
      </c>
      <c r="I108" s="1" t="str">
        <f t="shared" si="2"/>
        <v>d11</v>
      </c>
    </row>
    <row r="109" spans="1:9" x14ac:dyDescent="0.3">
      <c r="A109" s="1" t="s">
        <v>657</v>
      </c>
      <c r="B109" s="1" t="s">
        <v>274</v>
      </c>
      <c r="C109" s="1" t="s">
        <v>40</v>
      </c>
      <c r="D109" s="1" t="s">
        <v>270</v>
      </c>
      <c r="E109" s="1" t="s">
        <v>468</v>
      </c>
      <c r="F109" s="1" t="s">
        <v>1024</v>
      </c>
      <c r="G109" s="1" t="s">
        <v>137</v>
      </c>
      <c r="H109" s="1" t="str">
        <f>VLOOKUP(G109,dataNodes!$B$2:$C$19,2,FALSE)</f>
        <v>Quantity</v>
      </c>
      <c r="I109" s="1" t="str">
        <f t="shared" si="2"/>
        <v>d06</v>
      </c>
    </row>
    <row r="110" spans="1:9" x14ac:dyDescent="0.3">
      <c r="A110" s="1" t="s">
        <v>657</v>
      </c>
      <c r="B110" s="1" t="s">
        <v>274</v>
      </c>
      <c r="C110" s="1" t="s">
        <v>40</v>
      </c>
      <c r="D110" s="1" t="s">
        <v>270</v>
      </c>
      <c r="E110" s="1" t="s">
        <v>468</v>
      </c>
      <c r="F110" s="1" t="s">
        <v>1025</v>
      </c>
      <c r="G110" s="1" t="s">
        <v>56</v>
      </c>
      <c r="H110" s="1" t="str">
        <f>VLOOKUP(G110,dataNodes!$B$2:$C$19,2,FALSE)</f>
        <v>Quantity</v>
      </c>
      <c r="I110" s="1" t="str">
        <f t="shared" si="2"/>
        <v>d11</v>
      </c>
    </row>
    <row r="111" spans="1:9" x14ac:dyDescent="0.3">
      <c r="A111" s="1" t="s">
        <v>657</v>
      </c>
      <c r="B111" s="1" t="s">
        <v>274</v>
      </c>
      <c r="C111" s="1" t="s">
        <v>40</v>
      </c>
      <c r="D111" s="1" t="s">
        <v>270</v>
      </c>
      <c r="E111" s="1" t="s">
        <v>468</v>
      </c>
      <c r="F111" s="1" t="s">
        <v>1026</v>
      </c>
      <c r="G111" s="1" t="s">
        <v>144</v>
      </c>
      <c r="H111" s="1" t="str">
        <f>VLOOKUP(G111,dataNodes!$B$2:$C$19,2,FALSE)</f>
        <v>Use</v>
      </c>
      <c r="I111" s="1" t="str">
        <f t="shared" si="2"/>
        <v>d18</v>
      </c>
    </row>
    <row r="112" spans="1:9" x14ac:dyDescent="0.3">
      <c r="A112" s="1" t="s">
        <v>658</v>
      </c>
      <c r="B112" s="1" t="s">
        <v>659</v>
      </c>
      <c r="C112" s="1" t="s">
        <v>212</v>
      </c>
      <c r="D112" s="1" t="s">
        <v>270</v>
      </c>
      <c r="E112" s="1" t="s">
        <v>843</v>
      </c>
      <c r="F112" s="1" t="s">
        <v>1027</v>
      </c>
      <c r="G112" s="1" t="s">
        <v>134</v>
      </c>
      <c r="H112" s="1" t="str">
        <f>VLOOKUP(G112,dataNodes!$B$2:$C$19,2,FALSE)</f>
        <v>Quality</v>
      </c>
      <c r="I112" s="1" t="str">
        <f t="shared" si="2"/>
        <v>d03</v>
      </c>
    </row>
    <row r="113" spans="1:9" x14ac:dyDescent="0.3">
      <c r="A113" s="1" t="s">
        <v>660</v>
      </c>
      <c r="B113" s="1" t="s">
        <v>661</v>
      </c>
      <c r="C113" s="1" t="s">
        <v>212</v>
      </c>
      <c r="D113" s="1" t="s">
        <v>270</v>
      </c>
      <c r="E113" s="1" t="s">
        <v>844</v>
      </c>
      <c r="F113" s="1" t="s">
        <v>1028</v>
      </c>
      <c r="G113" s="1" t="s">
        <v>144</v>
      </c>
      <c r="H113" s="1" t="str">
        <f>VLOOKUP(G113,dataNodes!$B$2:$C$19,2,FALSE)</f>
        <v>Use</v>
      </c>
      <c r="I113" s="1" t="str">
        <f t="shared" si="2"/>
        <v>d18</v>
      </c>
    </row>
    <row r="114" spans="1:9" x14ac:dyDescent="0.3">
      <c r="A114" s="1" t="s">
        <v>662</v>
      </c>
      <c r="B114" s="1" t="s">
        <v>280</v>
      </c>
      <c r="C114" s="1" t="s">
        <v>663</v>
      </c>
      <c r="D114" s="1" t="s">
        <v>270</v>
      </c>
      <c r="E114" s="1" t="s">
        <v>476</v>
      </c>
      <c r="F114" s="1" t="s">
        <v>1023</v>
      </c>
      <c r="G114" s="1" t="s">
        <v>55</v>
      </c>
      <c r="H114" s="1" t="str">
        <f>VLOOKUP(G114,dataNodes!$B$2:$C$19,2,FALSE)</f>
        <v>Quantity</v>
      </c>
      <c r="I114" s="1" t="str">
        <f t="shared" si="2"/>
        <v>d13</v>
      </c>
    </row>
    <row r="115" spans="1:9" x14ac:dyDescent="0.3">
      <c r="A115" s="1" t="s">
        <v>662</v>
      </c>
      <c r="B115" s="1" t="s">
        <v>280</v>
      </c>
      <c r="C115" s="1" t="s">
        <v>663</v>
      </c>
      <c r="D115" s="1" t="s">
        <v>270</v>
      </c>
      <c r="E115" s="1" t="s">
        <v>476</v>
      </c>
      <c r="F115" s="1" t="s">
        <v>54</v>
      </c>
      <c r="G115" s="1" t="s">
        <v>56</v>
      </c>
      <c r="H115" s="1" t="str">
        <f>VLOOKUP(G115,dataNodes!$B$2:$C$19,2,FALSE)</f>
        <v>Quantity</v>
      </c>
      <c r="I115" s="1" t="str">
        <f t="shared" si="2"/>
        <v>d11</v>
      </c>
    </row>
    <row r="116" spans="1:9" x14ac:dyDescent="0.3">
      <c r="A116" s="1" t="s">
        <v>662</v>
      </c>
      <c r="B116" s="1" t="s">
        <v>280</v>
      </c>
      <c r="C116" s="1" t="s">
        <v>663</v>
      </c>
      <c r="D116" s="1" t="s">
        <v>270</v>
      </c>
      <c r="E116" s="1" t="s">
        <v>476</v>
      </c>
      <c r="F116" s="1" t="s">
        <v>1029</v>
      </c>
      <c r="G116" s="1" t="s">
        <v>124</v>
      </c>
      <c r="H116" s="1" t="str">
        <f>VLOOKUP(G116,dataNodes!$B$2:$C$19,2,FALSE)</f>
        <v>Quantity</v>
      </c>
      <c r="I116" s="1" t="str">
        <f t="shared" si="2"/>
        <v>d10</v>
      </c>
    </row>
    <row r="117" spans="1:9" x14ac:dyDescent="0.3">
      <c r="A117" s="1" t="s">
        <v>664</v>
      </c>
      <c r="B117" s="1" t="s">
        <v>665</v>
      </c>
      <c r="C117" s="1" t="s">
        <v>663</v>
      </c>
      <c r="D117" s="1" t="s">
        <v>270</v>
      </c>
      <c r="E117" s="1" t="s">
        <v>845</v>
      </c>
      <c r="F117" s="1" t="s">
        <v>1030</v>
      </c>
      <c r="G117" s="1" t="s">
        <v>132</v>
      </c>
      <c r="H117" s="1" t="str">
        <f>VLOOKUP(G117,dataNodes!$B$2:$C$19,2,FALSE)</f>
        <v>Infrastructure</v>
      </c>
      <c r="I117" s="1" t="str">
        <f t="shared" si="2"/>
        <v>d01</v>
      </c>
    </row>
    <row r="118" spans="1:9" x14ac:dyDescent="0.3">
      <c r="A118" s="1" t="s">
        <v>666</v>
      </c>
      <c r="B118" s="1" t="s">
        <v>667</v>
      </c>
      <c r="C118" s="1" t="s">
        <v>270</v>
      </c>
      <c r="D118" s="1" t="s">
        <v>270</v>
      </c>
      <c r="E118" s="1" t="s">
        <v>846</v>
      </c>
      <c r="F118" s="1" t="s">
        <v>1031</v>
      </c>
      <c r="G118" s="1" t="s">
        <v>132</v>
      </c>
      <c r="H118" s="1" t="str">
        <f>VLOOKUP(G118,dataNodes!$B$2:$C$19,2,FALSE)</f>
        <v>Infrastructure</v>
      </c>
      <c r="I118" s="1" t="str">
        <f t="shared" si="2"/>
        <v>d01</v>
      </c>
    </row>
    <row r="119" spans="1:9" x14ac:dyDescent="0.3">
      <c r="A119" s="1" t="s">
        <v>668</v>
      </c>
      <c r="B119" s="1" t="s">
        <v>669</v>
      </c>
      <c r="C119" s="1" t="s">
        <v>288</v>
      </c>
      <c r="D119" s="1" t="s">
        <v>282</v>
      </c>
      <c r="E119" s="1" t="s">
        <v>847</v>
      </c>
      <c r="F119" s="1" t="s">
        <v>1032</v>
      </c>
      <c r="G119" s="1" t="s">
        <v>124</v>
      </c>
      <c r="H119" s="1" t="str">
        <f>VLOOKUP(G119,dataNodes!$B$2:$C$19,2,FALSE)</f>
        <v>Quantity</v>
      </c>
      <c r="I119" s="1" t="str">
        <f t="shared" si="2"/>
        <v>d10</v>
      </c>
    </row>
    <row r="120" spans="1:9" x14ac:dyDescent="0.3">
      <c r="A120" s="1" t="s">
        <v>670</v>
      </c>
      <c r="B120" s="1" t="s">
        <v>671</v>
      </c>
      <c r="C120" s="1" t="s">
        <v>288</v>
      </c>
      <c r="D120" s="1" t="s">
        <v>282</v>
      </c>
      <c r="E120" s="1" t="s">
        <v>848</v>
      </c>
      <c r="F120" s="1" t="s">
        <v>1023</v>
      </c>
      <c r="G120" s="1" t="s">
        <v>55</v>
      </c>
      <c r="H120" s="1" t="str">
        <f>VLOOKUP(G120,dataNodes!$B$2:$C$19,2,FALSE)</f>
        <v>Quantity</v>
      </c>
      <c r="I120" s="1" t="str">
        <f t="shared" si="2"/>
        <v>d13</v>
      </c>
    </row>
    <row r="121" spans="1:9" x14ac:dyDescent="0.3">
      <c r="A121" s="1" t="s">
        <v>672</v>
      </c>
      <c r="B121" s="1" t="s">
        <v>673</v>
      </c>
      <c r="C121" s="1" t="s">
        <v>288</v>
      </c>
      <c r="D121" s="1" t="s">
        <v>282</v>
      </c>
      <c r="E121" s="1" t="s">
        <v>849</v>
      </c>
      <c r="F121" s="1" t="s">
        <v>157</v>
      </c>
      <c r="G121" s="1" t="s">
        <v>55</v>
      </c>
      <c r="H121" s="1" t="str">
        <f>VLOOKUP(G121,dataNodes!$B$2:$C$19,2,FALSE)</f>
        <v>Quantity</v>
      </c>
      <c r="I121" s="1" t="str">
        <f t="shared" si="2"/>
        <v>d13</v>
      </c>
    </row>
    <row r="122" spans="1:9" x14ac:dyDescent="0.3">
      <c r="A122" s="1" t="s">
        <v>672</v>
      </c>
      <c r="B122" s="1" t="s">
        <v>673</v>
      </c>
      <c r="C122" s="1" t="s">
        <v>288</v>
      </c>
      <c r="D122" s="1" t="s">
        <v>282</v>
      </c>
      <c r="E122" s="1" t="s">
        <v>849</v>
      </c>
      <c r="F122" s="1" t="s">
        <v>1033</v>
      </c>
      <c r="G122" s="1" t="s">
        <v>56</v>
      </c>
      <c r="H122" s="1" t="str">
        <f>VLOOKUP(G122,dataNodes!$B$2:$C$19,2,FALSE)</f>
        <v>Quantity</v>
      </c>
      <c r="I122" s="1" t="str">
        <f t="shared" si="2"/>
        <v>d11</v>
      </c>
    </row>
    <row r="123" spans="1:9" x14ac:dyDescent="0.3">
      <c r="A123" s="1" t="s">
        <v>674</v>
      </c>
      <c r="B123" s="1" t="s">
        <v>675</v>
      </c>
      <c r="C123" s="1" t="s">
        <v>212</v>
      </c>
      <c r="D123" s="1" t="s">
        <v>282</v>
      </c>
      <c r="E123" s="1" t="s">
        <v>850</v>
      </c>
      <c r="G123" s="1" t="s">
        <v>134</v>
      </c>
      <c r="H123" s="1" t="str">
        <f>VLOOKUP(G123,dataNodes!$B$2:$C$19,2,FALSE)</f>
        <v>Quality</v>
      </c>
      <c r="I123" s="1" t="str">
        <f t="shared" si="2"/>
        <v>d03</v>
      </c>
    </row>
    <row r="124" spans="1:9" x14ac:dyDescent="0.3">
      <c r="A124" s="1" t="s">
        <v>676</v>
      </c>
      <c r="B124" s="1" t="s">
        <v>677</v>
      </c>
      <c r="C124" s="1" t="s">
        <v>678</v>
      </c>
      <c r="D124" s="1" t="s">
        <v>282</v>
      </c>
      <c r="E124" s="1" t="s">
        <v>851</v>
      </c>
      <c r="F124" s="1" t="s">
        <v>677</v>
      </c>
      <c r="G124" s="1" t="s">
        <v>126</v>
      </c>
      <c r="H124" s="1" t="str">
        <f>VLOOKUP(G124,dataNodes!$B$2:$C$19,2,FALSE)</f>
        <v>Quality</v>
      </c>
      <c r="I124" s="1" t="str">
        <f t="shared" si="2"/>
        <v>d04</v>
      </c>
    </row>
    <row r="125" spans="1:9" x14ac:dyDescent="0.3">
      <c r="A125" s="1" t="s">
        <v>676</v>
      </c>
      <c r="B125" s="1" t="s">
        <v>677</v>
      </c>
      <c r="C125" s="1" t="s">
        <v>678</v>
      </c>
      <c r="D125" s="1" t="s">
        <v>282</v>
      </c>
      <c r="E125" s="1" t="s">
        <v>851</v>
      </c>
      <c r="F125" s="1" t="s">
        <v>677</v>
      </c>
      <c r="G125" s="1" t="s">
        <v>99</v>
      </c>
      <c r="H125" s="1" t="str">
        <f>VLOOKUP(G125,dataNodes!$B$2:$C$19,2,FALSE)</f>
        <v>Use</v>
      </c>
      <c r="I125" s="1" t="str">
        <f t="shared" si="2"/>
        <v>d17</v>
      </c>
    </row>
    <row r="126" spans="1:9" x14ac:dyDescent="0.3">
      <c r="A126" s="1" t="s">
        <v>679</v>
      </c>
      <c r="B126" s="1" t="s">
        <v>680</v>
      </c>
      <c r="C126" s="1" t="s">
        <v>254</v>
      </c>
      <c r="D126" s="1" t="s">
        <v>291</v>
      </c>
      <c r="E126" s="1" t="s">
        <v>852</v>
      </c>
      <c r="F126" s="1" t="s">
        <v>1034</v>
      </c>
      <c r="G126" s="1" t="s">
        <v>144</v>
      </c>
      <c r="H126" s="1" t="str">
        <f>VLOOKUP(G126,dataNodes!$B$2:$C$19,2,FALSE)</f>
        <v>Use</v>
      </c>
      <c r="I126" s="1" t="str">
        <f t="shared" si="2"/>
        <v>d18</v>
      </c>
    </row>
    <row r="127" spans="1:9" x14ac:dyDescent="0.3">
      <c r="A127" s="1" t="s">
        <v>681</v>
      </c>
      <c r="B127" s="1" t="s">
        <v>682</v>
      </c>
      <c r="C127" s="1" t="s">
        <v>683</v>
      </c>
      <c r="D127" s="1" t="s">
        <v>291</v>
      </c>
      <c r="E127" s="1" t="s">
        <v>853</v>
      </c>
      <c r="F127" s="1" t="s">
        <v>1035</v>
      </c>
      <c r="G127" s="1" t="s">
        <v>124</v>
      </c>
      <c r="H127" s="1" t="str">
        <f>VLOOKUP(G127,dataNodes!$B$2:$C$19,2,FALSE)</f>
        <v>Quantity</v>
      </c>
      <c r="I127" s="1" t="str">
        <f t="shared" si="2"/>
        <v>d10</v>
      </c>
    </row>
    <row r="128" spans="1:9" x14ac:dyDescent="0.3">
      <c r="A128" s="1" t="s">
        <v>681</v>
      </c>
      <c r="B128" s="1" t="s">
        <v>682</v>
      </c>
      <c r="C128" s="1" t="s">
        <v>683</v>
      </c>
      <c r="D128" s="1" t="s">
        <v>291</v>
      </c>
      <c r="E128" s="1" t="s">
        <v>853</v>
      </c>
      <c r="F128" s="1" t="s">
        <v>1036</v>
      </c>
      <c r="G128" s="1" t="s">
        <v>55</v>
      </c>
      <c r="H128" s="1" t="str">
        <f>VLOOKUP(G128,dataNodes!$B$2:$C$19,2,FALSE)</f>
        <v>Quantity</v>
      </c>
      <c r="I128" s="1" t="str">
        <f t="shared" si="2"/>
        <v>d13</v>
      </c>
    </row>
    <row r="129" spans="1:10" x14ac:dyDescent="0.3">
      <c r="A129" s="1" t="s">
        <v>681</v>
      </c>
      <c r="B129" s="1" t="s">
        <v>682</v>
      </c>
      <c r="C129" s="1" t="s">
        <v>683</v>
      </c>
      <c r="D129" s="1" t="s">
        <v>291</v>
      </c>
      <c r="E129" s="1" t="s">
        <v>853</v>
      </c>
      <c r="F129" s="1" t="s">
        <v>1037</v>
      </c>
      <c r="G129" s="1" t="s">
        <v>56</v>
      </c>
      <c r="H129" s="1" t="str">
        <f>VLOOKUP(G129,dataNodes!$B$2:$C$19,2,FALSE)</f>
        <v>Quantity</v>
      </c>
      <c r="I129" s="1" t="str">
        <f t="shared" si="2"/>
        <v>d11</v>
      </c>
    </row>
    <row r="130" spans="1:10" x14ac:dyDescent="0.3">
      <c r="A130" s="1" t="s">
        <v>681</v>
      </c>
      <c r="B130" s="1" t="s">
        <v>682</v>
      </c>
      <c r="C130" s="1" t="s">
        <v>683</v>
      </c>
      <c r="D130" s="1" t="s">
        <v>291</v>
      </c>
      <c r="E130" s="1" t="s">
        <v>853</v>
      </c>
      <c r="F130" s="1" t="s">
        <v>1038</v>
      </c>
      <c r="G130" s="1" t="s">
        <v>122</v>
      </c>
      <c r="H130" s="1" t="str">
        <f>VLOOKUP(G130,dataNodes!$B$2:$C$19,2,FALSE)</f>
        <v>Quantity</v>
      </c>
      <c r="I130" s="1" t="str">
        <f t="shared" si="2"/>
        <v>d09</v>
      </c>
    </row>
    <row r="131" spans="1:10" x14ac:dyDescent="0.3">
      <c r="A131" s="1" t="s">
        <v>684</v>
      </c>
      <c r="B131" s="1" t="s">
        <v>685</v>
      </c>
      <c r="C131" s="1" t="s">
        <v>56</v>
      </c>
      <c r="D131" s="1" t="s">
        <v>291</v>
      </c>
      <c r="E131" s="1" t="s">
        <v>854</v>
      </c>
      <c r="F131" s="1" t="s">
        <v>1029</v>
      </c>
      <c r="G131" s="1" t="s">
        <v>124</v>
      </c>
      <c r="H131" s="1" t="str">
        <f>VLOOKUP(G131,dataNodes!$B$2:$C$19,2,FALSE)</f>
        <v>Quantity</v>
      </c>
      <c r="I131" s="1" t="str">
        <f t="shared" si="2"/>
        <v>d10</v>
      </c>
    </row>
    <row r="132" spans="1:10" x14ac:dyDescent="0.3">
      <c r="A132" s="1" t="s">
        <v>684</v>
      </c>
      <c r="B132" s="1" t="s">
        <v>685</v>
      </c>
      <c r="C132" s="1" t="s">
        <v>56</v>
      </c>
      <c r="D132" s="1" t="s">
        <v>291</v>
      </c>
      <c r="E132" s="1" t="s">
        <v>854</v>
      </c>
      <c r="F132" s="1" t="s">
        <v>1039</v>
      </c>
      <c r="G132" s="1" t="s">
        <v>113</v>
      </c>
      <c r="H132" s="1" t="str">
        <f>VLOOKUP(G132,dataNodes!$B$2:$C$19,2,FALSE)</f>
        <v>Quantity</v>
      </c>
      <c r="I132" s="1" t="str">
        <f t="shared" si="2"/>
        <v>d05</v>
      </c>
    </row>
    <row r="133" spans="1:10" x14ac:dyDescent="0.3">
      <c r="A133" s="1" t="s">
        <v>686</v>
      </c>
      <c r="B133" s="1" t="s">
        <v>687</v>
      </c>
      <c r="C133" s="1" t="s">
        <v>212</v>
      </c>
      <c r="D133" s="1" t="s">
        <v>291</v>
      </c>
      <c r="E133" s="1" t="s">
        <v>855</v>
      </c>
      <c r="F133" s="1" t="s">
        <v>1040</v>
      </c>
      <c r="G133" s="1" t="s">
        <v>134</v>
      </c>
      <c r="H133" s="1" t="str">
        <f>VLOOKUP(G133,dataNodes!$B$2:$C$19,2,FALSE)</f>
        <v>Quality</v>
      </c>
      <c r="I133" s="1" t="str">
        <f t="shared" si="2"/>
        <v>d03</v>
      </c>
      <c r="J133" s="1" t="s">
        <v>1090</v>
      </c>
    </row>
    <row r="134" spans="1:10" x14ac:dyDescent="0.3">
      <c r="A134" s="1" t="s">
        <v>688</v>
      </c>
      <c r="B134" s="1" t="s">
        <v>689</v>
      </c>
      <c r="C134" s="1" t="s">
        <v>35</v>
      </c>
      <c r="D134" s="1" t="s">
        <v>297</v>
      </c>
      <c r="E134" s="1" t="s">
        <v>856</v>
      </c>
      <c r="F134" s="1" t="s">
        <v>1041</v>
      </c>
      <c r="G134" s="1" t="s">
        <v>133</v>
      </c>
      <c r="H134" s="1" t="str">
        <f>VLOOKUP(G134,dataNodes!$B$2:$C$19,2,FALSE)</f>
        <v>Infrastructure</v>
      </c>
      <c r="I134" s="1" t="str">
        <f t="shared" si="2"/>
        <v>d02</v>
      </c>
    </row>
    <row r="135" spans="1:10" x14ac:dyDescent="0.3">
      <c r="A135" s="1" t="s">
        <v>688</v>
      </c>
      <c r="B135" s="1" t="s">
        <v>689</v>
      </c>
      <c r="C135" s="1" t="s">
        <v>35</v>
      </c>
      <c r="D135" s="1" t="s">
        <v>297</v>
      </c>
      <c r="E135" s="1" t="s">
        <v>856</v>
      </c>
      <c r="F135" s="1" t="s">
        <v>1042</v>
      </c>
      <c r="G135" s="1" t="s">
        <v>132</v>
      </c>
      <c r="H135" s="1" t="str">
        <f>VLOOKUP(G135,dataNodes!$B$2:$C$19,2,FALSE)</f>
        <v>Infrastructure</v>
      </c>
      <c r="I135" s="1" t="str">
        <f t="shared" si="2"/>
        <v>d01</v>
      </c>
    </row>
    <row r="136" spans="1:10" x14ac:dyDescent="0.3">
      <c r="A136" s="1" t="s">
        <v>690</v>
      </c>
      <c r="B136" s="1" t="s">
        <v>691</v>
      </c>
      <c r="C136" s="1" t="s">
        <v>692</v>
      </c>
      <c r="D136" s="1" t="s">
        <v>297</v>
      </c>
      <c r="E136" s="1" t="s">
        <v>857</v>
      </c>
      <c r="F136" s="1" t="s">
        <v>1023</v>
      </c>
      <c r="G136" s="1" t="s">
        <v>55</v>
      </c>
      <c r="H136" s="1" t="str">
        <f>VLOOKUP(G136,dataNodes!$B$2:$C$19,2,FALSE)</f>
        <v>Quantity</v>
      </c>
      <c r="I136" s="1" t="str">
        <f t="shared" si="2"/>
        <v>d13</v>
      </c>
    </row>
    <row r="137" spans="1:10" x14ac:dyDescent="0.3">
      <c r="A137" s="1" t="s">
        <v>690</v>
      </c>
      <c r="B137" s="1" t="s">
        <v>691</v>
      </c>
      <c r="C137" s="1" t="s">
        <v>692</v>
      </c>
      <c r="D137" s="1" t="s">
        <v>297</v>
      </c>
      <c r="E137" s="1" t="s">
        <v>857</v>
      </c>
      <c r="F137" s="1" t="s">
        <v>1043</v>
      </c>
      <c r="G137" s="1" t="s">
        <v>122</v>
      </c>
      <c r="H137" s="1" t="str">
        <f>VLOOKUP(G137,dataNodes!$B$2:$C$19,2,FALSE)</f>
        <v>Quantity</v>
      </c>
      <c r="I137" s="1" t="str">
        <f t="shared" si="2"/>
        <v>d09</v>
      </c>
    </row>
    <row r="138" spans="1:10" x14ac:dyDescent="0.3">
      <c r="A138" s="1" t="s">
        <v>690</v>
      </c>
      <c r="B138" s="1" t="s">
        <v>691</v>
      </c>
      <c r="C138" s="1" t="s">
        <v>692</v>
      </c>
      <c r="D138" s="1" t="s">
        <v>297</v>
      </c>
      <c r="E138" s="1" t="s">
        <v>857</v>
      </c>
      <c r="F138" s="1" t="s">
        <v>1044</v>
      </c>
      <c r="G138" s="1" t="s">
        <v>134</v>
      </c>
      <c r="H138" s="1" t="str">
        <f>VLOOKUP(G138,dataNodes!$B$2:$C$19,2,FALSE)</f>
        <v>Quality</v>
      </c>
      <c r="I138" s="1" t="str">
        <f t="shared" si="2"/>
        <v>d03</v>
      </c>
    </row>
    <row r="139" spans="1:10" x14ac:dyDescent="0.3">
      <c r="A139" s="1" t="s">
        <v>690</v>
      </c>
      <c r="B139" s="1" t="s">
        <v>691</v>
      </c>
      <c r="C139" s="1" t="s">
        <v>692</v>
      </c>
      <c r="D139" s="1" t="s">
        <v>297</v>
      </c>
      <c r="E139" s="1" t="s">
        <v>857</v>
      </c>
      <c r="F139" s="1" t="s">
        <v>993</v>
      </c>
      <c r="G139" s="1" t="s">
        <v>129</v>
      </c>
      <c r="H139" s="1" t="str">
        <f>VLOOKUP(G139,dataNodes!$B$2:$C$19,2,FALSE)</f>
        <v>Quantity</v>
      </c>
      <c r="I139" s="1" t="str">
        <f t="shared" si="2"/>
        <v>d12</v>
      </c>
    </row>
    <row r="140" spans="1:10" x14ac:dyDescent="0.3">
      <c r="A140" s="1" t="s">
        <v>690</v>
      </c>
      <c r="B140" s="1" t="s">
        <v>691</v>
      </c>
      <c r="C140" s="1" t="s">
        <v>692</v>
      </c>
      <c r="D140" s="1" t="s">
        <v>297</v>
      </c>
      <c r="E140" s="1" t="s">
        <v>857</v>
      </c>
      <c r="F140" s="1" t="s">
        <v>124</v>
      </c>
      <c r="G140" s="1" t="s">
        <v>124</v>
      </c>
      <c r="H140" s="1" t="str">
        <f>VLOOKUP(G140,dataNodes!$B$2:$C$19,2,FALSE)</f>
        <v>Quantity</v>
      </c>
      <c r="I140" s="1" t="str">
        <f t="shared" si="2"/>
        <v>d10</v>
      </c>
    </row>
    <row r="141" spans="1:10" x14ac:dyDescent="0.3">
      <c r="A141" s="1" t="s">
        <v>690</v>
      </c>
      <c r="B141" s="1" t="s">
        <v>691</v>
      </c>
      <c r="C141" s="1" t="s">
        <v>692</v>
      </c>
      <c r="D141" s="1" t="s">
        <v>297</v>
      </c>
      <c r="E141" s="1" t="s">
        <v>857</v>
      </c>
      <c r="F141" s="1" t="s">
        <v>1045</v>
      </c>
      <c r="G141" s="1" t="s">
        <v>137</v>
      </c>
      <c r="H141" s="1" t="str">
        <f>VLOOKUP(G141,dataNodes!$B$2:$C$19,2,FALSE)</f>
        <v>Quantity</v>
      </c>
      <c r="I141" s="1" t="str">
        <f t="shared" si="2"/>
        <v>d06</v>
      </c>
    </row>
    <row r="142" spans="1:10" x14ac:dyDescent="0.3">
      <c r="A142" s="1" t="s">
        <v>693</v>
      </c>
      <c r="B142" s="1" t="s">
        <v>694</v>
      </c>
      <c r="C142" s="1" t="s">
        <v>309</v>
      </c>
      <c r="D142" s="1" t="s">
        <v>297</v>
      </c>
      <c r="E142" s="1" t="s">
        <v>858</v>
      </c>
      <c r="F142" s="1" t="s">
        <v>1046</v>
      </c>
      <c r="G142" s="1" t="s">
        <v>56</v>
      </c>
      <c r="H142" s="1" t="str">
        <f>VLOOKUP(G142,dataNodes!$B$2:$C$19,2,FALSE)</f>
        <v>Quantity</v>
      </c>
      <c r="I142" s="1" t="str">
        <f t="shared" si="2"/>
        <v>d11</v>
      </c>
    </row>
    <row r="143" spans="1:10" x14ac:dyDescent="0.3">
      <c r="A143" s="1" t="s">
        <v>693</v>
      </c>
      <c r="B143" s="1" t="s">
        <v>694</v>
      </c>
      <c r="C143" s="1" t="s">
        <v>309</v>
      </c>
      <c r="D143" s="1" t="s">
        <v>297</v>
      </c>
      <c r="E143" s="1" t="s">
        <v>858</v>
      </c>
      <c r="F143" s="1" t="s">
        <v>1047</v>
      </c>
      <c r="G143" s="1" t="s">
        <v>55</v>
      </c>
      <c r="H143" s="1" t="str">
        <f>VLOOKUP(G143,dataNodes!$B$2:$C$19,2,FALSE)</f>
        <v>Quantity</v>
      </c>
      <c r="I143" s="1" t="str">
        <f t="shared" si="2"/>
        <v>d13</v>
      </c>
    </row>
    <row r="144" spans="1:10" x14ac:dyDescent="0.3">
      <c r="A144" s="1" t="s">
        <v>695</v>
      </c>
      <c r="B144" s="1" t="s">
        <v>696</v>
      </c>
      <c r="C144" s="1" t="s">
        <v>309</v>
      </c>
      <c r="D144" s="1" t="s">
        <v>297</v>
      </c>
      <c r="E144" s="1" t="s">
        <v>859</v>
      </c>
      <c r="F144" s="1" t="s">
        <v>1048</v>
      </c>
      <c r="G144" s="1" t="s">
        <v>56</v>
      </c>
      <c r="H144" s="1" t="str">
        <f>VLOOKUP(G144,dataNodes!$B$2:$C$19,2,FALSE)</f>
        <v>Quantity</v>
      </c>
      <c r="I144" s="1" t="str">
        <f t="shared" si="2"/>
        <v>d11</v>
      </c>
    </row>
    <row r="145" spans="1:9" x14ac:dyDescent="0.3">
      <c r="A145" s="1" t="s">
        <v>695</v>
      </c>
      <c r="B145" s="1" t="s">
        <v>696</v>
      </c>
      <c r="C145" s="1" t="s">
        <v>309</v>
      </c>
      <c r="D145" s="1" t="s">
        <v>297</v>
      </c>
      <c r="E145" s="1" t="s">
        <v>859</v>
      </c>
      <c r="F145" s="1" t="s">
        <v>1023</v>
      </c>
      <c r="G145" s="1" t="s">
        <v>55</v>
      </c>
      <c r="H145" s="1" t="str">
        <f>VLOOKUP(G145,dataNodes!$B$2:$C$19,2,FALSE)</f>
        <v>Quantity</v>
      </c>
      <c r="I145" s="1" t="str">
        <f t="shared" si="2"/>
        <v>d13</v>
      </c>
    </row>
    <row r="146" spans="1:9" x14ac:dyDescent="0.3">
      <c r="A146" s="1" t="s">
        <v>697</v>
      </c>
      <c r="B146" s="1" t="s">
        <v>698</v>
      </c>
      <c r="C146" s="1" t="s">
        <v>692</v>
      </c>
      <c r="D146" s="1" t="s">
        <v>297</v>
      </c>
      <c r="E146" s="1" t="s">
        <v>860</v>
      </c>
      <c r="F146" s="1" t="s">
        <v>1025</v>
      </c>
      <c r="G146" s="1" t="s">
        <v>56</v>
      </c>
      <c r="H146" s="1" t="str">
        <f>VLOOKUP(G146,dataNodes!$B$2:$C$19,2,FALSE)</f>
        <v>Quantity</v>
      </c>
      <c r="I146" s="1" t="str">
        <f t="shared" si="2"/>
        <v>d11</v>
      </c>
    </row>
    <row r="147" spans="1:9" x14ac:dyDescent="0.3">
      <c r="A147" s="1" t="s">
        <v>697</v>
      </c>
      <c r="B147" s="1" t="s">
        <v>698</v>
      </c>
      <c r="C147" s="1" t="s">
        <v>692</v>
      </c>
      <c r="D147" s="1" t="s">
        <v>297</v>
      </c>
      <c r="E147" s="1" t="s">
        <v>860</v>
      </c>
      <c r="F147" s="1" t="s">
        <v>157</v>
      </c>
      <c r="G147" s="1" t="s">
        <v>55</v>
      </c>
      <c r="H147" s="1" t="str">
        <f>VLOOKUP(G147,dataNodes!$B$2:$C$19,2,FALSE)</f>
        <v>Quantity</v>
      </c>
      <c r="I147" s="1" t="str">
        <f t="shared" ref="I147:I197" si="3">VLOOKUP(G147,$M$2:$N$19,2,FALSE)</f>
        <v>d13</v>
      </c>
    </row>
    <row r="148" spans="1:9" x14ac:dyDescent="0.3">
      <c r="A148" s="1" t="s">
        <v>697</v>
      </c>
      <c r="B148" s="1" t="s">
        <v>698</v>
      </c>
      <c r="C148" s="1" t="s">
        <v>692</v>
      </c>
      <c r="D148" s="1" t="s">
        <v>297</v>
      </c>
      <c r="E148" s="1" t="s">
        <v>860</v>
      </c>
      <c r="F148" s="1" t="s">
        <v>1049</v>
      </c>
      <c r="G148" s="1" t="s">
        <v>124</v>
      </c>
      <c r="H148" s="1" t="str">
        <f>VLOOKUP(G148,dataNodes!$B$2:$C$19,2,FALSE)</f>
        <v>Quantity</v>
      </c>
      <c r="I148" s="1" t="str">
        <f t="shared" si="3"/>
        <v>d10</v>
      </c>
    </row>
    <row r="149" spans="1:9" x14ac:dyDescent="0.3">
      <c r="A149" s="1" t="s">
        <v>697</v>
      </c>
      <c r="B149" s="1" t="s">
        <v>698</v>
      </c>
      <c r="C149" s="1" t="s">
        <v>692</v>
      </c>
      <c r="D149" s="1" t="s">
        <v>297</v>
      </c>
      <c r="E149" s="1" t="s">
        <v>860</v>
      </c>
      <c r="F149" s="1" t="s">
        <v>1050</v>
      </c>
      <c r="G149" s="1" t="s">
        <v>122</v>
      </c>
      <c r="H149" s="1" t="str">
        <f>VLOOKUP(G149,dataNodes!$B$2:$C$19,2,FALSE)</f>
        <v>Quantity</v>
      </c>
      <c r="I149" s="1" t="str">
        <f t="shared" si="3"/>
        <v>d09</v>
      </c>
    </row>
    <row r="150" spans="1:9" x14ac:dyDescent="0.3">
      <c r="A150" s="1" t="s">
        <v>699</v>
      </c>
      <c r="B150" s="1" t="s">
        <v>700</v>
      </c>
      <c r="C150" s="1" t="s">
        <v>701</v>
      </c>
      <c r="D150" s="1" t="s">
        <v>297</v>
      </c>
      <c r="E150" s="1" t="s">
        <v>861</v>
      </c>
      <c r="F150" s="1" t="s">
        <v>1051</v>
      </c>
      <c r="G150" s="1" t="s">
        <v>132</v>
      </c>
      <c r="H150" s="1" t="str">
        <f>VLOOKUP(G150,dataNodes!$B$2:$C$19,2,FALSE)</f>
        <v>Infrastructure</v>
      </c>
      <c r="I150" s="1" t="str">
        <f t="shared" si="3"/>
        <v>d01</v>
      </c>
    </row>
    <row r="151" spans="1:9" x14ac:dyDescent="0.3">
      <c r="A151" s="1" t="s">
        <v>702</v>
      </c>
      <c r="B151" s="1" t="s">
        <v>40</v>
      </c>
      <c r="C151" s="1" t="s">
        <v>301</v>
      </c>
      <c r="D151" s="1" t="s">
        <v>297</v>
      </c>
      <c r="E151" s="1" t="s">
        <v>862</v>
      </c>
      <c r="F151" s="1" t="s">
        <v>1052</v>
      </c>
      <c r="G151" s="1" t="s">
        <v>56</v>
      </c>
      <c r="H151" s="1" t="str">
        <f>VLOOKUP(G151,dataNodes!$B$2:$C$19,2,FALSE)</f>
        <v>Quantity</v>
      </c>
      <c r="I151" s="1" t="str">
        <f t="shared" si="3"/>
        <v>d11</v>
      </c>
    </row>
    <row r="152" spans="1:9" x14ac:dyDescent="0.3">
      <c r="A152" s="1" t="s">
        <v>702</v>
      </c>
      <c r="B152" s="1" t="s">
        <v>40</v>
      </c>
      <c r="C152" s="1" t="s">
        <v>301</v>
      </c>
      <c r="D152" s="1" t="s">
        <v>297</v>
      </c>
      <c r="E152" s="1" t="s">
        <v>862</v>
      </c>
      <c r="F152" s="1" t="s">
        <v>1053</v>
      </c>
      <c r="G152" s="1" t="s">
        <v>141</v>
      </c>
      <c r="H152" s="1" t="str">
        <f>VLOOKUP(G152,dataNodes!$B$2:$C$19,2,FALSE)</f>
        <v>Use</v>
      </c>
      <c r="I152" s="1" t="str">
        <f t="shared" si="3"/>
        <v>d16</v>
      </c>
    </row>
    <row r="153" spans="1:9" x14ac:dyDescent="0.3">
      <c r="A153" s="1" t="s">
        <v>703</v>
      </c>
      <c r="B153" s="1" t="s">
        <v>704</v>
      </c>
      <c r="C153" s="1" t="s">
        <v>305</v>
      </c>
      <c r="D153" s="1" t="s">
        <v>297</v>
      </c>
      <c r="E153" s="1" t="s">
        <v>863</v>
      </c>
      <c r="F153" s="1" t="s">
        <v>134</v>
      </c>
      <c r="G153" s="1" t="s">
        <v>134</v>
      </c>
      <c r="H153" s="1" t="str">
        <f>VLOOKUP(G153,dataNodes!$B$2:$C$19,2,FALSE)</f>
        <v>Quality</v>
      </c>
      <c r="I153" s="1" t="str">
        <f t="shared" si="3"/>
        <v>d03</v>
      </c>
    </row>
    <row r="154" spans="1:9" x14ac:dyDescent="0.3">
      <c r="A154" s="1" t="s">
        <v>703</v>
      </c>
      <c r="B154" s="1" t="s">
        <v>704</v>
      </c>
      <c r="C154" s="1" t="s">
        <v>305</v>
      </c>
      <c r="D154" s="1" t="s">
        <v>297</v>
      </c>
      <c r="E154" s="1" t="s">
        <v>863</v>
      </c>
      <c r="F154" s="1" t="s">
        <v>1054</v>
      </c>
      <c r="G154" s="1" t="s">
        <v>126</v>
      </c>
      <c r="H154" s="1" t="str">
        <f>VLOOKUP(G154,dataNodes!$B$2:$C$19,2,FALSE)</f>
        <v>Quality</v>
      </c>
      <c r="I154" s="1" t="str">
        <f t="shared" si="3"/>
        <v>d04</v>
      </c>
    </row>
    <row r="155" spans="1:9" x14ac:dyDescent="0.3">
      <c r="A155" s="1" t="s">
        <v>705</v>
      </c>
      <c r="B155" s="1" t="s">
        <v>706</v>
      </c>
      <c r="C155" s="1" t="s">
        <v>305</v>
      </c>
      <c r="D155" s="1" t="s">
        <v>297</v>
      </c>
      <c r="E155" s="1" t="s">
        <v>864</v>
      </c>
      <c r="F155" s="1" t="s">
        <v>965</v>
      </c>
      <c r="G155" s="1" t="s">
        <v>134</v>
      </c>
      <c r="H155" s="1" t="str">
        <f>VLOOKUP(G155,dataNodes!$B$2:$C$19,2,FALSE)</f>
        <v>Quality</v>
      </c>
      <c r="I155" s="1" t="str">
        <f t="shared" si="3"/>
        <v>d03</v>
      </c>
    </row>
    <row r="156" spans="1:9" x14ac:dyDescent="0.3">
      <c r="A156" s="1" t="s">
        <v>705</v>
      </c>
      <c r="B156" s="1" t="s">
        <v>706</v>
      </c>
      <c r="C156" s="1" t="s">
        <v>305</v>
      </c>
      <c r="D156" s="1" t="s">
        <v>297</v>
      </c>
      <c r="E156" s="1" t="s">
        <v>864</v>
      </c>
      <c r="F156" s="1" t="s">
        <v>1055</v>
      </c>
      <c r="G156" s="1" t="s">
        <v>122</v>
      </c>
      <c r="H156" s="1" t="str">
        <f>VLOOKUP(G156,dataNodes!$B$2:$C$19,2,FALSE)</f>
        <v>Quantity</v>
      </c>
      <c r="I156" s="1" t="str">
        <f t="shared" si="3"/>
        <v>d09</v>
      </c>
    </row>
    <row r="157" spans="1:9" x14ac:dyDescent="0.3">
      <c r="A157" s="1" t="s">
        <v>705</v>
      </c>
      <c r="B157" s="1" t="s">
        <v>706</v>
      </c>
      <c r="C157" s="1" t="s">
        <v>305</v>
      </c>
      <c r="D157" s="1" t="s">
        <v>297</v>
      </c>
      <c r="E157" s="1" t="s">
        <v>864</v>
      </c>
      <c r="F157" s="1" t="s">
        <v>1056</v>
      </c>
      <c r="G157" s="1" t="s">
        <v>124</v>
      </c>
      <c r="H157" s="1" t="str">
        <f>VLOOKUP(G157,dataNodes!$B$2:$C$19,2,FALSE)</f>
        <v>Quantity</v>
      </c>
      <c r="I157" s="1" t="str">
        <f t="shared" si="3"/>
        <v>d10</v>
      </c>
    </row>
    <row r="158" spans="1:9" x14ac:dyDescent="0.3">
      <c r="A158" s="1" t="s">
        <v>705</v>
      </c>
      <c r="B158" s="1" t="s">
        <v>706</v>
      </c>
      <c r="C158" s="1" t="s">
        <v>305</v>
      </c>
      <c r="D158" s="1" t="s">
        <v>297</v>
      </c>
      <c r="E158" s="1" t="s">
        <v>864</v>
      </c>
      <c r="F158" s="1" t="s">
        <v>1023</v>
      </c>
      <c r="G158" s="1" t="s">
        <v>55</v>
      </c>
      <c r="H158" s="1" t="str">
        <f>VLOOKUP(G158,dataNodes!$B$2:$C$19,2,FALSE)</f>
        <v>Quantity</v>
      </c>
      <c r="I158" s="1" t="str">
        <f t="shared" si="3"/>
        <v>d13</v>
      </c>
    </row>
    <row r="159" spans="1:9" x14ac:dyDescent="0.3">
      <c r="A159" s="1" t="s">
        <v>707</v>
      </c>
      <c r="B159" s="1" t="s">
        <v>708</v>
      </c>
      <c r="C159" s="1" t="s">
        <v>212</v>
      </c>
      <c r="D159" s="1" t="s">
        <v>320</v>
      </c>
      <c r="E159" s="1" t="s">
        <v>865</v>
      </c>
      <c r="F159" s="1" t="s">
        <v>1057</v>
      </c>
      <c r="G159" s="1" t="s">
        <v>134</v>
      </c>
      <c r="H159" s="1" t="str">
        <f>VLOOKUP(G159,dataNodes!$B$2:$C$19,2,FALSE)</f>
        <v>Quality</v>
      </c>
      <c r="I159" s="1" t="str">
        <f t="shared" si="3"/>
        <v>d03</v>
      </c>
    </row>
    <row r="160" spans="1:9" x14ac:dyDescent="0.3">
      <c r="A160" s="1" t="s">
        <v>707</v>
      </c>
      <c r="B160" s="1" t="s">
        <v>708</v>
      </c>
      <c r="C160" s="1" t="s">
        <v>212</v>
      </c>
      <c r="D160" s="1" t="s">
        <v>320</v>
      </c>
      <c r="E160" s="1" t="s">
        <v>865</v>
      </c>
      <c r="F160" s="1" t="s">
        <v>1058</v>
      </c>
      <c r="G160" s="1" t="s">
        <v>122</v>
      </c>
      <c r="H160" s="1" t="str">
        <f>VLOOKUP(G160,dataNodes!$B$2:$C$19,2,FALSE)</f>
        <v>Quantity</v>
      </c>
      <c r="I160" s="1" t="str">
        <f t="shared" si="3"/>
        <v>d09</v>
      </c>
    </row>
    <row r="161" spans="1:9" x14ac:dyDescent="0.3">
      <c r="A161" s="1" t="s">
        <v>707</v>
      </c>
      <c r="B161" s="1" t="s">
        <v>708</v>
      </c>
      <c r="C161" s="1" t="s">
        <v>212</v>
      </c>
      <c r="D161" s="1" t="s">
        <v>320</v>
      </c>
      <c r="E161" s="1" t="s">
        <v>865</v>
      </c>
      <c r="F161" s="1" t="s">
        <v>1035</v>
      </c>
      <c r="G161" s="1" t="s">
        <v>124</v>
      </c>
      <c r="H161" s="1" t="str">
        <f>VLOOKUP(G161,dataNodes!$B$2:$C$19,2,FALSE)</f>
        <v>Quantity</v>
      </c>
      <c r="I161" s="1" t="str">
        <f t="shared" si="3"/>
        <v>d10</v>
      </c>
    </row>
    <row r="162" spans="1:9" x14ac:dyDescent="0.3">
      <c r="A162" s="1" t="s">
        <v>709</v>
      </c>
      <c r="B162" s="1" t="s">
        <v>710</v>
      </c>
      <c r="C162" s="1" t="s">
        <v>711</v>
      </c>
      <c r="D162" s="1" t="s">
        <v>320</v>
      </c>
      <c r="E162" s="1" t="s">
        <v>866</v>
      </c>
      <c r="F162" s="1" t="s">
        <v>1059</v>
      </c>
      <c r="G162" s="1" t="s">
        <v>56</v>
      </c>
      <c r="H162" s="1" t="str">
        <f>VLOOKUP(G162,dataNodes!$B$2:$C$19,2,FALSE)</f>
        <v>Quantity</v>
      </c>
      <c r="I162" s="1" t="str">
        <f t="shared" si="3"/>
        <v>d11</v>
      </c>
    </row>
    <row r="163" spans="1:9" x14ac:dyDescent="0.3">
      <c r="A163" s="1" t="s">
        <v>709</v>
      </c>
      <c r="B163" s="1" t="s">
        <v>710</v>
      </c>
      <c r="C163" s="1" t="s">
        <v>711</v>
      </c>
      <c r="D163" s="1" t="s">
        <v>320</v>
      </c>
      <c r="E163" s="1" t="s">
        <v>866</v>
      </c>
      <c r="F163" s="1" t="s">
        <v>970</v>
      </c>
      <c r="G163" s="1" t="s">
        <v>113</v>
      </c>
      <c r="H163" s="1" t="str">
        <f>VLOOKUP(G163,dataNodes!$B$2:$C$19,2,FALSE)</f>
        <v>Quantity</v>
      </c>
      <c r="I163" s="1" t="str">
        <f t="shared" si="3"/>
        <v>d05</v>
      </c>
    </row>
    <row r="164" spans="1:9" x14ac:dyDescent="0.3">
      <c r="A164" s="1" t="s">
        <v>709</v>
      </c>
      <c r="B164" s="1" t="s">
        <v>710</v>
      </c>
      <c r="C164" s="1" t="s">
        <v>711</v>
      </c>
      <c r="D164" s="1" t="s">
        <v>320</v>
      </c>
      <c r="E164" s="1" t="s">
        <v>866</v>
      </c>
      <c r="F164" s="1" t="s">
        <v>1049</v>
      </c>
      <c r="G164" s="1" t="s">
        <v>124</v>
      </c>
      <c r="H164" s="1" t="str">
        <f>VLOOKUP(G164,dataNodes!$B$2:$C$19,2,FALSE)</f>
        <v>Quantity</v>
      </c>
      <c r="I164" s="1" t="str">
        <f t="shared" si="3"/>
        <v>d10</v>
      </c>
    </row>
    <row r="165" spans="1:9" x14ac:dyDescent="0.3">
      <c r="A165" s="1" t="s">
        <v>709</v>
      </c>
      <c r="B165" s="1" t="s">
        <v>710</v>
      </c>
      <c r="C165" s="1" t="s">
        <v>711</v>
      </c>
      <c r="D165" s="1" t="s">
        <v>320</v>
      </c>
      <c r="E165" s="1" t="s">
        <v>866</v>
      </c>
      <c r="F165" s="1" t="s">
        <v>1060</v>
      </c>
      <c r="G165" s="1" t="s">
        <v>55</v>
      </c>
      <c r="H165" s="1" t="str">
        <f>VLOOKUP(G165,dataNodes!$B$2:$C$19,2,FALSE)</f>
        <v>Quantity</v>
      </c>
      <c r="I165" s="1" t="str">
        <f t="shared" si="3"/>
        <v>d13</v>
      </c>
    </row>
    <row r="166" spans="1:9" x14ac:dyDescent="0.3">
      <c r="A166" s="1" t="s">
        <v>709</v>
      </c>
      <c r="B166" s="1" t="s">
        <v>710</v>
      </c>
      <c r="C166" s="1" t="s">
        <v>711</v>
      </c>
      <c r="D166" s="1" t="s">
        <v>320</v>
      </c>
      <c r="E166" s="1" t="s">
        <v>866</v>
      </c>
      <c r="F166" s="1" t="s">
        <v>1061</v>
      </c>
      <c r="G166" s="1" t="s">
        <v>141</v>
      </c>
      <c r="H166" s="1" t="str">
        <f>VLOOKUP(G166,dataNodes!$B$2:$C$19,2,FALSE)</f>
        <v>Use</v>
      </c>
      <c r="I166" s="1" t="str">
        <f t="shared" si="3"/>
        <v>d16</v>
      </c>
    </row>
    <row r="167" spans="1:9" x14ac:dyDescent="0.3">
      <c r="A167" s="1" t="s">
        <v>712</v>
      </c>
      <c r="B167" s="1" t="s">
        <v>713</v>
      </c>
      <c r="C167" s="1" t="s">
        <v>329</v>
      </c>
      <c r="D167" s="1" t="s">
        <v>325</v>
      </c>
      <c r="E167" s="1" t="s">
        <v>495</v>
      </c>
      <c r="F167" s="1" t="s">
        <v>677</v>
      </c>
      <c r="G167" s="1" t="s">
        <v>126</v>
      </c>
      <c r="H167" s="1" t="str">
        <f>VLOOKUP(G167,dataNodes!$B$2:$C$19,2,FALSE)</f>
        <v>Quality</v>
      </c>
      <c r="I167" s="1" t="str">
        <f t="shared" si="3"/>
        <v>d04</v>
      </c>
    </row>
    <row r="168" spans="1:9" x14ac:dyDescent="0.3">
      <c r="A168" s="1" t="s">
        <v>712</v>
      </c>
      <c r="B168" s="1" t="s">
        <v>713</v>
      </c>
      <c r="C168" s="1" t="s">
        <v>329</v>
      </c>
      <c r="D168" s="1" t="s">
        <v>325</v>
      </c>
      <c r="E168" s="1" t="s">
        <v>495</v>
      </c>
      <c r="F168" s="1" t="s">
        <v>677</v>
      </c>
      <c r="G168" s="1" t="s">
        <v>99</v>
      </c>
      <c r="H168" s="1" t="str">
        <f>VLOOKUP(G168,dataNodes!$B$2:$C$19,2,FALSE)</f>
        <v>Use</v>
      </c>
      <c r="I168" s="1" t="str">
        <f t="shared" si="3"/>
        <v>d17</v>
      </c>
    </row>
    <row r="169" spans="1:9" x14ac:dyDescent="0.3">
      <c r="A169" s="1" t="s">
        <v>714</v>
      </c>
      <c r="B169" s="1" t="s">
        <v>708</v>
      </c>
      <c r="C169" s="1" t="s">
        <v>212</v>
      </c>
      <c r="D169" s="1" t="s">
        <v>325</v>
      </c>
      <c r="E169" s="1" t="s">
        <v>495</v>
      </c>
      <c r="F169" s="1" t="s">
        <v>965</v>
      </c>
      <c r="G169" s="1" t="s">
        <v>134</v>
      </c>
      <c r="H169" s="1" t="str">
        <f>VLOOKUP(G169,dataNodes!$B$2:$C$19,2,FALSE)</f>
        <v>Quality</v>
      </c>
      <c r="I169" s="1" t="str">
        <f t="shared" si="3"/>
        <v>d03</v>
      </c>
    </row>
    <row r="170" spans="1:9" x14ac:dyDescent="0.3">
      <c r="A170" s="1" t="s">
        <v>715</v>
      </c>
      <c r="B170" s="1" t="s">
        <v>716</v>
      </c>
      <c r="C170" s="1" t="s">
        <v>331</v>
      </c>
      <c r="D170" s="1" t="s">
        <v>333</v>
      </c>
      <c r="E170" s="1" t="s">
        <v>867</v>
      </c>
      <c r="F170" s="1" t="s">
        <v>1062</v>
      </c>
      <c r="G170" s="1" t="s">
        <v>134</v>
      </c>
      <c r="H170" s="1" t="str">
        <f>VLOOKUP(G170,dataNodes!$B$2:$C$19,2,FALSE)</f>
        <v>Quality</v>
      </c>
      <c r="I170" s="1" t="str">
        <f t="shared" si="3"/>
        <v>d03</v>
      </c>
    </row>
    <row r="171" spans="1:9" x14ac:dyDescent="0.3">
      <c r="A171" s="1" t="s">
        <v>717</v>
      </c>
      <c r="B171" s="1" t="s">
        <v>718</v>
      </c>
      <c r="C171" s="1" t="s">
        <v>331</v>
      </c>
      <c r="D171" s="1" t="s">
        <v>333</v>
      </c>
      <c r="E171" s="1" t="s">
        <v>868</v>
      </c>
      <c r="F171" s="1" t="s">
        <v>1063</v>
      </c>
      <c r="G171" s="1" t="s">
        <v>55</v>
      </c>
      <c r="H171" s="1" t="str">
        <f>VLOOKUP(G171,dataNodes!$B$2:$C$19,2,FALSE)</f>
        <v>Quantity</v>
      </c>
      <c r="I171" s="1" t="str">
        <f t="shared" si="3"/>
        <v>d13</v>
      </c>
    </row>
    <row r="172" spans="1:9" x14ac:dyDescent="0.3">
      <c r="A172" s="1" t="s">
        <v>719</v>
      </c>
      <c r="B172" s="1" t="s">
        <v>720</v>
      </c>
      <c r="C172" s="1" t="s">
        <v>336</v>
      </c>
      <c r="D172" s="1" t="s">
        <v>336</v>
      </c>
      <c r="E172" s="1" t="s">
        <v>869</v>
      </c>
      <c r="F172" s="1" t="s">
        <v>1064</v>
      </c>
      <c r="G172" s="1" t="s">
        <v>137</v>
      </c>
      <c r="H172" s="1" t="str">
        <f>VLOOKUP(G172,dataNodes!$B$2:$C$19,2,FALSE)</f>
        <v>Quantity</v>
      </c>
      <c r="I172" s="1" t="str">
        <f t="shared" si="3"/>
        <v>d06</v>
      </c>
    </row>
    <row r="173" spans="1:9" x14ac:dyDescent="0.3">
      <c r="A173" s="1" t="s">
        <v>721</v>
      </c>
      <c r="B173" s="1" t="s">
        <v>722</v>
      </c>
      <c r="C173" s="1" t="s">
        <v>268</v>
      </c>
      <c r="D173" s="1" t="s">
        <v>336</v>
      </c>
      <c r="E173" s="1" t="s">
        <v>870</v>
      </c>
      <c r="F173" s="1" t="s">
        <v>1065</v>
      </c>
      <c r="G173" s="1" t="s">
        <v>137</v>
      </c>
      <c r="H173" s="1" t="str">
        <f>VLOOKUP(G173,dataNodes!$B$2:$C$19,2,FALSE)</f>
        <v>Quantity</v>
      </c>
      <c r="I173" s="1" t="str">
        <f t="shared" si="3"/>
        <v>d06</v>
      </c>
    </row>
    <row r="174" spans="1:9" x14ac:dyDescent="0.3">
      <c r="A174" s="1" t="s">
        <v>723</v>
      </c>
      <c r="B174" s="1" t="s">
        <v>724</v>
      </c>
      <c r="C174" s="1" t="s">
        <v>212</v>
      </c>
      <c r="D174" s="1" t="s">
        <v>336</v>
      </c>
      <c r="E174" s="1" t="s">
        <v>871</v>
      </c>
      <c r="F174" s="1" t="s">
        <v>1057</v>
      </c>
      <c r="G174" s="1" t="s">
        <v>134</v>
      </c>
      <c r="H174" s="1" t="str">
        <f>VLOOKUP(G174,dataNodes!$B$2:$C$19,2,FALSE)</f>
        <v>Quality</v>
      </c>
      <c r="I174" s="1" t="str">
        <f t="shared" si="3"/>
        <v>d03</v>
      </c>
    </row>
    <row r="175" spans="1:9" x14ac:dyDescent="0.3">
      <c r="A175" s="1" t="s">
        <v>723</v>
      </c>
      <c r="B175" s="1" t="s">
        <v>724</v>
      </c>
      <c r="C175" s="1" t="s">
        <v>212</v>
      </c>
      <c r="D175" s="1" t="s">
        <v>336</v>
      </c>
      <c r="E175" s="1" t="s">
        <v>871</v>
      </c>
      <c r="F175" s="1" t="s">
        <v>1023</v>
      </c>
      <c r="G175" s="1" t="s">
        <v>55</v>
      </c>
      <c r="H175" s="1" t="str">
        <f>VLOOKUP(G175,dataNodes!$B$2:$C$19,2,FALSE)</f>
        <v>Quantity</v>
      </c>
      <c r="I175" s="1" t="str">
        <f t="shared" si="3"/>
        <v>d13</v>
      </c>
    </row>
    <row r="176" spans="1:9" x14ac:dyDescent="0.3">
      <c r="A176" s="1" t="s">
        <v>725</v>
      </c>
      <c r="B176" s="1" t="s">
        <v>726</v>
      </c>
      <c r="C176" s="1" t="s">
        <v>727</v>
      </c>
      <c r="D176" s="1" t="s">
        <v>343</v>
      </c>
      <c r="E176" s="1" t="s">
        <v>872</v>
      </c>
      <c r="F176" s="1" t="s">
        <v>1049</v>
      </c>
      <c r="G176" s="1" t="s">
        <v>124</v>
      </c>
      <c r="H176" s="1" t="str">
        <f>VLOOKUP(G176,dataNodes!$B$2:$C$19,2,FALSE)</f>
        <v>Quantity</v>
      </c>
      <c r="I176" s="1" t="str">
        <f t="shared" si="3"/>
        <v>d10</v>
      </c>
    </row>
    <row r="177" spans="1:9" x14ac:dyDescent="0.3">
      <c r="A177" s="1" t="s">
        <v>725</v>
      </c>
      <c r="B177" s="1" t="s">
        <v>726</v>
      </c>
      <c r="C177" s="1" t="s">
        <v>727</v>
      </c>
      <c r="D177" s="1" t="s">
        <v>343</v>
      </c>
      <c r="E177" s="1" t="s">
        <v>872</v>
      </c>
      <c r="F177" s="1" t="s">
        <v>1023</v>
      </c>
      <c r="G177" s="1" t="s">
        <v>55</v>
      </c>
      <c r="H177" s="1" t="str">
        <f>VLOOKUP(G177,dataNodes!$B$2:$C$19,2,FALSE)</f>
        <v>Quantity</v>
      </c>
      <c r="I177" s="1" t="str">
        <f t="shared" si="3"/>
        <v>d13</v>
      </c>
    </row>
    <row r="178" spans="1:9" x14ac:dyDescent="0.3">
      <c r="A178" s="1" t="s">
        <v>725</v>
      </c>
      <c r="B178" s="1" t="s">
        <v>726</v>
      </c>
      <c r="C178" s="1" t="s">
        <v>727</v>
      </c>
      <c r="D178" s="1" t="s">
        <v>343</v>
      </c>
      <c r="E178" s="1" t="s">
        <v>872</v>
      </c>
      <c r="F178" s="1" t="s">
        <v>1066</v>
      </c>
      <c r="G178" s="1" t="s">
        <v>56</v>
      </c>
      <c r="H178" s="1" t="str">
        <f>VLOOKUP(G178,dataNodes!$B$2:$C$19,2,FALSE)</f>
        <v>Quantity</v>
      </c>
      <c r="I178" s="1" t="str">
        <f t="shared" si="3"/>
        <v>d11</v>
      </c>
    </row>
    <row r="179" spans="1:9" x14ac:dyDescent="0.3">
      <c r="A179" s="1" t="s">
        <v>725</v>
      </c>
      <c r="B179" s="1" t="s">
        <v>726</v>
      </c>
      <c r="C179" s="1" t="s">
        <v>727</v>
      </c>
      <c r="D179" s="1" t="s">
        <v>343</v>
      </c>
      <c r="E179" s="1" t="s">
        <v>872</v>
      </c>
      <c r="F179" s="1" t="s">
        <v>1067</v>
      </c>
      <c r="G179" s="1" t="s">
        <v>122</v>
      </c>
      <c r="H179" s="1" t="str">
        <f>VLOOKUP(G179,dataNodes!$B$2:$C$19,2,FALSE)</f>
        <v>Quantity</v>
      </c>
      <c r="I179" s="1" t="str">
        <f t="shared" si="3"/>
        <v>d09</v>
      </c>
    </row>
    <row r="180" spans="1:9" x14ac:dyDescent="0.3">
      <c r="A180" s="1" t="s">
        <v>725</v>
      </c>
      <c r="B180" s="1" t="s">
        <v>726</v>
      </c>
      <c r="C180" s="1" t="s">
        <v>727</v>
      </c>
      <c r="D180" s="1" t="s">
        <v>343</v>
      </c>
      <c r="E180" s="1" t="s">
        <v>872</v>
      </c>
      <c r="F180" s="1" t="s">
        <v>1068</v>
      </c>
      <c r="G180" s="1" t="s">
        <v>134</v>
      </c>
      <c r="H180" s="1" t="str">
        <f>VLOOKUP(G180,dataNodes!$B$2:$C$19,2,FALSE)</f>
        <v>Quality</v>
      </c>
      <c r="I180" s="1" t="str">
        <f t="shared" si="3"/>
        <v>d03</v>
      </c>
    </row>
    <row r="181" spans="1:9" x14ac:dyDescent="0.3">
      <c r="A181" s="1" t="s">
        <v>728</v>
      </c>
      <c r="B181" s="1" t="s">
        <v>729</v>
      </c>
      <c r="C181" s="1" t="s">
        <v>730</v>
      </c>
      <c r="D181" s="1" t="s">
        <v>343</v>
      </c>
      <c r="E181" s="1" t="s">
        <v>873</v>
      </c>
      <c r="F181" s="1" t="s">
        <v>1069</v>
      </c>
      <c r="G181" s="1" t="s">
        <v>141</v>
      </c>
      <c r="H181" s="1" t="str">
        <f>VLOOKUP(G181,dataNodes!$B$2:$C$19,2,FALSE)</f>
        <v>Use</v>
      </c>
      <c r="I181" s="1" t="str">
        <f t="shared" si="3"/>
        <v>d16</v>
      </c>
    </row>
    <row r="182" spans="1:9" x14ac:dyDescent="0.3">
      <c r="A182" s="1" t="s">
        <v>731</v>
      </c>
      <c r="B182" s="1" t="s">
        <v>732</v>
      </c>
      <c r="C182" s="1" t="s">
        <v>730</v>
      </c>
      <c r="D182" s="1" t="s">
        <v>343</v>
      </c>
      <c r="E182" s="1" t="s">
        <v>874</v>
      </c>
      <c r="F182" s="1" t="s">
        <v>1070</v>
      </c>
      <c r="G182" s="1" t="s">
        <v>141</v>
      </c>
      <c r="H182" s="1" t="str">
        <f>VLOOKUP(G182,dataNodes!$B$2:$C$19,2,FALSE)</f>
        <v>Use</v>
      </c>
      <c r="I182" s="1" t="str">
        <f t="shared" si="3"/>
        <v>d16</v>
      </c>
    </row>
    <row r="183" spans="1:9" x14ac:dyDescent="0.3">
      <c r="A183" s="1" t="s">
        <v>733</v>
      </c>
      <c r="B183" s="1" t="s">
        <v>948</v>
      </c>
      <c r="C183" s="1" t="s">
        <v>735</v>
      </c>
      <c r="D183" s="1" t="s">
        <v>358</v>
      </c>
      <c r="E183" s="1" t="s">
        <v>875</v>
      </c>
      <c r="F183" s="1" t="s">
        <v>1071</v>
      </c>
      <c r="G183" s="1" t="s">
        <v>133</v>
      </c>
      <c r="H183" s="1" t="str">
        <f>VLOOKUP(G183,dataNodes!$B$2:$C$19,2,FALSE)</f>
        <v>Infrastructure</v>
      </c>
      <c r="I183" s="1" t="str">
        <f t="shared" si="3"/>
        <v>d02</v>
      </c>
    </row>
    <row r="184" spans="1:9" x14ac:dyDescent="0.3">
      <c r="A184" s="1" t="s">
        <v>733</v>
      </c>
      <c r="B184" s="1" t="s">
        <v>948</v>
      </c>
      <c r="C184" s="1" t="s">
        <v>735</v>
      </c>
      <c r="D184" s="1" t="s">
        <v>358</v>
      </c>
      <c r="E184" s="1" t="s">
        <v>875</v>
      </c>
      <c r="F184" s="1" t="s">
        <v>1057</v>
      </c>
      <c r="G184" s="1" t="s">
        <v>134</v>
      </c>
      <c r="H184" s="1" t="str">
        <f>VLOOKUP(G184,dataNodes!$B$2:$C$19,2,FALSE)</f>
        <v>Quality</v>
      </c>
      <c r="I184" s="1" t="str">
        <f t="shared" si="3"/>
        <v>d03</v>
      </c>
    </row>
    <row r="185" spans="1:9" x14ac:dyDescent="0.3">
      <c r="A185" s="1" t="s">
        <v>736</v>
      </c>
      <c r="B185" s="1" t="s">
        <v>737</v>
      </c>
      <c r="C185" s="1" t="s">
        <v>735</v>
      </c>
      <c r="D185" s="1" t="s">
        <v>358</v>
      </c>
      <c r="E185" s="1" t="s">
        <v>876</v>
      </c>
      <c r="F185" s="1" t="s">
        <v>1025</v>
      </c>
      <c r="G185" s="1" t="s">
        <v>56</v>
      </c>
      <c r="H185" s="1" t="str">
        <f>VLOOKUP(G185,dataNodes!$B$2:$C$19,2,FALSE)</f>
        <v>Quantity</v>
      </c>
      <c r="I185" s="1" t="str">
        <f t="shared" si="3"/>
        <v>d11</v>
      </c>
    </row>
    <row r="186" spans="1:9" x14ac:dyDescent="0.3">
      <c r="A186" s="1" t="s">
        <v>736</v>
      </c>
      <c r="B186" s="1" t="s">
        <v>737</v>
      </c>
      <c r="C186" s="1" t="s">
        <v>735</v>
      </c>
      <c r="D186" s="1" t="s">
        <v>358</v>
      </c>
      <c r="E186" s="1" t="s">
        <v>876</v>
      </c>
      <c r="F186" s="1" t="s">
        <v>1049</v>
      </c>
      <c r="G186" s="1" t="s">
        <v>124</v>
      </c>
      <c r="H186" s="1" t="str">
        <f>VLOOKUP(G186,dataNodes!$B$2:$C$19,2,FALSE)</f>
        <v>Quantity</v>
      </c>
      <c r="I186" s="1" t="str">
        <f t="shared" si="3"/>
        <v>d10</v>
      </c>
    </row>
    <row r="187" spans="1:9" x14ac:dyDescent="0.3">
      <c r="A187" s="1" t="s">
        <v>736</v>
      </c>
      <c r="B187" s="1" t="s">
        <v>737</v>
      </c>
      <c r="C187" s="1" t="s">
        <v>735</v>
      </c>
      <c r="D187" s="1" t="s">
        <v>358</v>
      </c>
      <c r="E187" s="1" t="s">
        <v>876</v>
      </c>
      <c r="F187" s="1" t="s">
        <v>1023</v>
      </c>
      <c r="G187" s="1" t="s">
        <v>55</v>
      </c>
      <c r="H187" s="1" t="str">
        <f>VLOOKUP(G187,dataNodes!$B$2:$C$19,2,FALSE)</f>
        <v>Quantity</v>
      </c>
      <c r="I187" s="1" t="str">
        <f t="shared" si="3"/>
        <v>d13</v>
      </c>
    </row>
    <row r="188" spans="1:9" x14ac:dyDescent="0.3">
      <c r="A188" s="1" t="s">
        <v>738</v>
      </c>
      <c r="B188" s="1" t="s">
        <v>739</v>
      </c>
      <c r="C188" s="1" t="s">
        <v>365</v>
      </c>
      <c r="D188" s="1" t="s">
        <v>365</v>
      </c>
      <c r="E188" s="1" t="s">
        <v>1072</v>
      </c>
      <c r="F188" s="1" t="s">
        <v>1073</v>
      </c>
      <c r="G188" s="1" t="s">
        <v>134</v>
      </c>
      <c r="H188" s="1" t="str">
        <f>VLOOKUP(G188,dataNodes!$B$2:$C$19,2,FALSE)</f>
        <v>Quality</v>
      </c>
      <c r="I188" s="1" t="str">
        <f t="shared" si="3"/>
        <v>d03</v>
      </c>
    </row>
    <row r="189" spans="1:9" x14ac:dyDescent="0.3">
      <c r="A189" s="1" t="s">
        <v>738</v>
      </c>
      <c r="B189" s="1" t="s">
        <v>739</v>
      </c>
      <c r="C189" s="1" t="s">
        <v>365</v>
      </c>
      <c r="D189" s="1" t="s">
        <v>365</v>
      </c>
      <c r="E189" s="1" t="s">
        <v>1072</v>
      </c>
      <c r="F189" s="1" t="s">
        <v>1074</v>
      </c>
      <c r="G189" s="1" t="s">
        <v>55</v>
      </c>
      <c r="H189" s="1" t="str">
        <f>VLOOKUP(G189,dataNodes!$B$2:$C$19,2,FALSE)</f>
        <v>Quantity</v>
      </c>
      <c r="I189" s="1" t="str">
        <f t="shared" si="3"/>
        <v>d13</v>
      </c>
    </row>
    <row r="190" spans="1:9" x14ac:dyDescent="0.3">
      <c r="A190" s="1" t="s">
        <v>738</v>
      </c>
      <c r="B190" s="1" t="s">
        <v>739</v>
      </c>
      <c r="C190" s="1" t="s">
        <v>365</v>
      </c>
      <c r="D190" s="1" t="s">
        <v>365</v>
      </c>
      <c r="E190" s="1" t="s">
        <v>1072</v>
      </c>
      <c r="F190" s="1" t="s">
        <v>1049</v>
      </c>
      <c r="G190" s="1" t="s">
        <v>124</v>
      </c>
      <c r="H190" s="1" t="str">
        <f>VLOOKUP(G190,dataNodes!$B$2:$C$19,2,FALSE)</f>
        <v>Quantity</v>
      </c>
      <c r="I190" s="1" t="str">
        <f t="shared" si="3"/>
        <v>d10</v>
      </c>
    </row>
    <row r="191" spans="1:9" x14ac:dyDescent="0.3">
      <c r="A191" s="1" t="s">
        <v>740</v>
      </c>
      <c r="B191" s="1" t="s">
        <v>741</v>
      </c>
      <c r="C191" s="1" t="s">
        <v>35</v>
      </c>
      <c r="D191" s="1" t="s">
        <v>949</v>
      </c>
      <c r="E191" s="1" t="s">
        <v>878</v>
      </c>
      <c r="F191" s="1" t="s">
        <v>1075</v>
      </c>
      <c r="G191" s="1" t="s">
        <v>132</v>
      </c>
      <c r="H191" s="1" t="str">
        <f>VLOOKUP(G191,dataNodes!$B$2:$C$19,2,FALSE)</f>
        <v>Infrastructure</v>
      </c>
      <c r="I191" s="1" t="str">
        <f t="shared" si="3"/>
        <v>d01</v>
      </c>
    </row>
    <row r="192" spans="1:9" x14ac:dyDescent="0.3">
      <c r="A192" s="1" t="s">
        <v>742</v>
      </c>
      <c r="B192" s="1" t="s">
        <v>743</v>
      </c>
      <c r="C192" s="1" t="s">
        <v>35</v>
      </c>
      <c r="D192" s="1" t="s">
        <v>949</v>
      </c>
      <c r="E192" s="1" t="s">
        <v>879</v>
      </c>
      <c r="F192" s="1" t="s">
        <v>1076</v>
      </c>
      <c r="G192" s="1" t="s">
        <v>126</v>
      </c>
      <c r="H192" s="1" t="str">
        <f>VLOOKUP(G192,dataNodes!$B$2:$C$19,2,FALSE)</f>
        <v>Quality</v>
      </c>
      <c r="I192" s="1" t="str">
        <f t="shared" si="3"/>
        <v>d04</v>
      </c>
    </row>
    <row r="193" spans="1:9" x14ac:dyDescent="0.3">
      <c r="A193" s="1" t="s">
        <v>744</v>
      </c>
      <c r="B193" s="1" t="s">
        <v>745</v>
      </c>
      <c r="C193" s="1" t="s">
        <v>746</v>
      </c>
      <c r="D193" s="1" t="s">
        <v>45</v>
      </c>
      <c r="E193" s="1" t="s">
        <v>880</v>
      </c>
      <c r="F193" s="1" t="s">
        <v>1077</v>
      </c>
      <c r="G193" s="1" t="s">
        <v>99</v>
      </c>
      <c r="H193" s="1" t="str">
        <f>VLOOKUP(G193,dataNodes!$B$2:$C$19,2,FALSE)</f>
        <v>Use</v>
      </c>
      <c r="I193" s="1" t="str">
        <f t="shared" si="3"/>
        <v>d17</v>
      </c>
    </row>
    <row r="194" spans="1:9" x14ac:dyDescent="0.3">
      <c r="A194" s="1" t="s">
        <v>744</v>
      </c>
      <c r="B194" s="1" t="s">
        <v>745</v>
      </c>
      <c r="C194" s="1" t="s">
        <v>746</v>
      </c>
      <c r="D194" s="1" t="s">
        <v>45</v>
      </c>
      <c r="E194" s="1" t="s">
        <v>880</v>
      </c>
      <c r="F194" s="1" t="s">
        <v>1078</v>
      </c>
      <c r="G194" s="1" t="s">
        <v>99</v>
      </c>
      <c r="H194" s="1" t="str">
        <f>VLOOKUP(G194,dataNodes!$B$2:$C$19,2,FALSE)</f>
        <v>Use</v>
      </c>
      <c r="I194" s="1" t="str">
        <f t="shared" si="3"/>
        <v>d17</v>
      </c>
    </row>
    <row r="195" spans="1:9" x14ac:dyDescent="0.3">
      <c r="A195" s="1" t="s">
        <v>744</v>
      </c>
      <c r="B195" s="1" t="s">
        <v>745</v>
      </c>
      <c r="C195" s="1" t="s">
        <v>746</v>
      </c>
      <c r="D195" s="1" t="s">
        <v>45</v>
      </c>
      <c r="E195" s="1" t="s">
        <v>880</v>
      </c>
      <c r="F195" s="1" t="s">
        <v>1079</v>
      </c>
      <c r="G195" s="1" t="s">
        <v>144</v>
      </c>
      <c r="H195" s="1" t="str">
        <f>VLOOKUP(G195,dataNodes!$B$2:$C$19,2,FALSE)</f>
        <v>Use</v>
      </c>
      <c r="I195" s="1" t="str">
        <f t="shared" si="3"/>
        <v>d18</v>
      </c>
    </row>
    <row r="196" spans="1:9" x14ac:dyDescent="0.3">
      <c r="A196" s="1" t="s">
        <v>744</v>
      </c>
      <c r="B196" s="1" t="s">
        <v>745</v>
      </c>
      <c r="C196" s="1" t="s">
        <v>746</v>
      </c>
      <c r="D196" s="1" t="s">
        <v>45</v>
      </c>
      <c r="E196" s="1" t="s">
        <v>880</v>
      </c>
      <c r="F196" s="1" t="s">
        <v>1080</v>
      </c>
      <c r="G196" s="1" t="s">
        <v>134</v>
      </c>
      <c r="H196" s="1" t="str">
        <f>VLOOKUP(G196,dataNodes!$B$2:$C$19,2,FALSE)</f>
        <v>Quality</v>
      </c>
      <c r="I196" s="1" t="str">
        <f t="shared" si="3"/>
        <v>d03</v>
      </c>
    </row>
    <row r="197" spans="1:9" x14ac:dyDescent="0.3">
      <c r="A197" s="1" t="s">
        <v>744</v>
      </c>
      <c r="B197" s="1" t="s">
        <v>745</v>
      </c>
      <c r="C197" s="1" t="s">
        <v>746</v>
      </c>
      <c r="D197" s="1" t="s">
        <v>45</v>
      </c>
      <c r="E197" s="1" t="s">
        <v>880</v>
      </c>
      <c r="F197" s="1" t="s">
        <v>1081</v>
      </c>
      <c r="G197" s="1" t="s">
        <v>99</v>
      </c>
      <c r="H197" s="1" t="str">
        <f>VLOOKUP(G197,dataNodes!$B$2:$C$19,2,FALSE)</f>
        <v>Use</v>
      </c>
      <c r="I197" s="1" t="str">
        <f t="shared" si="3"/>
        <v>d17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7"/>
  <sheetViews>
    <sheetView workbookViewId="0">
      <selection activeCell="E12" sqref="E12"/>
    </sheetView>
  </sheetViews>
  <sheetFormatPr defaultRowHeight="15.6" x14ac:dyDescent="0.3"/>
  <cols>
    <col min="1" max="16384" width="8.796875" style="1"/>
  </cols>
  <sheetData>
    <row r="1" spans="1:2" x14ac:dyDescent="0.3">
      <c r="A1" s="5" t="s">
        <v>97</v>
      </c>
      <c r="B1" s="5" t="s">
        <v>98</v>
      </c>
    </row>
    <row r="2" spans="1:2" x14ac:dyDescent="0.3">
      <c r="A2" s="1" t="s">
        <v>100</v>
      </c>
      <c r="B2" s="1" t="s">
        <v>123</v>
      </c>
    </row>
    <row r="3" spans="1:2" x14ac:dyDescent="0.3">
      <c r="A3" s="1" t="s">
        <v>100</v>
      </c>
      <c r="B3" s="1" t="s">
        <v>116</v>
      </c>
    </row>
    <row r="4" spans="1:2" x14ac:dyDescent="0.3">
      <c r="A4" s="1" t="s">
        <v>101</v>
      </c>
      <c r="B4" s="1" t="s">
        <v>131</v>
      </c>
    </row>
    <row r="5" spans="1:2" x14ac:dyDescent="0.3">
      <c r="A5" s="1" t="s">
        <v>102</v>
      </c>
      <c r="B5" s="1" t="s">
        <v>131</v>
      </c>
    </row>
    <row r="6" spans="1:2" x14ac:dyDescent="0.3">
      <c r="A6" s="1" t="s">
        <v>103</v>
      </c>
      <c r="B6" s="1" t="s">
        <v>114</v>
      </c>
    </row>
    <row r="7" spans="1:2" x14ac:dyDescent="0.3">
      <c r="A7" s="1" t="s">
        <v>104</v>
      </c>
      <c r="B7" s="1" t="s">
        <v>114</v>
      </c>
    </row>
    <row r="8" spans="1:2" x14ac:dyDescent="0.3">
      <c r="A8" s="1" t="s">
        <v>105</v>
      </c>
      <c r="B8" s="1" t="s">
        <v>130</v>
      </c>
    </row>
    <row r="9" spans="1:2" x14ac:dyDescent="0.3">
      <c r="A9" s="1" t="s">
        <v>106</v>
      </c>
      <c r="B9" s="1" t="s">
        <v>130</v>
      </c>
    </row>
    <row r="10" spans="1:2" x14ac:dyDescent="0.3">
      <c r="A10" s="1" t="s">
        <v>107</v>
      </c>
      <c r="B10" s="1" t="s">
        <v>128</v>
      </c>
    </row>
    <row r="11" spans="1:2" x14ac:dyDescent="0.3">
      <c r="A11" s="1" t="s">
        <v>107</v>
      </c>
      <c r="B11" s="1" t="s">
        <v>111</v>
      </c>
    </row>
    <row r="12" spans="1:2" x14ac:dyDescent="0.3">
      <c r="A12" s="1" t="s">
        <v>108</v>
      </c>
      <c r="B12" s="1" t="s">
        <v>111</v>
      </c>
    </row>
    <row r="13" spans="1:2" x14ac:dyDescent="0.3">
      <c r="A13" s="1" t="s">
        <v>108</v>
      </c>
      <c r="B13" s="1" t="s">
        <v>112</v>
      </c>
    </row>
    <row r="14" spans="1:2" x14ac:dyDescent="0.3">
      <c r="A14" s="1" t="s">
        <v>108</v>
      </c>
      <c r="B14" s="1" t="s">
        <v>127</v>
      </c>
    </row>
    <row r="15" spans="1:2" x14ac:dyDescent="0.3">
      <c r="A15" s="1" t="s">
        <v>108</v>
      </c>
      <c r="B15" s="1" t="s">
        <v>128</v>
      </c>
    </row>
    <row r="16" spans="1:2" x14ac:dyDescent="0.3">
      <c r="A16" s="1" t="s">
        <v>109</v>
      </c>
      <c r="B16" s="1" t="s">
        <v>114</v>
      </c>
    </row>
    <row r="17" spans="1:2" x14ac:dyDescent="0.3">
      <c r="A17" s="1" t="s">
        <v>109</v>
      </c>
      <c r="B17" s="1" t="s">
        <v>135</v>
      </c>
    </row>
    <row r="18" spans="1:2" x14ac:dyDescent="0.3">
      <c r="A18" s="1" t="s">
        <v>110</v>
      </c>
      <c r="B18" s="1" t="s">
        <v>114</v>
      </c>
    </row>
    <row r="19" spans="1:2" x14ac:dyDescent="0.3">
      <c r="A19" s="1" t="s">
        <v>568</v>
      </c>
      <c r="B19" s="1" t="s">
        <v>131</v>
      </c>
    </row>
    <row r="20" spans="1:2" x14ac:dyDescent="0.3">
      <c r="A20" s="1" t="s">
        <v>570</v>
      </c>
      <c r="B20" s="1" t="s">
        <v>127</v>
      </c>
    </row>
    <row r="21" spans="1:2" x14ac:dyDescent="0.3">
      <c r="A21" s="1" t="s">
        <v>570</v>
      </c>
      <c r="B21" s="1" t="s">
        <v>114</v>
      </c>
    </row>
    <row r="22" spans="1:2" x14ac:dyDescent="0.3">
      <c r="A22" s="1" t="s">
        <v>572</v>
      </c>
      <c r="B22" s="1" t="s">
        <v>135</v>
      </c>
    </row>
    <row r="23" spans="1:2" x14ac:dyDescent="0.3">
      <c r="A23" s="1" t="s">
        <v>574</v>
      </c>
      <c r="B23" s="1" t="s">
        <v>114</v>
      </c>
    </row>
    <row r="24" spans="1:2" x14ac:dyDescent="0.3">
      <c r="A24" s="1" t="s">
        <v>574</v>
      </c>
      <c r="B24" s="1" t="s">
        <v>131</v>
      </c>
    </row>
    <row r="25" spans="1:2" x14ac:dyDescent="0.3">
      <c r="A25" s="1" t="s">
        <v>576</v>
      </c>
      <c r="B25" s="1" t="s">
        <v>130</v>
      </c>
    </row>
    <row r="26" spans="1:2" x14ac:dyDescent="0.3">
      <c r="A26" s="1" t="s">
        <v>576</v>
      </c>
      <c r="B26" s="1" t="s">
        <v>116</v>
      </c>
    </row>
    <row r="27" spans="1:2" x14ac:dyDescent="0.3">
      <c r="A27" s="1" t="s">
        <v>578</v>
      </c>
      <c r="B27" s="1" t="s">
        <v>111</v>
      </c>
    </row>
    <row r="28" spans="1:2" x14ac:dyDescent="0.3">
      <c r="A28" s="1" t="s">
        <v>578</v>
      </c>
      <c r="B28" s="1" t="s">
        <v>112</v>
      </c>
    </row>
    <row r="29" spans="1:2" x14ac:dyDescent="0.3">
      <c r="A29" s="1" t="s">
        <v>580</v>
      </c>
      <c r="B29" s="1" t="s">
        <v>135</v>
      </c>
    </row>
    <row r="30" spans="1:2" x14ac:dyDescent="0.3">
      <c r="A30" s="1" t="s">
        <v>582</v>
      </c>
      <c r="B30" s="1" t="s">
        <v>114</v>
      </c>
    </row>
    <row r="31" spans="1:2" x14ac:dyDescent="0.3">
      <c r="A31" s="1" t="s">
        <v>584</v>
      </c>
      <c r="B31" s="1" t="s">
        <v>135</v>
      </c>
    </row>
    <row r="32" spans="1:2" x14ac:dyDescent="0.3">
      <c r="A32" s="1" t="s">
        <v>587</v>
      </c>
      <c r="B32" s="1" t="s">
        <v>135</v>
      </c>
    </row>
    <row r="33" spans="1:2" x14ac:dyDescent="0.3">
      <c r="A33" s="1" t="s">
        <v>587</v>
      </c>
      <c r="B33" s="1" t="s">
        <v>128</v>
      </c>
    </row>
    <row r="34" spans="1:2" x14ac:dyDescent="0.3">
      <c r="A34" s="1" t="s">
        <v>589</v>
      </c>
      <c r="B34" s="1" t="s">
        <v>111</v>
      </c>
    </row>
    <row r="35" spans="1:2" x14ac:dyDescent="0.3">
      <c r="A35" s="1" t="s">
        <v>589</v>
      </c>
      <c r="B35" s="1" t="s">
        <v>114</v>
      </c>
    </row>
    <row r="36" spans="1:2" x14ac:dyDescent="0.3">
      <c r="A36" s="1" t="s">
        <v>591</v>
      </c>
      <c r="B36" s="1" t="s">
        <v>111</v>
      </c>
    </row>
    <row r="37" spans="1:2" x14ac:dyDescent="0.3">
      <c r="A37" s="1" t="s">
        <v>591</v>
      </c>
      <c r="B37" s="1" t="s">
        <v>128</v>
      </c>
    </row>
    <row r="38" spans="1:2" x14ac:dyDescent="0.3">
      <c r="A38" s="1" t="s">
        <v>593</v>
      </c>
      <c r="B38" s="1" t="s">
        <v>123</v>
      </c>
    </row>
    <row r="39" spans="1:2" x14ac:dyDescent="0.3">
      <c r="A39" s="1" t="s">
        <v>593</v>
      </c>
      <c r="B39" s="1" t="s">
        <v>111</v>
      </c>
    </row>
    <row r="40" spans="1:2" x14ac:dyDescent="0.3">
      <c r="A40" s="1" t="s">
        <v>593</v>
      </c>
      <c r="B40" s="1" t="s">
        <v>121</v>
      </c>
    </row>
    <row r="41" spans="1:2" x14ac:dyDescent="0.3">
      <c r="A41" s="1" t="s">
        <v>593</v>
      </c>
      <c r="B41" s="1" t="s">
        <v>115</v>
      </c>
    </row>
    <row r="42" spans="1:2" x14ac:dyDescent="0.3">
      <c r="A42" s="1" t="s">
        <v>593</v>
      </c>
      <c r="B42" s="1" t="s">
        <v>116</v>
      </c>
    </row>
    <row r="43" spans="1:2" x14ac:dyDescent="0.3">
      <c r="A43" s="1" t="s">
        <v>593</v>
      </c>
      <c r="B43" s="1" t="s">
        <v>119</v>
      </c>
    </row>
    <row r="44" spans="1:2" x14ac:dyDescent="0.3">
      <c r="A44" s="1" t="s">
        <v>593</v>
      </c>
      <c r="B44" s="1" t="s">
        <v>114</v>
      </c>
    </row>
    <row r="45" spans="1:2" x14ac:dyDescent="0.3">
      <c r="A45" s="1" t="s">
        <v>594</v>
      </c>
      <c r="B45" s="1" t="s">
        <v>119</v>
      </c>
    </row>
    <row r="46" spans="1:2" x14ac:dyDescent="0.3">
      <c r="A46" s="1" t="s">
        <v>594</v>
      </c>
      <c r="B46" s="1" t="s">
        <v>131</v>
      </c>
    </row>
    <row r="47" spans="1:2" x14ac:dyDescent="0.3">
      <c r="A47" s="1" t="s">
        <v>596</v>
      </c>
      <c r="B47" s="1" t="s">
        <v>112</v>
      </c>
    </row>
    <row r="48" spans="1:2" x14ac:dyDescent="0.3">
      <c r="A48" s="1" t="s">
        <v>596</v>
      </c>
      <c r="B48" s="1" t="s">
        <v>111</v>
      </c>
    </row>
    <row r="49" spans="1:2" x14ac:dyDescent="0.3">
      <c r="A49" s="1" t="s">
        <v>598</v>
      </c>
      <c r="B49" s="1" t="s">
        <v>121</v>
      </c>
    </row>
    <row r="50" spans="1:2" x14ac:dyDescent="0.3">
      <c r="A50" s="1" t="s">
        <v>598</v>
      </c>
      <c r="B50" s="1" t="s">
        <v>139</v>
      </c>
    </row>
    <row r="51" spans="1:2" x14ac:dyDescent="0.3">
      <c r="A51" s="1" t="s">
        <v>598</v>
      </c>
      <c r="B51" s="1" t="s">
        <v>125</v>
      </c>
    </row>
    <row r="52" spans="1:2" x14ac:dyDescent="0.3">
      <c r="A52" s="1" t="s">
        <v>598</v>
      </c>
      <c r="B52" s="1" t="s">
        <v>127</v>
      </c>
    </row>
    <row r="53" spans="1:2" x14ac:dyDescent="0.3">
      <c r="A53" s="1" t="s">
        <v>600</v>
      </c>
      <c r="B53" s="1" t="s">
        <v>119</v>
      </c>
    </row>
    <row r="54" spans="1:2" x14ac:dyDescent="0.3">
      <c r="A54" s="1" t="s">
        <v>600</v>
      </c>
      <c r="B54" s="1" t="s">
        <v>111</v>
      </c>
    </row>
    <row r="55" spans="1:2" x14ac:dyDescent="0.3">
      <c r="A55" s="1" t="s">
        <v>600</v>
      </c>
      <c r="B55" s="1" t="s">
        <v>114</v>
      </c>
    </row>
    <row r="56" spans="1:2" x14ac:dyDescent="0.3">
      <c r="A56" s="1" t="s">
        <v>602</v>
      </c>
      <c r="B56" s="1" t="s">
        <v>128</v>
      </c>
    </row>
    <row r="57" spans="1:2" x14ac:dyDescent="0.3">
      <c r="A57" s="1" t="s">
        <v>605</v>
      </c>
      <c r="B57" s="1" t="s">
        <v>123</v>
      </c>
    </row>
    <row r="58" spans="1:2" x14ac:dyDescent="0.3">
      <c r="A58" s="1" t="s">
        <v>605</v>
      </c>
      <c r="B58" s="1" t="s">
        <v>127</v>
      </c>
    </row>
    <row r="59" spans="1:2" x14ac:dyDescent="0.3">
      <c r="A59" s="1" t="s">
        <v>605</v>
      </c>
      <c r="B59" s="1" t="s">
        <v>111</v>
      </c>
    </row>
    <row r="60" spans="1:2" x14ac:dyDescent="0.3">
      <c r="A60" s="1" t="s">
        <v>605</v>
      </c>
      <c r="B60" s="1" t="s">
        <v>116</v>
      </c>
    </row>
    <row r="61" spans="1:2" x14ac:dyDescent="0.3">
      <c r="A61" s="1" t="s">
        <v>605</v>
      </c>
      <c r="B61" s="1" t="s">
        <v>139</v>
      </c>
    </row>
    <row r="62" spans="1:2" x14ac:dyDescent="0.3">
      <c r="A62" s="1" t="s">
        <v>605</v>
      </c>
      <c r="B62" s="1" t="s">
        <v>121</v>
      </c>
    </row>
    <row r="63" spans="1:2" x14ac:dyDescent="0.3">
      <c r="A63" s="1" t="s">
        <v>607</v>
      </c>
      <c r="B63" s="1" t="s">
        <v>131</v>
      </c>
    </row>
    <row r="64" spans="1:2" x14ac:dyDescent="0.3">
      <c r="A64" s="1" t="s">
        <v>607</v>
      </c>
      <c r="B64" s="1" t="s">
        <v>128</v>
      </c>
    </row>
    <row r="65" spans="1:2" x14ac:dyDescent="0.3">
      <c r="A65" s="1" t="s">
        <v>609</v>
      </c>
      <c r="B65" s="1" t="s">
        <v>128</v>
      </c>
    </row>
    <row r="66" spans="1:2" x14ac:dyDescent="0.3">
      <c r="A66" s="1" t="s">
        <v>609</v>
      </c>
      <c r="B66" s="1" t="s">
        <v>130</v>
      </c>
    </row>
    <row r="67" spans="1:2" x14ac:dyDescent="0.3">
      <c r="A67" s="1" t="s">
        <v>612</v>
      </c>
      <c r="B67" s="1" t="s">
        <v>111</v>
      </c>
    </row>
    <row r="68" spans="1:2" x14ac:dyDescent="0.3">
      <c r="A68" s="1" t="s">
        <v>614</v>
      </c>
      <c r="B68" s="1" t="s">
        <v>121</v>
      </c>
    </row>
    <row r="69" spans="1:2" x14ac:dyDescent="0.3">
      <c r="A69" s="1" t="s">
        <v>614</v>
      </c>
      <c r="B69" s="1" t="s">
        <v>123</v>
      </c>
    </row>
    <row r="70" spans="1:2" x14ac:dyDescent="0.3">
      <c r="A70" s="1" t="s">
        <v>614</v>
      </c>
      <c r="B70" s="1" t="s">
        <v>127</v>
      </c>
    </row>
    <row r="71" spans="1:2" x14ac:dyDescent="0.3">
      <c r="A71" s="1" t="s">
        <v>614</v>
      </c>
      <c r="B71" s="1" t="s">
        <v>125</v>
      </c>
    </row>
    <row r="72" spans="1:2" x14ac:dyDescent="0.3">
      <c r="A72" s="1" t="s">
        <v>614</v>
      </c>
      <c r="B72" s="1" t="s">
        <v>119</v>
      </c>
    </row>
    <row r="73" spans="1:2" x14ac:dyDescent="0.3">
      <c r="A73" s="1" t="s">
        <v>617</v>
      </c>
      <c r="B73" s="1" t="s">
        <v>121</v>
      </c>
    </row>
    <row r="74" spans="1:2" x14ac:dyDescent="0.3">
      <c r="A74" s="1" t="s">
        <v>617</v>
      </c>
      <c r="B74" s="1" t="s">
        <v>123</v>
      </c>
    </row>
    <row r="75" spans="1:2" x14ac:dyDescent="0.3">
      <c r="A75" s="1" t="s">
        <v>617</v>
      </c>
      <c r="B75" s="1" t="s">
        <v>115</v>
      </c>
    </row>
    <row r="76" spans="1:2" x14ac:dyDescent="0.3">
      <c r="A76" s="1" t="s">
        <v>619</v>
      </c>
      <c r="B76" s="1" t="s">
        <v>123</v>
      </c>
    </row>
    <row r="77" spans="1:2" x14ac:dyDescent="0.3">
      <c r="A77" s="1" t="s">
        <v>621</v>
      </c>
      <c r="B77" s="1" t="s">
        <v>130</v>
      </c>
    </row>
    <row r="78" spans="1:2" x14ac:dyDescent="0.3">
      <c r="A78" s="1" t="s">
        <v>623</v>
      </c>
      <c r="B78" s="1" t="s">
        <v>112</v>
      </c>
    </row>
    <row r="79" spans="1:2" x14ac:dyDescent="0.3">
      <c r="A79" s="1" t="s">
        <v>623</v>
      </c>
      <c r="B79" s="1" t="s">
        <v>119</v>
      </c>
    </row>
    <row r="80" spans="1:2" x14ac:dyDescent="0.3">
      <c r="A80" s="1" t="s">
        <v>623</v>
      </c>
      <c r="B80" s="1" t="s">
        <v>114</v>
      </c>
    </row>
    <row r="81" spans="1:2" x14ac:dyDescent="0.3">
      <c r="A81" s="1" t="s">
        <v>625</v>
      </c>
      <c r="B81" s="1" t="s">
        <v>131</v>
      </c>
    </row>
    <row r="82" spans="1:2" x14ac:dyDescent="0.3">
      <c r="A82" s="1" t="s">
        <v>625</v>
      </c>
      <c r="B82" s="1" t="s">
        <v>111</v>
      </c>
    </row>
    <row r="83" spans="1:2" x14ac:dyDescent="0.3">
      <c r="A83" s="1" t="s">
        <v>625</v>
      </c>
      <c r="B83" s="1" t="s">
        <v>130</v>
      </c>
    </row>
    <row r="84" spans="1:2" x14ac:dyDescent="0.3">
      <c r="A84" s="1" t="s">
        <v>627</v>
      </c>
      <c r="B84" s="1" t="s">
        <v>130</v>
      </c>
    </row>
    <row r="85" spans="1:2" x14ac:dyDescent="0.3">
      <c r="A85" s="1" t="s">
        <v>627</v>
      </c>
      <c r="B85" s="1" t="s">
        <v>131</v>
      </c>
    </row>
    <row r="86" spans="1:2" x14ac:dyDescent="0.3">
      <c r="A86" s="1" t="s">
        <v>629</v>
      </c>
      <c r="B86" s="1" t="s">
        <v>116</v>
      </c>
    </row>
    <row r="87" spans="1:2" x14ac:dyDescent="0.3">
      <c r="A87" s="1" t="s">
        <v>629</v>
      </c>
      <c r="B87" s="1" t="s">
        <v>112</v>
      </c>
    </row>
    <row r="88" spans="1:2" x14ac:dyDescent="0.3">
      <c r="A88" s="1" t="s">
        <v>629</v>
      </c>
      <c r="B88" s="1" t="s">
        <v>111</v>
      </c>
    </row>
    <row r="89" spans="1:2" x14ac:dyDescent="0.3">
      <c r="A89" s="1" t="s">
        <v>629</v>
      </c>
      <c r="B89" s="1" t="s">
        <v>125</v>
      </c>
    </row>
    <row r="90" spans="1:2" x14ac:dyDescent="0.3">
      <c r="A90" s="1" t="s">
        <v>630</v>
      </c>
      <c r="B90" s="1" t="s">
        <v>111</v>
      </c>
    </row>
    <row r="91" spans="1:2" x14ac:dyDescent="0.3">
      <c r="A91" s="1" t="s">
        <v>632</v>
      </c>
      <c r="B91" s="1" t="s">
        <v>111</v>
      </c>
    </row>
    <row r="92" spans="1:2" x14ac:dyDescent="0.3">
      <c r="A92" s="1" t="s">
        <v>633</v>
      </c>
      <c r="B92" s="1" t="s">
        <v>114</v>
      </c>
    </row>
    <row r="93" spans="1:2" x14ac:dyDescent="0.3">
      <c r="A93" s="1" t="s">
        <v>633</v>
      </c>
      <c r="B93" s="1" t="s">
        <v>131</v>
      </c>
    </row>
    <row r="94" spans="1:2" x14ac:dyDescent="0.3">
      <c r="A94" s="1" t="s">
        <v>636</v>
      </c>
      <c r="B94" s="1" t="s">
        <v>131</v>
      </c>
    </row>
    <row r="95" spans="1:2" x14ac:dyDescent="0.3">
      <c r="A95" s="1" t="s">
        <v>639</v>
      </c>
      <c r="B95" s="1" t="s">
        <v>131</v>
      </c>
    </row>
    <row r="96" spans="1:2" x14ac:dyDescent="0.3">
      <c r="A96" s="1" t="s">
        <v>641</v>
      </c>
      <c r="B96" s="1" t="s">
        <v>130</v>
      </c>
    </row>
    <row r="97" spans="1:2" x14ac:dyDescent="0.3">
      <c r="A97" s="1" t="s">
        <v>641</v>
      </c>
      <c r="B97" s="1" t="s">
        <v>114</v>
      </c>
    </row>
    <row r="98" spans="1:2" x14ac:dyDescent="0.3">
      <c r="A98" s="1" t="s">
        <v>641</v>
      </c>
      <c r="B98" s="1" t="s">
        <v>111</v>
      </c>
    </row>
    <row r="99" spans="1:2" x14ac:dyDescent="0.3">
      <c r="A99" s="1" t="s">
        <v>643</v>
      </c>
      <c r="B99" s="1" t="s">
        <v>135</v>
      </c>
    </row>
    <row r="100" spans="1:2" x14ac:dyDescent="0.3">
      <c r="A100" s="1" t="s">
        <v>643</v>
      </c>
      <c r="B100" s="1" t="s">
        <v>130</v>
      </c>
    </row>
    <row r="101" spans="1:2" x14ac:dyDescent="0.3">
      <c r="A101" s="1" t="s">
        <v>645</v>
      </c>
      <c r="B101" s="1" t="s">
        <v>116</v>
      </c>
    </row>
    <row r="102" spans="1:2" x14ac:dyDescent="0.3">
      <c r="A102" s="1" t="s">
        <v>647</v>
      </c>
      <c r="B102" s="1" t="s">
        <v>127</v>
      </c>
    </row>
    <row r="103" spans="1:2" x14ac:dyDescent="0.3">
      <c r="A103" s="1" t="s">
        <v>649</v>
      </c>
      <c r="B103" s="1" t="s">
        <v>123</v>
      </c>
    </row>
    <row r="104" spans="1:2" x14ac:dyDescent="0.3">
      <c r="A104" s="1" t="s">
        <v>650</v>
      </c>
      <c r="B104" s="1" t="s">
        <v>114</v>
      </c>
    </row>
    <row r="105" spans="1:2" x14ac:dyDescent="0.3">
      <c r="A105" s="1" t="s">
        <v>652</v>
      </c>
      <c r="B105" s="1" t="s">
        <v>119</v>
      </c>
    </row>
    <row r="106" spans="1:2" x14ac:dyDescent="0.3">
      <c r="A106" s="1" t="s">
        <v>654</v>
      </c>
      <c r="B106" s="1" t="s">
        <v>121</v>
      </c>
    </row>
    <row r="107" spans="1:2" x14ac:dyDescent="0.3">
      <c r="A107" s="1" t="s">
        <v>654</v>
      </c>
      <c r="B107" s="1" t="s">
        <v>127</v>
      </c>
    </row>
    <row r="108" spans="1:2" x14ac:dyDescent="0.3">
      <c r="A108" s="1" t="s">
        <v>656</v>
      </c>
      <c r="B108" s="1" t="s">
        <v>123</v>
      </c>
    </row>
    <row r="109" spans="1:2" x14ac:dyDescent="0.3">
      <c r="A109" s="1" t="s">
        <v>657</v>
      </c>
      <c r="B109" s="1" t="s">
        <v>116</v>
      </c>
    </row>
    <row r="110" spans="1:2" x14ac:dyDescent="0.3">
      <c r="A110" s="1" t="s">
        <v>657</v>
      </c>
      <c r="B110" s="1" t="s">
        <v>123</v>
      </c>
    </row>
    <row r="111" spans="1:2" x14ac:dyDescent="0.3">
      <c r="A111" s="1" t="s">
        <v>657</v>
      </c>
      <c r="B111" s="1" t="s">
        <v>131</v>
      </c>
    </row>
    <row r="112" spans="1:2" x14ac:dyDescent="0.3">
      <c r="A112" s="1" t="s">
        <v>658</v>
      </c>
      <c r="B112" s="1" t="s">
        <v>114</v>
      </c>
    </row>
    <row r="113" spans="1:2" x14ac:dyDescent="0.3">
      <c r="A113" s="1" t="s">
        <v>660</v>
      </c>
      <c r="B113" s="1" t="s">
        <v>131</v>
      </c>
    </row>
    <row r="114" spans="1:2" x14ac:dyDescent="0.3">
      <c r="A114" s="1" t="s">
        <v>662</v>
      </c>
      <c r="B114" s="1" t="s">
        <v>127</v>
      </c>
    </row>
    <row r="115" spans="1:2" x14ac:dyDescent="0.3">
      <c r="A115" s="1" t="s">
        <v>662</v>
      </c>
      <c r="B115" s="1" t="s">
        <v>123</v>
      </c>
    </row>
    <row r="116" spans="1:2" x14ac:dyDescent="0.3">
      <c r="A116" s="1" t="s">
        <v>662</v>
      </c>
      <c r="B116" s="1" t="s">
        <v>121</v>
      </c>
    </row>
    <row r="117" spans="1:2" x14ac:dyDescent="0.3">
      <c r="A117" s="1" t="s">
        <v>664</v>
      </c>
      <c r="B117" s="1" t="s">
        <v>111</v>
      </c>
    </row>
    <row r="118" spans="1:2" x14ac:dyDescent="0.3">
      <c r="A118" s="1" t="s">
        <v>666</v>
      </c>
      <c r="B118" s="1" t="s">
        <v>111</v>
      </c>
    </row>
    <row r="119" spans="1:2" x14ac:dyDescent="0.3">
      <c r="A119" s="1" t="s">
        <v>668</v>
      </c>
      <c r="B119" s="1" t="s">
        <v>121</v>
      </c>
    </row>
    <row r="120" spans="1:2" x14ac:dyDescent="0.3">
      <c r="A120" s="1" t="s">
        <v>670</v>
      </c>
      <c r="B120" s="1" t="s">
        <v>127</v>
      </c>
    </row>
    <row r="121" spans="1:2" x14ac:dyDescent="0.3">
      <c r="A121" s="1" t="s">
        <v>672</v>
      </c>
      <c r="B121" s="1" t="s">
        <v>127</v>
      </c>
    </row>
    <row r="122" spans="1:2" x14ac:dyDescent="0.3">
      <c r="A122" s="1" t="s">
        <v>672</v>
      </c>
      <c r="B122" s="1" t="s">
        <v>123</v>
      </c>
    </row>
    <row r="123" spans="1:2" x14ac:dyDescent="0.3">
      <c r="A123" s="1" t="s">
        <v>674</v>
      </c>
      <c r="B123" s="1" t="s">
        <v>114</v>
      </c>
    </row>
    <row r="124" spans="1:2" x14ac:dyDescent="0.3">
      <c r="A124" s="1" t="s">
        <v>676</v>
      </c>
      <c r="B124" s="1" t="s">
        <v>135</v>
      </c>
    </row>
    <row r="125" spans="1:2" x14ac:dyDescent="0.3">
      <c r="A125" s="1" t="s">
        <v>676</v>
      </c>
      <c r="B125" s="1" t="s">
        <v>130</v>
      </c>
    </row>
    <row r="126" spans="1:2" x14ac:dyDescent="0.3">
      <c r="A126" s="1" t="s">
        <v>679</v>
      </c>
      <c r="B126" s="1" t="s">
        <v>131</v>
      </c>
    </row>
    <row r="127" spans="1:2" x14ac:dyDescent="0.3">
      <c r="A127" s="1" t="s">
        <v>681</v>
      </c>
      <c r="B127" s="1" t="s">
        <v>121</v>
      </c>
    </row>
    <row r="128" spans="1:2" x14ac:dyDescent="0.3">
      <c r="A128" s="1" t="s">
        <v>681</v>
      </c>
      <c r="B128" s="1" t="s">
        <v>127</v>
      </c>
    </row>
    <row r="129" spans="1:2" x14ac:dyDescent="0.3">
      <c r="A129" s="1" t="s">
        <v>681</v>
      </c>
      <c r="B129" s="1" t="s">
        <v>123</v>
      </c>
    </row>
    <row r="130" spans="1:2" x14ac:dyDescent="0.3">
      <c r="A130" s="1" t="s">
        <v>681</v>
      </c>
      <c r="B130" s="1" t="s">
        <v>139</v>
      </c>
    </row>
    <row r="131" spans="1:2" x14ac:dyDescent="0.3">
      <c r="A131" s="1" t="s">
        <v>684</v>
      </c>
      <c r="B131" s="1" t="s">
        <v>121</v>
      </c>
    </row>
    <row r="132" spans="1:2" x14ac:dyDescent="0.3">
      <c r="A132" s="1" t="s">
        <v>684</v>
      </c>
      <c r="B132" s="1" t="s">
        <v>115</v>
      </c>
    </row>
    <row r="133" spans="1:2" x14ac:dyDescent="0.3">
      <c r="A133" s="1" t="s">
        <v>686</v>
      </c>
      <c r="B133" s="1" t="s">
        <v>114</v>
      </c>
    </row>
    <row r="134" spans="1:2" x14ac:dyDescent="0.3">
      <c r="A134" s="1" t="s">
        <v>688</v>
      </c>
      <c r="B134" s="1" t="s">
        <v>112</v>
      </c>
    </row>
    <row r="135" spans="1:2" x14ac:dyDescent="0.3">
      <c r="A135" s="1" t="s">
        <v>688</v>
      </c>
      <c r="B135" s="1" t="s">
        <v>111</v>
      </c>
    </row>
    <row r="136" spans="1:2" x14ac:dyDescent="0.3">
      <c r="A136" s="1" t="s">
        <v>690</v>
      </c>
      <c r="B136" s="1" t="s">
        <v>127</v>
      </c>
    </row>
    <row r="137" spans="1:2" x14ac:dyDescent="0.3">
      <c r="A137" s="1" t="s">
        <v>690</v>
      </c>
      <c r="B137" s="1" t="s">
        <v>139</v>
      </c>
    </row>
    <row r="138" spans="1:2" x14ac:dyDescent="0.3">
      <c r="A138" s="1" t="s">
        <v>690</v>
      </c>
      <c r="B138" s="1" t="s">
        <v>114</v>
      </c>
    </row>
    <row r="139" spans="1:2" x14ac:dyDescent="0.3">
      <c r="A139" s="1" t="s">
        <v>690</v>
      </c>
      <c r="B139" s="1" t="s">
        <v>125</v>
      </c>
    </row>
    <row r="140" spans="1:2" x14ac:dyDescent="0.3">
      <c r="A140" s="1" t="s">
        <v>690</v>
      </c>
      <c r="B140" s="1" t="s">
        <v>121</v>
      </c>
    </row>
    <row r="141" spans="1:2" x14ac:dyDescent="0.3">
      <c r="A141" s="1" t="s">
        <v>690</v>
      </c>
      <c r="B141" s="1" t="s">
        <v>116</v>
      </c>
    </row>
    <row r="142" spans="1:2" x14ac:dyDescent="0.3">
      <c r="A142" s="1" t="s">
        <v>693</v>
      </c>
      <c r="B142" s="1" t="s">
        <v>123</v>
      </c>
    </row>
    <row r="143" spans="1:2" x14ac:dyDescent="0.3">
      <c r="A143" s="1" t="s">
        <v>693</v>
      </c>
      <c r="B143" s="1" t="s">
        <v>127</v>
      </c>
    </row>
    <row r="144" spans="1:2" x14ac:dyDescent="0.3">
      <c r="A144" s="1" t="s">
        <v>695</v>
      </c>
      <c r="B144" s="1" t="s">
        <v>123</v>
      </c>
    </row>
    <row r="145" spans="1:2" x14ac:dyDescent="0.3">
      <c r="A145" s="1" t="s">
        <v>695</v>
      </c>
      <c r="B145" s="1" t="s">
        <v>127</v>
      </c>
    </row>
    <row r="146" spans="1:2" x14ac:dyDescent="0.3">
      <c r="A146" s="1" t="s">
        <v>697</v>
      </c>
      <c r="B146" s="1" t="s">
        <v>123</v>
      </c>
    </row>
    <row r="147" spans="1:2" x14ac:dyDescent="0.3">
      <c r="A147" s="1" t="s">
        <v>697</v>
      </c>
      <c r="B147" s="1" t="s">
        <v>127</v>
      </c>
    </row>
    <row r="148" spans="1:2" x14ac:dyDescent="0.3">
      <c r="A148" s="1" t="s">
        <v>697</v>
      </c>
      <c r="B148" s="1" t="s">
        <v>121</v>
      </c>
    </row>
    <row r="149" spans="1:2" x14ac:dyDescent="0.3">
      <c r="A149" s="1" t="s">
        <v>697</v>
      </c>
      <c r="B149" s="1" t="s">
        <v>139</v>
      </c>
    </row>
    <row r="150" spans="1:2" x14ac:dyDescent="0.3">
      <c r="A150" s="1" t="s">
        <v>699</v>
      </c>
      <c r="B150" s="1" t="s">
        <v>111</v>
      </c>
    </row>
    <row r="151" spans="1:2" x14ac:dyDescent="0.3">
      <c r="A151" s="1" t="s">
        <v>702</v>
      </c>
      <c r="B151" s="1" t="s">
        <v>123</v>
      </c>
    </row>
    <row r="152" spans="1:2" x14ac:dyDescent="0.3">
      <c r="A152" s="1" t="s">
        <v>702</v>
      </c>
      <c r="B152" s="1" t="s">
        <v>128</v>
      </c>
    </row>
    <row r="153" spans="1:2" x14ac:dyDescent="0.3">
      <c r="A153" s="1" t="s">
        <v>703</v>
      </c>
      <c r="B153" s="1" t="s">
        <v>114</v>
      </c>
    </row>
    <row r="154" spans="1:2" x14ac:dyDescent="0.3">
      <c r="A154" s="1" t="s">
        <v>703</v>
      </c>
      <c r="B154" s="1" t="s">
        <v>135</v>
      </c>
    </row>
    <row r="155" spans="1:2" x14ac:dyDescent="0.3">
      <c r="A155" s="1" t="s">
        <v>705</v>
      </c>
      <c r="B155" s="1" t="s">
        <v>114</v>
      </c>
    </row>
    <row r="156" spans="1:2" x14ac:dyDescent="0.3">
      <c r="A156" s="1" t="s">
        <v>705</v>
      </c>
      <c r="B156" s="1" t="s">
        <v>139</v>
      </c>
    </row>
    <row r="157" spans="1:2" x14ac:dyDescent="0.3">
      <c r="A157" s="1" t="s">
        <v>705</v>
      </c>
      <c r="B157" s="1" t="s">
        <v>121</v>
      </c>
    </row>
    <row r="158" spans="1:2" x14ac:dyDescent="0.3">
      <c r="A158" s="1" t="s">
        <v>705</v>
      </c>
      <c r="B158" s="1" t="s">
        <v>127</v>
      </c>
    </row>
    <row r="159" spans="1:2" x14ac:dyDescent="0.3">
      <c r="A159" s="1" t="s">
        <v>707</v>
      </c>
      <c r="B159" s="1" t="s">
        <v>114</v>
      </c>
    </row>
    <row r="160" spans="1:2" x14ac:dyDescent="0.3">
      <c r="A160" s="1" t="s">
        <v>707</v>
      </c>
      <c r="B160" s="1" t="s">
        <v>139</v>
      </c>
    </row>
    <row r="161" spans="1:2" x14ac:dyDescent="0.3">
      <c r="A161" s="1" t="s">
        <v>707</v>
      </c>
      <c r="B161" s="1" t="s">
        <v>121</v>
      </c>
    </row>
    <row r="162" spans="1:2" x14ac:dyDescent="0.3">
      <c r="A162" s="1" t="s">
        <v>709</v>
      </c>
      <c r="B162" s="1" t="s">
        <v>123</v>
      </c>
    </row>
    <row r="163" spans="1:2" x14ac:dyDescent="0.3">
      <c r="A163" s="1" t="s">
        <v>709</v>
      </c>
      <c r="B163" s="1" t="s">
        <v>115</v>
      </c>
    </row>
    <row r="164" spans="1:2" x14ac:dyDescent="0.3">
      <c r="A164" s="1" t="s">
        <v>709</v>
      </c>
      <c r="B164" s="1" t="s">
        <v>121</v>
      </c>
    </row>
    <row r="165" spans="1:2" x14ac:dyDescent="0.3">
      <c r="A165" s="1" t="s">
        <v>709</v>
      </c>
      <c r="B165" s="1" t="s">
        <v>127</v>
      </c>
    </row>
    <row r="166" spans="1:2" x14ac:dyDescent="0.3">
      <c r="A166" s="1" t="s">
        <v>709</v>
      </c>
      <c r="B166" s="1" t="s">
        <v>128</v>
      </c>
    </row>
    <row r="167" spans="1:2" x14ac:dyDescent="0.3">
      <c r="A167" s="1" t="s">
        <v>712</v>
      </c>
      <c r="B167" s="1" t="s">
        <v>135</v>
      </c>
    </row>
    <row r="168" spans="1:2" x14ac:dyDescent="0.3">
      <c r="A168" s="1" t="s">
        <v>712</v>
      </c>
      <c r="B168" s="1" t="s">
        <v>130</v>
      </c>
    </row>
    <row r="169" spans="1:2" x14ac:dyDescent="0.3">
      <c r="A169" s="1" t="s">
        <v>714</v>
      </c>
      <c r="B169" s="1" t="s">
        <v>114</v>
      </c>
    </row>
    <row r="170" spans="1:2" x14ac:dyDescent="0.3">
      <c r="A170" s="1" t="s">
        <v>715</v>
      </c>
      <c r="B170" s="1" t="s">
        <v>114</v>
      </c>
    </row>
    <row r="171" spans="1:2" x14ac:dyDescent="0.3">
      <c r="A171" s="1" t="s">
        <v>717</v>
      </c>
      <c r="B171" s="1" t="s">
        <v>127</v>
      </c>
    </row>
    <row r="172" spans="1:2" x14ac:dyDescent="0.3">
      <c r="A172" s="1" t="s">
        <v>719</v>
      </c>
      <c r="B172" s="1" t="s">
        <v>116</v>
      </c>
    </row>
    <row r="173" spans="1:2" x14ac:dyDescent="0.3">
      <c r="A173" s="1" t="s">
        <v>721</v>
      </c>
      <c r="B173" s="1" t="s">
        <v>116</v>
      </c>
    </row>
    <row r="174" spans="1:2" x14ac:dyDescent="0.3">
      <c r="A174" s="1" t="s">
        <v>723</v>
      </c>
      <c r="B174" s="1" t="s">
        <v>114</v>
      </c>
    </row>
    <row r="175" spans="1:2" x14ac:dyDescent="0.3">
      <c r="A175" s="1" t="s">
        <v>723</v>
      </c>
      <c r="B175" s="1" t="s">
        <v>127</v>
      </c>
    </row>
    <row r="176" spans="1:2" x14ac:dyDescent="0.3">
      <c r="A176" s="1" t="s">
        <v>725</v>
      </c>
      <c r="B176" s="1" t="s">
        <v>121</v>
      </c>
    </row>
    <row r="177" spans="1:2" x14ac:dyDescent="0.3">
      <c r="A177" s="1" t="s">
        <v>725</v>
      </c>
      <c r="B177" s="1" t="s">
        <v>127</v>
      </c>
    </row>
    <row r="178" spans="1:2" x14ac:dyDescent="0.3">
      <c r="A178" s="1" t="s">
        <v>725</v>
      </c>
      <c r="B178" s="1" t="s">
        <v>123</v>
      </c>
    </row>
    <row r="179" spans="1:2" x14ac:dyDescent="0.3">
      <c r="A179" s="1" t="s">
        <v>725</v>
      </c>
      <c r="B179" s="1" t="s">
        <v>139</v>
      </c>
    </row>
    <row r="180" spans="1:2" x14ac:dyDescent="0.3">
      <c r="A180" s="1" t="s">
        <v>725</v>
      </c>
      <c r="B180" s="1" t="s">
        <v>114</v>
      </c>
    </row>
    <row r="181" spans="1:2" x14ac:dyDescent="0.3">
      <c r="A181" s="1" t="s">
        <v>728</v>
      </c>
      <c r="B181" s="1" t="s">
        <v>128</v>
      </c>
    </row>
    <row r="182" spans="1:2" x14ac:dyDescent="0.3">
      <c r="A182" s="1" t="s">
        <v>731</v>
      </c>
      <c r="B182" s="1" t="s">
        <v>128</v>
      </c>
    </row>
    <row r="183" spans="1:2" x14ac:dyDescent="0.3">
      <c r="A183" s="1" t="s">
        <v>733</v>
      </c>
      <c r="B183" s="1" t="s">
        <v>112</v>
      </c>
    </row>
    <row r="184" spans="1:2" x14ac:dyDescent="0.3">
      <c r="A184" s="1" t="s">
        <v>733</v>
      </c>
      <c r="B184" s="1" t="s">
        <v>114</v>
      </c>
    </row>
    <row r="185" spans="1:2" x14ac:dyDescent="0.3">
      <c r="A185" s="1" t="s">
        <v>736</v>
      </c>
      <c r="B185" s="1" t="s">
        <v>123</v>
      </c>
    </row>
    <row r="186" spans="1:2" x14ac:dyDescent="0.3">
      <c r="A186" s="1" t="s">
        <v>736</v>
      </c>
      <c r="B186" s="1" t="s">
        <v>121</v>
      </c>
    </row>
    <row r="187" spans="1:2" x14ac:dyDescent="0.3">
      <c r="A187" s="1" t="s">
        <v>736</v>
      </c>
      <c r="B187" s="1" t="s">
        <v>127</v>
      </c>
    </row>
    <row r="188" spans="1:2" x14ac:dyDescent="0.3">
      <c r="A188" s="1" t="s">
        <v>738</v>
      </c>
      <c r="B188" s="1" t="s">
        <v>114</v>
      </c>
    </row>
    <row r="189" spans="1:2" x14ac:dyDescent="0.3">
      <c r="A189" s="1" t="s">
        <v>738</v>
      </c>
      <c r="B189" s="1" t="s">
        <v>127</v>
      </c>
    </row>
    <row r="190" spans="1:2" x14ac:dyDescent="0.3">
      <c r="A190" s="1" t="s">
        <v>738</v>
      </c>
      <c r="B190" s="1" t="s">
        <v>121</v>
      </c>
    </row>
    <row r="191" spans="1:2" x14ac:dyDescent="0.3">
      <c r="A191" s="1" t="s">
        <v>740</v>
      </c>
      <c r="B191" s="1" t="s">
        <v>111</v>
      </c>
    </row>
    <row r="192" spans="1:2" x14ac:dyDescent="0.3">
      <c r="A192" s="1" t="s">
        <v>742</v>
      </c>
      <c r="B192" s="1" t="s">
        <v>135</v>
      </c>
    </row>
    <row r="193" spans="1:2" x14ac:dyDescent="0.3">
      <c r="A193" s="1" t="s">
        <v>744</v>
      </c>
      <c r="B193" s="1" t="s">
        <v>130</v>
      </c>
    </row>
    <row r="194" spans="1:2" x14ac:dyDescent="0.3">
      <c r="A194" s="1" t="s">
        <v>744</v>
      </c>
      <c r="B194" s="1" t="s">
        <v>130</v>
      </c>
    </row>
    <row r="195" spans="1:2" x14ac:dyDescent="0.3">
      <c r="A195" s="1" t="s">
        <v>744</v>
      </c>
      <c r="B195" s="1" t="s">
        <v>131</v>
      </c>
    </row>
    <row r="196" spans="1:2" x14ac:dyDescent="0.3">
      <c r="A196" s="1" t="s">
        <v>744</v>
      </c>
      <c r="B196" s="1" t="s">
        <v>114</v>
      </c>
    </row>
    <row r="197" spans="1:2" x14ac:dyDescent="0.3">
      <c r="A197" s="1" t="s">
        <v>744</v>
      </c>
      <c r="B197" s="1" t="s">
        <v>130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orgNodes</vt:lpstr>
      <vt:lpstr>orgEdges</vt:lpstr>
      <vt:lpstr>platformNodes</vt:lpstr>
      <vt:lpstr>dataNodes</vt:lpstr>
      <vt:lpstr>dataNodeTypes</vt:lpstr>
      <vt:lpstr>dataEdges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Lauren Patterson</cp:lastModifiedBy>
  <dcterms:created xsi:type="dcterms:W3CDTF">2018-08-09T20:40:56Z</dcterms:created>
  <dcterms:modified xsi:type="dcterms:W3CDTF">2019-06-27T18:08:28Z</dcterms:modified>
</cp:coreProperties>
</file>