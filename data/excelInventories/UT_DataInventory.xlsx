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ap19\Documents\Internet of Water\Hubs\HubInventory\Final_Network\ut\"/>
    </mc:Choice>
  </mc:AlternateContent>
  <bookViews>
    <workbookView xWindow="0" yWindow="0" windowWidth="28800" windowHeight="12300" tabRatio="556" firstSheet="1" activeTab="4"/>
  </bookViews>
  <sheets>
    <sheet name="orgNodes" sheetId="5" r:id="rId1"/>
    <sheet name="orgEdges" sheetId="6" r:id="rId2"/>
    <sheet name="platformNodes" sheetId="7" r:id="rId3"/>
    <sheet name="dataNodeTypes" sheetId="8" r:id="rId4"/>
    <sheet name="dataEdges" sheetId="9" r:id="rId5"/>
    <sheet name="dataNodes" sheetId="12" r:id="rId6"/>
  </sheets>
  <definedNames>
    <definedName name="_xlnm._FilterDatabase" localSheetId="5" hidden="1">dataNodes!$A$1:$C$19</definedName>
    <definedName name="_xlnm._FilterDatabase" localSheetId="2" hidden="1">platformNodes!$A$1:$I$65</definedName>
  </definedNames>
  <calcPr calcId="162913"/>
</workbook>
</file>

<file path=xl/calcChain.xml><?xml version="1.0" encoding="utf-8"?>
<calcChain xmlns="http://schemas.openxmlformats.org/spreadsheetml/2006/main">
  <c r="I161" i="8" l="1"/>
  <c r="I160" i="8"/>
  <c r="I159" i="8"/>
  <c r="I158" i="8"/>
  <c r="G65" i="7"/>
  <c r="F65" i="7"/>
  <c r="I157" i="8"/>
  <c r="I156" i="8"/>
  <c r="I155" i="8"/>
  <c r="I154" i="8"/>
  <c r="I153" i="8"/>
  <c r="I152" i="8"/>
  <c r="I151" i="8"/>
  <c r="I150" i="8"/>
  <c r="I149" i="8"/>
  <c r="I148" i="8"/>
  <c r="I147" i="8"/>
  <c r="I146" i="8"/>
  <c r="I145" i="8"/>
  <c r="I144" i="8"/>
  <c r="I143" i="8"/>
  <c r="I142" i="8"/>
  <c r="I141" i="8"/>
  <c r="I140" i="8"/>
  <c r="I139" i="8"/>
  <c r="I138" i="8"/>
  <c r="I137" i="8"/>
  <c r="I136" i="8"/>
  <c r="I135" i="8"/>
  <c r="I134" i="8"/>
  <c r="I133" i="8"/>
  <c r="I132" i="8"/>
  <c r="I131" i="8"/>
  <c r="I130" i="8"/>
  <c r="I129" i="8"/>
  <c r="I128" i="8"/>
  <c r="I127" i="8"/>
  <c r="I126" i="8"/>
  <c r="I125" i="8"/>
  <c r="I124" i="8"/>
  <c r="I123" i="8"/>
  <c r="I122" i="8"/>
  <c r="I121" i="8"/>
  <c r="I120" i="8"/>
  <c r="I119" i="8"/>
  <c r="I118" i="8"/>
  <c r="I117" i="8"/>
  <c r="I116" i="8"/>
  <c r="I115" i="8"/>
  <c r="I114" i="8"/>
  <c r="I113" i="8"/>
  <c r="I112" i="8"/>
  <c r="I111" i="8"/>
  <c r="I110" i="8"/>
  <c r="I109" i="8"/>
  <c r="I108" i="8"/>
  <c r="I107" i="8"/>
  <c r="I106" i="8"/>
  <c r="I105" i="8"/>
  <c r="I104" i="8"/>
  <c r="I103" i="8"/>
  <c r="I102" i="8"/>
  <c r="I101" i="8"/>
  <c r="I100" i="8"/>
  <c r="I99" i="8"/>
  <c r="I98" i="8"/>
  <c r="N21" i="8"/>
  <c r="M21" i="8"/>
  <c r="N20" i="8"/>
  <c r="M20" i="8"/>
  <c r="M10" i="8"/>
  <c r="N10" i="8"/>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2" i="7"/>
  <c r="G61" i="7"/>
  <c r="G62" i="7"/>
  <c r="G63" i="7"/>
  <c r="G64"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2"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7" i="7"/>
  <c r="F3" i="7"/>
  <c r="F4" i="7"/>
  <c r="F5" i="7"/>
  <c r="F6" i="7"/>
  <c r="F2" i="7" l="1"/>
  <c r="C19" i="8" l="1"/>
  <c r="B19" i="8"/>
  <c r="N5" i="8" l="1"/>
  <c r="N6" i="8"/>
  <c r="N7" i="8"/>
  <c r="N8" i="8"/>
  <c r="N9" i="8"/>
  <c r="N11" i="8"/>
  <c r="N12" i="8"/>
  <c r="N13" i="8"/>
  <c r="N14" i="8"/>
  <c r="N15" i="8"/>
  <c r="N16" i="8"/>
  <c r="N17" i="8"/>
  <c r="N18" i="8"/>
  <c r="N19" i="8"/>
  <c r="N4" i="8"/>
  <c r="M5" i="8"/>
  <c r="M6" i="8"/>
  <c r="M7" i="8"/>
  <c r="M8" i="8"/>
  <c r="M9" i="8"/>
  <c r="M11" i="8"/>
  <c r="M12" i="8"/>
  <c r="M13" i="8"/>
  <c r="M14" i="8"/>
  <c r="M15" i="8"/>
  <c r="M16" i="8"/>
  <c r="M17" i="8"/>
  <c r="M18" i="8"/>
  <c r="M19" i="8"/>
  <c r="M4" i="8"/>
  <c r="I96" i="8" l="1"/>
  <c r="I97" i="8"/>
  <c r="I95" i="8"/>
  <c r="I87" i="8"/>
  <c r="I89" i="8"/>
  <c r="I94" i="8"/>
  <c r="I86" i="8"/>
  <c r="I88" i="8"/>
  <c r="I93" i="8"/>
  <c r="I92" i="8"/>
  <c r="I91" i="8"/>
  <c r="I90" i="8"/>
  <c r="I85" i="8"/>
  <c r="I84" i="8"/>
  <c r="I83" i="8"/>
  <c r="I82" i="8"/>
  <c r="I81" i="8"/>
  <c r="I9" i="8"/>
  <c r="I17" i="8"/>
  <c r="I25" i="8"/>
  <c r="I33" i="8"/>
  <c r="I41" i="8"/>
  <c r="I49" i="8"/>
  <c r="I57" i="8"/>
  <c r="I65" i="8"/>
  <c r="I73" i="8"/>
  <c r="I80" i="8"/>
  <c r="I10" i="8"/>
  <c r="I18" i="8"/>
  <c r="I26" i="8"/>
  <c r="I34" i="8"/>
  <c r="I42" i="8"/>
  <c r="I50" i="8"/>
  <c r="I58" i="8"/>
  <c r="I66" i="8"/>
  <c r="I74" i="8"/>
  <c r="I30" i="8"/>
  <c r="I38" i="8"/>
  <c r="I70" i="8"/>
  <c r="I23" i="8"/>
  <c r="I47" i="8"/>
  <c r="I71" i="8"/>
  <c r="I16" i="8"/>
  <c r="I48" i="8"/>
  <c r="I2" i="8"/>
  <c r="I3" i="8"/>
  <c r="I11" i="8"/>
  <c r="I19" i="8"/>
  <c r="I27" i="8"/>
  <c r="I35" i="8"/>
  <c r="I43" i="8"/>
  <c r="I51" i="8"/>
  <c r="I59" i="8"/>
  <c r="I67" i="8"/>
  <c r="I75" i="8"/>
  <c r="I22" i="8"/>
  <c r="I46" i="8"/>
  <c r="I78" i="8"/>
  <c r="I15" i="8"/>
  <c r="I63" i="8"/>
  <c r="I8" i="8"/>
  <c r="I40" i="8"/>
  <c r="I72" i="8"/>
  <c r="I4" i="8"/>
  <c r="I12" i="8"/>
  <c r="I20" i="8"/>
  <c r="I28" i="8"/>
  <c r="I36" i="8"/>
  <c r="I44" i="8"/>
  <c r="I52" i="8"/>
  <c r="I60" i="8"/>
  <c r="I68" i="8"/>
  <c r="I76" i="8"/>
  <c r="I14" i="8"/>
  <c r="I62" i="8"/>
  <c r="I31" i="8"/>
  <c r="I79" i="8"/>
  <c r="I32" i="8"/>
  <c r="I56" i="8"/>
  <c r="I5" i="8"/>
  <c r="I13" i="8"/>
  <c r="I21" i="8"/>
  <c r="I29" i="8"/>
  <c r="I37" i="8"/>
  <c r="I45" i="8"/>
  <c r="I53" i="8"/>
  <c r="I61" i="8"/>
  <c r="I69" i="8"/>
  <c r="I77" i="8"/>
  <c r="I6" i="8"/>
  <c r="I54" i="8"/>
  <c r="I7" i="8"/>
  <c r="I39" i="8"/>
  <c r="I55" i="8"/>
  <c r="I24" i="8"/>
  <c r="I64" i="8"/>
  <c r="D17" i="8" l="1"/>
</calcChain>
</file>

<file path=xl/comments1.xml><?xml version="1.0" encoding="utf-8"?>
<comments xmlns="http://schemas.openxmlformats.org/spreadsheetml/2006/main">
  <authors>
    <author>Lauren Patterson</author>
  </authors>
  <commentList>
    <comment ref="I29" authorId="0" shapeId="0">
      <text>
        <r>
          <rPr>
            <b/>
            <sz val="9"/>
            <color indexed="81"/>
            <rFont val="Tahoma"/>
            <family val="2"/>
          </rPr>
          <t>Lauren Patterson:</t>
        </r>
        <r>
          <rPr>
            <sz val="9"/>
            <color indexed="81"/>
            <rFont val="Tahoma"/>
            <family val="2"/>
          </rPr>
          <t xml:space="preserve">
Instead of the search tag - use the html from the drop-down menu. The tag version is really part of the same open water data catalog in p01.</t>
        </r>
      </text>
    </comment>
  </commentList>
</comments>
</file>

<file path=xl/comments2.xml><?xml version="1.0" encoding="utf-8"?>
<comments xmlns="http://schemas.openxmlformats.org/spreadsheetml/2006/main">
  <authors>
    <author>Lauren Patterson</author>
  </authors>
  <commentList>
    <comment ref="E61" authorId="0" shapeId="0">
      <text>
        <r>
          <rPr>
            <b/>
            <sz val="9"/>
            <color indexed="81"/>
            <rFont val="Tahoma"/>
            <family val="2"/>
          </rPr>
          <t>Lauren Patterson:</t>
        </r>
        <r>
          <rPr>
            <sz val="9"/>
            <color indexed="81"/>
            <rFont val="Tahoma"/>
            <family val="2"/>
          </rPr>
          <t xml:space="preserve">
Instead of the search tag - use the html from the drop-down menu. The tag version is really part of the same open water data catalog in p01.</t>
        </r>
      </text>
    </comment>
  </commentList>
</comments>
</file>

<file path=xl/sharedStrings.xml><?xml version="1.0" encoding="utf-8"?>
<sst xmlns="http://schemas.openxmlformats.org/spreadsheetml/2006/main" count="3449" uniqueCount="670">
  <si>
    <t>notes</t>
  </si>
  <si>
    <t>Website</t>
  </si>
  <si>
    <t>Groundwater</t>
  </si>
  <si>
    <t>Yes</t>
  </si>
  <si>
    <t>Unknown</t>
  </si>
  <si>
    <t>pdf</t>
  </si>
  <si>
    <t>Low</t>
  </si>
  <si>
    <t>Individual Export</t>
  </si>
  <si>
    <t>html</t>
  </si>
  <si>
    <t>No</t>
  </si>
  <si>
    <t>Copy and Paste</t>
  </si>
  <si>
    <t>Surface Water</t>
  </si>
  <si>
    <t>Reservoir</t>
  </si>
  <si>
    <t>mission</t>
  </si>
  <si>
    <t>website</t>
  </si>
  <si>
    <t>operational</t>
  </si>
  <si>
    <t>decision</t>
  </si>
  <si>
    <t>regulatory</t>
  </si>
  <si>
    <t>research</t>
  </si>
  <si>
    <t>level</t>
  </si>
  <si>
    <t>n01</t>
  </si>
  <si>
    <t>n02</t>
  </si>
  <si>
    <t>n03</t>
  </si>
  <si>
    <t>n04</t>
  </si>
  <si>
    <t>n05</t>
  </si>
  <si>
    <t>n06</t>
  </si>
  <si>
    <t>n07</t>
  </si>
  <si>
    <t>n08</t>
  </si>
  <si>
    <t>n09</t>
  </si>
  <si>
    <t>n10</t>
  </si>
  <si>
    <t>n11</t>
  </si>
  <si>
    <t>n12</t>
  </si>
  <si>
    <t>n13</t>
  </si>
  <si>
    <t>from</t>
  </si>
  <si>
    <t>to</t>
  </si>
  <si>
    <t>Utilities</t>
  </si>
  <si>
    <t>p01</t>
  </si>
  <si>
    <t>p02</t>
  </si>
  <si>
    <t>p03</t>
  </si>
  <si>
    <t>p04</t>
  </si>
  <si>
    <t>p05</t>
  </si>
  <si>
    <t>p06</t>
  </si>
  <si>
    <t>p07</t>
  </si>
  <si>
    <t>p08</t>
  </si>
  <si>
    <t>p09</t>
  </si>
  <si>
    <t>p10</t>
  </si>
  <si>
    <t>p11</t>
  </si>
  <si>
    <t>d01</t>
  </si>
  <si>
    <t>d02</t>
  </si>
  <si>
    <t>Evapotranspiration</t>
  </si>
  <si>
    <t>d03</t>
  </si>
  <si>
    <t>d05</t>
  </si>
  <si>
    <t>d06</t>
  </si>
  <si>
    <t>d07</t>
  </si>
  <si>
    <t>Hydropower</t>
  </si>
  <si>
    <t>d08</t>
  </si>
  <si>
    <t>Infrastructure</t>
  </si>
  <si>
    <t>d10</t>
  </si>
  <si>
    <t>Meteorology</t>
  </si>
  <si>
    <t>d11</t>
  </si>
  <si>
    <t>Precipitation</t>
  </si>
  <si>
    <t>d12</t>
  </si>
  <si>
    <t>Regulatory</t>
  </si>
  <si>
    <t>d13</t>
  </si>
  <si>
    <t>d16</t>
  </si>
  <si>
    <t>Soil</t>
  </si>
  <si>
    <t>d17</t>
  </si>
  <si>
    <t>d18</t>
  </si>
  <si>
    <t>Built</t>
  </si>
  <si>
    <t>Natural</t>
  </si>
  <si>
    <t>Quality</t>
  </si>
  <si>
    <t>d04</t>
  </si>
  <si>
    <t>Quantity</t>
  </si>
  <si>
    <t>Extreme Events</t>
  </si>
  <si>
    <t>Glacial and Snow</t>
  </si>
  <si>
    <t>d09</t>
  </si>
  <si>
    <t>d14</t>
  </si>
  <si>
    <t>Use</t>
  </si>
  <si>
    <t>d15</t>
  </si>
  <si>
    <t>Irrigation</t>
  </si>
  <si>
    <t>Management Plans</t>
  </si>
  <si>
    <t>lengthAvailable</t>
  </si>
  <si>
    <t>Not Applicable</t>
  </si>
  <si>
    <t>Limited Record</t>
  </si>
  <si>
    <t>Administrative</t>
  </si>
  <si>
    <t>metadata</t>
  </si>
  <si>
    <t>dataDefinitions</t>
  </si>
  <si>
    <t xml:space="preserve">No </t>
  </si>
  <si>
    <t>entity</t>
  </si>
  <si>
    <t>tier1and2entity</t>
  </si>
  <si>
    <t>entityID</t>
  </si>
  <si>
    <t>tier1and2entityID</t>
  </si>
  <si>
    <t>platformID</t>
  </si>
  <si>
    <t>platform</t>
  </si>
  <si>
    <t>webLabel</t>
  </si>
  <si>
    <t>easeDiscover</t>
  </si>
  <si>
    <t>methodDiscover</t>
  </si>
  <si>
    <t>easeAccess</t>
  </si>
  <si>
    <t>methodAccess</t>
  </si>
  <si>
    <t>fileFormat</t>
  </si>
  <si>
    <t>metadataFormat</t>
  </si>
  <si>
    <t>metaAttributes</t>
  </si>
  <si>
    <t>metadataStandards</t>
  </si>
  <si>
    <t>timeliness</t>
  </si>
  <si>
    <t>data</t>
  </si>
  <si>
    <t>dataCategory</t>
  </si>
  <si>
    <t>dataGroup</t>
  </si>
  <si>
    <t>dataID</t>
  </si>
  <si>
    <t>dataID - linked to dataNodes tab</t>
  </si>
  <si>
    <t>dataGroup - linked to dataNodes tab</t>
  </si>
  <si>
    <t>n14</t>
  </si>
  <si>
    <t>heatmapLabel</t>
  </si>
  <si>
    <t>entityIDAbove</t>
  </si>
  <si>
    <t>NA</t>
  </si>
  <si>
    <t>Department of Environmental Quality</t>
  </si>
  <si>
    <t>Utah</t>
  </si>
  <si>
    <t>Department of Agriculture and Food</t>
  </si>
  <si>
    <t>Preserve and protect Utah’s soil and water resources and ensure the development and utilization for the betterment of Utah agriculture and its people.</t>
  </si>
  <si>
    <t>https://ag.utah.gov/farmers/conservation-division/</t>
  </si>
  <si>
    <t>Department of Commerce</t>
  </si>
  <si>
    <t>Division of Public Utilities</t>
  </si>
  <si>
    <t>Provide oversight of business registrations, trademarks, Uniform Commercial Code filings, occupational and professional licensing, consumer protection, public utilities, securities, real estate and residential mortgage lending.</t>
  </si>
  <si>
    <t>Promotes the public interest in utility regulation and works to assure that all utility customers have access to safe, reliable service at reasonable prices</t>
  </si>
  <si>
    <t>https://dpu.utah.gov/about.html</t>
  </si>
  <si>
    <t>Safeguarding and improving Utah’s air, land and water through balanced regulation.</t>
  </si>
  <si>
    <t>https://deq.utah.gov/</t>
  </si>
  <si>
    <t>Division of Drinking Water</t>
  </si>
  <si>
    <t>https://deq.utah.gov/division-drinking-water</t>
  </si>
  <si>
    <t>Division of Water Quality</t>
  </si>
  <si>
    <t>Safeguarding and improving Utah's water through balanced regulation.</t>
  </si>
  <si>
    <t>https://deq.utah.gov/division-water-quality</t>
  </si>
  <si>
    <t>Annual Report Archive</t>
  </si>
  <si>
    <t>Salinity Control Forum</t>
  </si>
  <si>
    <t>Groundwater Program</t>
  </si>
  <si>
    <t>http://www.coloradoriversalinity.org/documents.php?ctgy=Reclamation</t>
  </si>
  <si>
    <t>https://ag.utah.gov/about/annual-report-archive/</t>
  </si>
  <si>
    <t>Salinity</t>
  </si>
  <si>
    <t>Medium</t>
  </si>
  <si>
    <t>Varies</t>
  </si>
  <si>
    <t>Locate Utility Company</t>
  </si>
  <si>
    <t>None</t>
  </si>
  <si>
    <t>https://enviro.deq.utah.gov/</t>
  </si>
  <si>
    <t>Waterlink Database</t>
  </si>
  <si>
    <t>https://waterlink.utah.gov/deqWater/</t>
  </si>
  <si>
    <t>High</t>
  </si>
  <si>
    <t>Catalog</t>
  </si>
  <si>
    <t>https://deq.utah.gov/water-quality/water-quality-assessment-map</t>
  </si>
  <si>
    <t>Map</t>
  </si>
  <si>
    <t>Assessment Map</t>
  </si>
  <si>
    <t>Assessment Report</t>
  </si>
  <si>
    <t>https://deq.utah.gov/legacy/programs/water-quality/monitoring-reporting/assessment/2016-integrated-report.htm</t>
  </si>
  <si>
    <t>Current Only</t>
  </si>
  <si>
    <t>Department of Health</t>
  </si>
  <si>
    <t>Provides information needed to plan, implement, and evaluate interventions and programs related to the multiple goals and objectives of the Utah Department of Health. In addition, health and health care system information are made available to the public to help consumers make informed health care decisions</t>
  </si>
  <si>
    <t xml:space="preserve">http://health.utah.gov/chd/ </t>
  </si>
  <si>
    <t>Center for Health Data Informatics</t>
  </si>
  <si>
    <t>Ensure Utah is a place where accurate, secure, and timely health data are available to improve health for all</t>
  </si>
  <si>
    <t>p12</t>
  </si>
  <si>
    <t>Center of Health Data Informatics</t>
  </si>
  <si>
    <t>p22</t>
  </si>
  <si>
    <t>p23</t>
  </si>
  <si>
    <t>Flood events</t>
  </si>
  <si>
    <t>https://ibis.health.utah.gov/ibisph-view/indicator/view/CliChaExtWea.html</t>
  </si>
  <si>
    <t>Property damage by flood events</t>
  </si>
  <si>
    <t>Department of Natural Resources</t>
  </si>
  <si>
    <t>Helps ensure the quality of life of Utah residents by managing and protecting the state's abundant natural resources</t>
  </si>
  <si>
    <t>Division of Water Resources</t>
  </si>
  <si>
    <t>Plan, conserve, develop and protect Utahʹs water resources</t>
  </si>
  <si>
    <t>https://water.utah.gov/</t>
  </si>
  <si>
    <t>p24</t>
  </si>
  <si>
    <t>p25</t>
  </si>
  <si>
    <t>p26</t>
  </si>
  <si>
    <t>http://utahdnr.maps.arcgis.com/apps/MapJournal/index.html?appid=d5fd67b3436e4af8be07d91d055a903b</t>
  </si>
  <si>
    <t>p27</t>
  </si>
  <si>
    <t>https://water.utah.gov/precipitationgraphs/</t>
  </si>
  <si>
    <t>p28</t>
  </si>
  <si>
    <t>Reservoir Levels</t>
  </si>
  <si>
    <t>Precipitation Graphs</t>
  </si>
  <si>
    <t>https://water.utah.gov/reservoirlevels/</t>
  </si>
  <si>
    <t>Reservoir storage</t>
  </si>
  <si>
    <t>p29</t>
  </si>
  <si>
    <t>https://www.utah.gov/index.html</t>
  </si>
  <si>
    <t>Promote the healthy growth of Utah agriculture, conserve our natural resources and protect our food supply.</t>
  </si>
  <si>
    <t>Conservation Division</t>
  </si>
  <si>
    <t>Safeguarding the quality and quantity of Utah's drinking water through balanced regulation.</t>
  </si>
  <si>
    <t>pdf; html</t>
  </si>
  <si>
    <t>Individual Export; Copy and Paste</t>
  </si>
  <si>
    <t>Administrative; Descriptive</t>
  </si>
  <si>
    <t>Period of Record</t>
  </si>
  <si>
    <t>Ambient Water Quality Monitoring System (AWQMS )</t>
  </si>
  <si>
    <t xml:space="preserve">Copy and Paste; Individual Export </t>
  </si>
  <si>
    <t>https://ibis.health.utah.gov/ibisph-view/topic/Water.html</t>
  </si>
  <si>
    <t>Yearly or higher</t>
  </si>
  <si>
    <t>Drinking Water</t>
  </si>
  <si>
    <t>https://dpu.utah.gov/utillist-water.html</t>
  </si>
  <si>
    <t>Harmful Algal Blooms</t>
  </si>
  <si>
    <t>https://ag.utah.gov/farmers/conservation-division/harmful-algal-blooms/</t>
  </si>
  <si>
    <t>Monthly or higher</t>
  </si>
  <si>
    <t>Division of Environmental Response and Remediation</t>
  </si>
  <si>
    <t>https://deq.utah.gov/division-environmental-response-remediation</t>
  </si>
  <si>
    <t>Spills records</t>
  </si>
  <si>
    <t>http://eqspillsps.deq.utah.gov/Default.aspx</t>
  </si>
  <si>
    <t>http://eqedocs.utah.gov/</t>
  </si>
  <si>
    <t>p30</t>
  </si>
  <si>
    <t>Drought</t>
  </si>
  <si>
    <t>Regulatory/Policy Documents</t>
  </si>
  <si>
    <t>https://water.utah.gov/water-data/drought/</t>
  </si>
  <si>
    <t>p13</t>
  </si>
  <si>
    <t>p14</t>
  </si>
  <si>
    <t>p15</t>
  </si>
  <si>
    <t>p16</t>
  </si>
  <si>
    <t>p17</t>
  </si>
  <si>
    <t>p18</t>
  </si>
  <si>
    <t>p19</t>
  </si>
  <si>
    <t>p20</t>
  </si>
  <si>
    <t>p21</t>
  </si>
  <si>
    <t>DEQ scanned documents on policies/regulations</t>
  </si>
  <si>
    <t>Spills records of various chemicals/biological pathogens</t>
  </si>
  <si>
    <t>Risk and magnitude of drought-like conditions</t>
  </si>
  <si>
    <t>n15</t>
  </si>
  <si>
    <t>n16</t>
  </si>
  <si>
    <t>Basin Planning</t>
  </si>
  <si>
    <t>n17</t>
  </si>
  <si>
    <t>Prepares and updates the State Water Plan, statewide water-use numbers, regional conservation goals, and basin reports</t>
  </si>
  <si>
    <t>https://water.utah.gov/division-sections/planning-section/</t>
  </si>
  <si>
    <t>Some</t>
  </si>
  <si>
    <t>Temperature</t>
  </si>
  <si>
    <t>p31</t>
  </si>
  <si>
    <t>Harmful algal blooms map</t>
  </si>
  <si>
    <t>Conservation Program</t>
  </si>
  <si>
    <t>https://conservewater.utah.gov/guide.html</t>
  </si>
  <si>
    <t>Weather Data</t>
  </si>
  <si>
    <t>Evapotranspiration by stations</t>
  </si>
  <si>
    <t>Precipitation by stations</t>
  </si>
  <si>
    <t>Irrigation requirements</t>
  </si>
  <si>
    <t>Board Projects</t>
  </si>
  <si>
    <t>https://water.utah.gov/development-branch/board-projects/</t>
  </si>
  <si>
    <t>Website; Map</t>
  </si>
  <si>
    <t>https://conservewater.utah.gov/default.asp</t>
  </si>
  <si>
    <t>Helps the Board of Water Resources administer revolving funds to develop new water projects and refurbish aging projects throughout the State of Utah</t>
  </si>
  <si>
    <t>https://water.utah.gov/development-branch/project-funding/</t>
  </si>
  <si>
    <t>Administers the appropriation and distribution of the state's valuable water resources, both surface and underground</t>
  </si>
  <si>
    <t>https://www.waterrights.utah.gov/</t>
  </si>
  <si>
    <t>Division of Water Rights</t>
  </si>
  <si>
    <t>Water Rights Maps</t>
  </si>
  <si>
    <t>https://www.waterrights.utah.gov/gisinfo/maps/default.asp</t>
  </si>
  <si>
    <t>Water infrastructure projects</t>
  </si>
  <si>
    <t>Stream Alteration</t>
  </si>
  <si>
    <t>p32</t>
  </si>
  <si>
    <t>https://www.waterrights.utah.gov/distinfo/distribution_systems.asp</t>
  </si>
  <si>
    <t>Water Distribution/Regulation</t>
  </si>
  <si>
    <t>p33</t>
  </si>
  <si>
    <t>Water Use Data by Suppliers</t>
  </si>
  <si>
    <t>Company Rights</t>
  </si>
  <si>
    <t>https://www.waterrights.utah.gov/forms/waterCompanies.asp</t>
  </si>
  <si>
    <t>https://www.waterrights.utah.gov/distinfo/realtime_info.asp</t>
  </si>
  <si>
    <t>p34</t>
  </si>
  <si>
    <t>Daily or higher</t>
  </si>
  <si>
    <t>p35</t>
  </si>
  <si>
    <t>https://www.waterrights.utah.gov/cgi-bin/gageview.exe?Startup</t>
  </si>
  <si>
    <t>GAGEVIEW Stream Gage Records Viewer</t>
  </si>
  <si>
    <t>p36</t>
  </si>
  <si>
    <t>Utah Climate Center</t>
  </si>
  <si>
    <t>https://climate.usu.edu/index.php</t>
  </si>
  <si>
    <t>p37</t>
  </si>
  <si>
    <t>Colorado River Conditions</t>
  </si>
  <si>
    <t>https://www.waterrights.utah.gov/distinfo/colorado/default.asp</t>
  </si>
  <si>
    <t>p38</t>
  </si>
  <si>
    <t>Groundwater management plans</t>
  </si>
  <si>
    <t>https://waterrights.utah.gov/groundwater/ManagementReports/ground.asp</t>
  </si>
  <si>
    <t>p39</t>
  </si>
  <si>
    <t>Groundwater Recharge and Recovery</t>
  </si>
  <si>
    <t>https://waterrights.utah.gov/groundwater/asr/ASRlist.asp</t>
  </si>
  <si>
    <t>Responsible for licensing requirements and well construction criteria and the promulgation of the Administrative Rules for Water Well Drillers and Pump Installers</t>
  </si>
  <si>
    <t>https://waterrights.utah.gov/wellinfo/default.asp</t>
  </si>
  <si>
    <t>n18</t>
  </si>
  <si>
    <t>Records of water diversion from surface and underground sources which are included in River Commissioner managed water distribution systems</t>
  </si>
  <si>
    <t>https://waterrights.utah.gov/distinfo/default.asp</t>
  </si>
  <si>
    <t>n19</t>
  </si>
  <si>
    <t>p40</t>
  </si>
  <si>
    <t>Water Well Drilling Information</t>
  </si>
  <si>
    <t>n20</t>
  </si>
  <si>
    <t>https://waterrights.utah.gov/cgi-bin/drilview.exe</t>
  </si>
  <si>
    <t>https://waterrights.utah.gov/wellInfo/wellInfo.asp</t>
  </si>
  <si>
    <t>https://waterrights.utah.gov/cgi-bin/wellview.exe?Modinfo=Geolog</t>
  </si>
  <si>
    <t>https://waterrights.utah.gov/wellinfo/stats2k/default.asp</t>
  </si>
  <si>
    <t>https://waterrights.utah.gov/cgi-bin/damview.exe?Startup</t>
  </si>
  <si>
    <t>https://waterrights.utah.gov/daminfo/ReservoirFills.asp</t>
  </si>
  <si>
    <t>Dam Safety</t>
  </si>
  <si>
    <t>p41</t>
  </si>
  <si>
    <t>https://waterrights.utah.gov/daminfo/default.asp</t>
  </si>
  <si>
    <t>n21</t>
  </si>
  <si>
    <t>Regulate dams for the purpose of protecting public safety</t>
  </si>
  <si>
    <t>Protect the natural resource value of the state’s streams and protect the water rights and recreational opportunities associated with them</t>
  </si>
  <si>
    <t>https://waterrights.utah.gov/strmalt/default.asp</t>
  </si>
  <si>
    <t>p42</t>
  </si>
  <si>
    <t>https://waterrights.utah.gov/cgi-bin/strmview.exe</t>
  </si>
  <si>
    <t>n22</t>
  </si>
  <si>
    <t>Bring order and certainty to the water rights record throughout the state by defining existing rights, quantifying unknown rights, and removing unused and abandoned rights from the record through judicial decree.</t>
  </si>
  <si>
    <t>https://waterrights.utah.gov/adjdinfo/default.asp</t>
  </si>
  <si>
    <t>p43</t>
  </si>
  <si>
    <t>https://www.waterrights.utah.gov/adjdinfo/default.asp</t>
  </si>
  <si>
    <t>n23</t>
  </si>
  <si>
    <t xml:space="preserve">Division of Oil, Gas and Mining </t>
  </si>
  <si>
    <t xml:space="preserve">Regulate the exploration and development of coal, oil and gas, and other minerals in a manner which
1. encourages responsible reclamation and development;
2. protects correlative rights;
3. prevents waste; and
4. protects human health and safety, the environment, and the interests of the state and its citizens. </t>
  </si>
  <si>
    <t>https://www.ogm.utah.gov/about.php#mission</t>
  </si>
  <si>
    <t>n24</t>
  </si>
  <si>
    <t>Regulate exploration for, and development of, coal conformance with UCA 40-10 and Surface Mining Control and Reclamation Act of 1977 which supports the existence of a viable coal mining industry to meet the nation's energy needs,
implements standards that safeguard the environment and protect public health and safety, and achieves the successful reclamation of land affected by coal mining activities.</t>
  </si>
  <si>
    <t>https://www.ogm.utah.gov/coal/about.php#mission</t>
  </si>
  <si>
    <t>p44</t>
  </si>
  <si>
    <t>Cumulative Hydrologic Impact Assessment</t>
  </si>
  <si>
    <t>https://www.ogm.utah.gov/coal/chias.php</t>
  </si>
  <si>
    <t>Groundwater usage</t>
  </si>
  <si>
    <t>Streamflow</t>
  </si>
  <si>
    <t>n25</t>
  </si>
  <si>
    <t>https://oilgas.ogm.utah.gov/oilgasweb/index.xhtml</t>
  </si>
  <si>
    <t>Promotes the exploration, development and conservation of oil and gas resources, fosters a fair economic return to the general public for those resources and maintains sound, regulatory oversight to ensure environmentally acceptable activities</t>
  </si>
  <si>
    <t>p45</t>
  </si>
  <si>
    <t>p46</t>
  </si>
  <si>
    <t>p47</t>
  </si>
  <si>
    <t>p48</t>
  </si>
  <si>
    <t>p49</t>
  </si>
  <si>
    <t>Data Explorer</t>
  </si>
  <si>
    <t>n26</t>
  </si>
  <si>
    <t>Povides timely scientific information about Utah’s geologic environment, resources, and hazards.</t>
  </si>
  <si>
    <t>https://geology.utah.gov/</t>
  </si>
  <si>
    <t>Website; Catalog</t>
  </si>
  <si>
    <t>n27</t>
  </si>
  <si>
    <t>Department of Public Safety</t>
  </si>
  <si>
    <t>Plays a vital role within the department to provide services to all divisions within the department</t>
  </si>
  <si>
    <t>https://publicsafety.utah.gov/</t>
  </si>
  <si>
    <t>n28</t>
  </si>
  <si>
    <t>Emergency Management Division</t>
  </si>
  <si>
    <t>Unite the emergency management community and to coordinate the efforts necessary to mitigate, prepare for, respond to and recover from emergencies, disasters and catastrophic events.</t>
  </si>
  <si>
    <t>Utah Disaster History</t>
  </si>
  <si>
    <t>https://dem.utah.gov/utah-disaster-history/</t>
  </si>
  <si>
    <t>n29</t>
  </si>
  <si>
    <t>Office of Energy Development</t>
  </si>
  <si>
    <t>Committed to advancing Utah’s energy &amp; minerals economies for the provision of affordable, reliable, and sustainable outcomes that provide significant and lasting value to the state.</t>
  </si>
  <si>
    <t>https://energy.utah.gov/</t>
  </si>
  <si>
    <t>Copy and Paste; Individual export</t>
  </si>
  <si>
    <t>Catalog; Map</t>
  </si>
  <si>
    <t>html; pdf</t>
  </si>
  <si>
    <t>https://naturalresources.utah.gov/</t>
  </si>
  <si>
    <t>Help conserve water</t>
  </si>
  <si>
    <t>n30</t>
  </si>
  <si>
    <t xml:space="preserve">Provides engineering design and construction management services for various board-funded irrigation and dam safety projects as well as providing water-related engineering assistance </t>
  </si>
  <si>
    <t>https://water.utah.gov/development-branch/construction/</t>
  </si>
  <si>
    <t>https://water.utah.gov/division-sections/geology-2/</t>
  </si>
  <si>
    <t>https://water.utah.gov/planning/hydrology-modeling/</t>
  </si>
  <si>
    <t>https://water.utah.gov/division-sections/technical-services/</t>
  </si>
  <si>
    <t>https://watered.utah.gov/</t>
  </si>
  <si>
    <t>Project Funding Program</t>
  </si>
  <si>
    <t>Construction &amp; Design Program</t>
  </si>
  <si>
    <t>Geology Program</t>
  </si>
  <si>
    <t>Hydrology &amp; Modeling Program</t>
  </si>
  <si>
    <t>Water Education Program</t>
  </si>
  <si>
    <t>Provides geologic expertise in areas of general geology, hydrology, wells, groundwater recharge, geologic hazards, public inquiries, and education.</t>
  </si>
  <si>
    <t>Supports the planning and development activities of the Division of Water Resources by determining whether water supplies are sufficient, determining whether reservoirs and/or pipelines will assist in solving water shortages, supplying water budget data for statewide water planning, assisting the Construction &amp; Design section with dam safety projects.</t>
  </si>
  <si>
    <t xml:space="preserve">Provides Geographic Information Systems and Computer Aided Design services to the rest of the division, our partners, and the public. </t>
  </si>
  <si>
    <t>Help prepare today's children for responsible citizenship in the next century through developing awareness, knowledge, and skills for efficient water use.</t>
  </si>
  <si>
    <t>n31</t>
  </si>
  <si>
    <t>n32</t>
  </si>
  <si>
    <t>n33</t>
  </si>
  <si>
    <t>n34</t>
  </si>
  <si>
    <t>n35</t>
  </si>
  <si>
    <t>Water Rights Program</t>
  </si>
  <si>
    <t>Regulates the appropriation and distribution of water rights in the State of Utah.</t>
  </si>
  <si>
    <t>https://www.waterrights.utah.gov/wrinfo/default.asp</t>
  </si>
  <si>
    <t>Distribution Program</t>
  </si>
  <si>
    <t>Well Drilling Program</t>
  </si>
  <si>
    <t>n36</t>
  </si>
  <si>
    <t>Operates collaboratively with other sections within the State Engineer’s Office and works to terminate violations and, where appropriate, by assessing monetary penalties and ordering replacement of water taken without a water rights.</t>
  </si>
  <si>
    <t>https://www.waterrights.utah.gov/regulation/default.asp</t>
  </si>
  <si>
    <t>n37</t>
  </si>
  <si>
    <t>Proof of Beneficial Use Program</t>
  </si>
  <si>
    <t>Enforcement Program</t>
  </si>
  <si>
    <t>Adjudication Program</t>
  </si>
  <si>
    <t>Processes the proof (sworn statement) of a constructued diversion and conveyance works and the beneficial use of water.</t>
  </si>
  <si>
    <t>https://www.waterrights.utah.gov/proofs/default.asp</t>
  </si>
  <si>
    <t>n38</t>
  </si>
  <si>
    <t>Tile Transfer Program</t>
  </si>
  <si>
    <t>Manages water right titles.</t>
  </si>
  <si>
    <t>https://www.waterrights.utah.gov/titleInfo/default.asp</t>
  </si>
  <si>
    <t>https://ag.utah.gov</t>
  </si>
  <si>
    <t>n39</t>
  </si>
  <si>
    <t>https://gis.utah.gov/</t>
  </si>
  <si>
    <t>Geological Survey</t>
  </si>
  <si>
    <t>https://dem.utah.gov/</t>
  </si>
  <si>
    <t>Flood Mitigation Assistance Program</t>
  </si>
  <si>
    <t>State Hazard Mitigation Program</t>
  </si>
  <si>
    <t>n40</t>
  </si>
  <si>
    <t>n41</t>
  </si>
  <si>
    <t>n42</t>
  </si>
  <si>
    <t>https://dem.utah.gov/grants/non-disaster-grants/fma/</t>
  </si>
  <si>
    <t>Provides funding to assist States and communities in implementing measures to reduce or eliminate the long-term risk of flood damage to buildings, manufactured homes, and other structures insurable under the National Flood Insurance Program.</t>
  </si>
  <si>
    <t>https://hazards.utah.gov/</t>
  </si>
  <si>
    <t>A safe, resilient Utah capable of recovering from a natural disaster through mitigation projects designed to prevent loss of life, protect property, and reduce post-disaster expenses</t>
  </si>
  <si>
    <t>Encourage and facilitate the effective use of geospatial information and technology for Utah.</t>
  </si>
  <si>
    <t>https://commerce.utah.gov/</t>
  </si>
  <si>
    <t>Water Section</t>
  </si>
  <si>
    <t>Monitors and regulates numerous private water companies in Utah.</t>
  </si>
  <si>
    <t>https://health.utah.gov/</t>
  </si>
  <si>
    <t>Technical Services Program</t>
  </si>
  <si>
    <t>Coal Program</t>
  </si>
  <si>
    <t>Oil and Gas Program</t>
  </si>
  <si>
    <t>p55</t>
  </si>
  <si>
    <t>Irregular</t>
  </si>
  <si>
    <t>p51</t>
  </si>
  <si>
    <t>Permission Required</t>
  </si>
  <si>
    <t>Water Quality Permits</t>
  </si>
  <si>
    <t>https://secure.utah.gov/waterquality/search.html</t>
  </si>
  <si>
    <t>p52</t>
  </si>
  <si>
    <t>UPDES Permitting Program</t>
  </si>
  <si>
    <t>https://deq.utah.gov/water-quality/updes-permitting-program#individual</t>
  </si>
  <si>
    <t>in data</t>
  </si>
  <si>
    <t>Descriptive; Administrative</t>
  </si>
  <si>
    <t>Monthly or Higher</t>
  </si>
  <si>
    <t>http://mapserv.utah.gov/surfacewaterquality/</t>
  </si>
  <si>
    <t>Current only</t>
  </si>
  <si>
    <t>Waterfowl Consumption Advisories</t>
  </si>
  <si>
    <t>https://deq.utah.gov/waterfowl-advisories/map-utah-waterfowl-advisories</t>
  </si>
  <si>
    <t>Yearly or Higher</t>
  </si>
  <si>
    <t>E. coli in Utah Waters</t>
  </si>
  <si>
    <t>https://deq.utah.gov/water-quality/e-coli</t>
  </si>
  <si>
    <t>https://v2.wqdatalive.com/public/669</t>
  </si>
  <si>
    <t>Utah Lake WQ Network</t>
  </si>
  <si>
    <t>https://deq.utah.gov/water-quality/harmful-algal-blooms-home</t>
  </si>
  <si>
    <t>Daily or Higher</t>
  </si>
  <si>
    <t>p53</t>
  </si>
  <si>
    <t>Link to Source</t>
  </si>
  <si>
    <t>Regional Water Conservation Goals</t>
  </si>
  <si>
    <t>https://water.utah.gov/regional-conservation-goals/</t>
  </si>
  <si>
    <t>https://opendata.gis.utah.gov/</t>
  </si>
  <si>
    <t>p54</t>
  </si>
  <si>
    <t>Utah Open Data Catalog</t>
  </si>
  <si>
    <t>Technology Coordination Office - Automated Geographic Reference Center</t>
  </si>
  <si>
    <t>https://dataexplorer.ogm.utah.gov/</t>
  </si>
  <si>
    <t>https://oilgas.ogm.utah.gov/oilgasweb/data-center/dc-main.xhtml#download</t>
  </si>
  <si>
    <t>Data Research Center</t>
  </si>
  <si>
    <t>csv</t>
  </si>
  <si>
    <t>https://www.waterrights.utah.gov/asp_apps/generalWaterUse/WaterUseList.asp</t>
  </si>
  <si>
    <t>Realtime Distribution System</t>
  </si>
  <si>
    <t>Water Use and Streamflow Records</t>
  </si>
  <si>
    <t>https://www.waterrights.utah.gov/distinfo/</t>
  </si>
  <si>
    <t>Copy and Paste; Link to Source</t>
  </si>
  <si>
    <t>https://waterrights.utah.gov/seactions/default.asp</t>
  </si>
  <si>
    <t>Regulation Database</t>
  </si>
  <si>
    <t>DRILVIEW Water Well Driller Licensing Viewer</t>
  </si>
  <si>
    <t>Copy and Paste; Individual Export</t>
  </si>
  <si>
    <t>Full Export</t>
  </si>
  <si>
    <t xml:space="preserve">Well Drilling Statstics </t>
  </si>
  <si>
    <t>Geologic Logs for Wells</t>
  </si>
  <si>
    <t>Groundwater Management Plans</t>
  </si>
  <si>
    <t xml:space="preserve">Ground Level Trend Viewer </t>
  </si>
  <si>
    <t>https://maps.waterrights.utah.gov/EsriMap/gw-graphs.asp</t>
  </si>
  <si>
    <t>Map; Catalog</t>
  </si>
  <si>
    <t>https://apps.geology.utah.gov/gwdp/</t>
  </si>
  <si>
    <t>Individual Export; Batch Export; Link to Source</t>
  </si>
  <si>
    <t>Groundwater Monitoring Data Portal</t>
  </si>
  <si>
    <t>html; csv; pdf</t>
  </si>
  <si>
    <t>https://geology.utah.gov/map-pub/maps/interactive-maps/wells-springs/</t>
  </si>
  <si>
    <t>Geothermal Well &amp; Spring Database</t>
  </si>
  <si>
    <t>Utah Geological Survey</t>
  </si>
  <si>
    <t>Map; Website</t>
  </si>
  <si>
    <t xml:space="preserve">Groundwater Quality Publications </t>
  </si>
  <si>
    <t>https://geology.utah.gov/resources/groundwater/water-quality/</t>
  </si>
  <si>
    <t>geodatabase</t>
  </si>
  <si>
    <t>Groundwater Recharge and Discharge Maps</t>
  </si>
  <si>
    <t>https://geology.utah.gov/resources/groundwater/rechargedischarge-areas/</t>
  </si>
  <si>
    <t>Utah Wetlands</t>
  </si>
  <si>
    <t>https://geology.utah.gov/apps/wetlands/index.html</t>
  </si>
  <si>
    <t>Descriptive</t>
  </si>
  <si>
    <t>https://ffsl.utah.gov/forestry/maps/</t>
  </si>
  <si>
    <t>Comprehensive River plans</t>
  </si>
  <si>
    <t>Forestry, Fire, and State Lands</t>
  </si>
  <si>
    <t>State Geographic Information Database</t>
  </si>
  <si>
    <t>https://gis.utah.gov/#data</t>
  </si>
  <si>
    <t>Water Reports</t>
  </si>
  <si>
    <t>https://water.utah.gov/water-data/water-reports/</t>
  </si>
  <si>
    <t>http://utah.maps.arcgis.com/apps/Viewer/index.html?appid=573dfdb6220d4fada6d833def633b866</t>
  </si>
  <si>
    <t>excel; csv; geodatabase; shapefile</t>
  </si>
  <si>
    <t>Environmental Interactive Map</t>
  </si>
  <si>
    <t>Yes; Registration Required</t>
  </si>
  <si>
    <t>https://awqms3.goldsystems.com/Login.aspx</t>
  </si>
  <si>
    <t>excel; pdf</t>
  </si>
  <si>
    <t>kml</t>
  </si>
  <si>
    <t>Open Tap: Utah's Water Data Directory</t>
  </si>
  <si>
    <t>excel; kml; shapefile; geodatabase; pdf; geojson</t>
  </si>
  <si>
    <t>LinktoSource</t>
  </si>
  <si>
    <t>Direct</t>
  </si>
  <si>
    <t>Utah State University</t>
  </si>
  <si>
    <t>n43</t>
  </si>
  <si>
    <t>n44</t>
  </si>
  <si>
    <t>http://www.usu.edu/</t>
  </si>
  <si>
    <t>To be one of the nation’s premier student-centered land-grant and space-grant universities by fostering the principle that academics come first, by cultivating diversity of thought and culture, and by serving the public through learning, discovery and engagement.</t>
  </si>
  <si>
    <t>Strives to provide quality climate data.</t>
  </si>
  <si>
    <t>Agweather</t>
  </si>
  <si>
    <t>https://climate.usu.edu/mchd/index.php</t>
  </si>
  <si>
    <t>https://climate.usu.edu/cloudSeeding/index.php</t>
  </si>
  <si>
    <t>Cloud Seeding</t>
  </si>
  <si>
    <t>html; csv</t>
  </si>
  <si>
    <t>p56</t>
  </si>
  <si>
    <t>Indirect</t>
  </si>
  <si>
    <t>Website; Map; Catalog</t>
  </si>
  <si>
    <t>excel; csv; geojson; shapefile; kml; geodatabase</t>
  </si>
  <si>
    <t>Descriptive; Structural</t>
  </si>
  <si>
    <t>csv; xml; json; pdf</t>
  </si>
  <si>
    <t>p50</t>
  </si>
  <si>
    <t>Structural; Descriptive; Administrative</t>
  </si>
  <si>
    <t>excel; csv; txt</t>
  </si>
  <si>
    <t>excel; pdf; geodatabase</t>
  </si>
  <si>
    <t>p57</t>
  </si>
  <si>
    <t>p58</t>
  </si>
  <si>
    <t>p59</t>
  </si>
  <si>
    <t>Link to Source; Copy and Paste</t>
  </si>
  <si>
    <t>p60</t>
  </si>
  <si>
    <t>Web Services; Full Export</t>
  </si>
  <si>
    <t>p61</t>
  </si>
  <si>
    <t>p62</t>
  </si>
  <si>
    <t>p63</t>
  </si>
  <si>
    <t>AGRC</t>
  </si>
  <si>
    <t>UDAF</t>
  </si>
  <si>
    <t>UDAF-Conservation Division</t>
  </si>
  <si>
    <t>UDOC-Public Utilities Division</t>
  </si>
  <si>
    <t>UDEQ</t>
  </si>
  <si>
    <t>Water Utilities</t>
  </si>
  <si>
    <t>UDEQ-Water Quality</t>
  </si>
  <si>
    <t>UDEQ-Drinking Water</t>
  </si>
  <si>
    <t>UDEQ-Environmental Response</t>
  </si>
  <si>
    <t>Health-Data Informatics</t>
  </si>
  <si>
    <t>UDNR-Water Resources</t>
  </si>
  <si>
    <t>UDNR-Conservation Program</t>
  </si>
  <si>
    <t>UDNR-Project Funding Program</t>
  </si>
  <si>
    <t>UDNR-Water Rights</t>
  </si>
  <si>
    <t>UDNR-Distribution Program</t>
  </si>
  <si>
    <t>UDNR-Well Drilling Program</t>
  </si>
  <si>
    <t>Dam Safety Database Information Viewer</t>
  </si>
  <si>
    <t>UDNR-Stream Alteration Program</t>
  </si>
  <si>
    <t>UDNR-Dam Safety</t>
  </si>
  <si>
    <t>Stream Alteration Program</t>
  </si>
  <si>
    <t>Stream Alteration Permit Viewer</t>
  </si>
  <si>
    <t>Adjudication Status</t>
  </si>
  <si>
    <t>UDNR-Adjudication Program</t>
  </si>
  <si>
    <t>UDNR-Enforcement Program</t>
  </si>
  <si>
    <t>Climate Center</t>
  </si>
  <si>
    <t>Division of Oil, Gas and Mining</t>
  </si>
  <si>
    <t>UDNR-UDOGM</t>
  </si>
  <si>
    <t>UDNR-Geological Survey</t>
  </si>
  <si>
    <t>UDPS-Emergency Management</t>
  </si>
  <si>
    <t>UDNR-FFSL</t>
  </si>
  <si>
    <t>n45</t>
  </si>
  <si>
    <t>Forestry, Fire &amp; State Lands</t>
  </si>
  <si>
    <t>Responsible for forest health, responding to wildland fires and managing sovereign lands in Utah.</t>
  </si>
  <si>
    <t>https://ffsl.utah.gov/</t>
  </si>
  <si>
    <t>water rights;</t>
  </si>
  <si>
    <t>duty values; irrigation</t>
  </si>
  <si>
    <t>well logs; point of diversion;</t>
  </si>
  <si>
    <t>water service areas; points of diversion; water pumps; canals; dam locations</t>
  </si>
  <si>
    <t>dam inundation levels</t>
  </si>
  <si>
    <t>reservoir</t>
  </si>
  <si>
    <t>great lake flooding; floodplains</t>
  </si>
  <si>
    <t>water quality assessment of lakes and streams</t>
  </si>
  <si>
    <t>streams; hucs; lakes; aquifer</t>
  </si>
  <si>
    <t>Water &amp; irrigation costs; irrigated acres</t>
  </si>
  <si>
    <t>groundwater locations; site condition; sample site; well head; well casing</t>
  </si>
  <si>
    <t>coliforms; temperature, conductivity; TSS; hardness</t>
  </si>
  <si>
    <t>Water utility service areas</t>
  </si>
  <si>
    <t>Utility Information; Rates</t>
  </si>
  <si>
    <t>watershed boundaries</t>
  </si>
  <si>
    <t>points of diversion; NPDES locations; Public Water Systems; monitoring locations</t>
  </si>
  <si>
    <t>Assessed lakes and waters; mercury in fish</t>
  </si>
  <si>
    <t>groundwater permits; water rights; NPDES discharges</t>
  </si>
  <si>
    <t>UIC; Groundwater Projection Zones</t>
  </si>
  <si>
    <t>Irrigated Crop Consumptive Zones</t>
  </si>
  <si>
    <t>Regulatory Water Quality</t>
  </si>
  <si>
    <t>Utility information</t>
  </si>
  <si>
    <t>Water Quality Data</t>
  </si>
  <si>
    <t>Permit information</t>
  </si>
  <si>
    <t>Anti-degradation category; TMDL category; Impairment Status</t>
  </si>
  <si>
    <t>Beneficial Use</t>
  </si>
  <si>
    <t>It tells you something about the quality of the water even if in regulatory terms</t>
  </si>
  <si>
    <t>TMDL; Water Quality Data and parameters</t>
  </si>
  <si>
    <t>Mercury sampling; fish consumption</t>
  </si>
  <si>
    <t>Ecoli warnings</t>
  </si>
  <si>
    <t>ph; temperature; conductivity; DO</t>
  </si>
  <si>
    <t>CWS with arsenic; nitrates; etc</t>
  </si>
  <si>
    <t>state and water basin plans</t>
  </si>
  <si>
    <t>municipal and industrial water use</t>
  </si>
  <si>
    <t>Irrigation Type and Land Use</t>
  </si>
  <si>
    <t>Full Export; Web Services</t>
  </si>
  <si>
    <t>counties; service areas</t>
  </si>
  <si>
    <t>municipal and industrial water use; storage; etc</t>
  </si>
  <si>
    <t>precip</t>
  </si>
  <si>
    <t>Distribution systems</t>
  </si>
  <si>
    <t>Snow Survey</t>
  </si>
  <si>
    <t>Climpate data</t>
  </si>
  <si>
    <t>Air temperautre</t>
  </si>
  <si>
    <t>canals; consumptive use stations; dams; distribution systems</t>
  </si>
  <si>
    <t>Irrigation Duty Values</t>
  </si>
  <si>
    <t>Groundwater status; models</t>
  </si>
  <si>
    <t>Groundwater basins</t>
  </si>
  <si>
    <t>Hydrologic Survey Maps</t>
  </si>
  <si>
    <t>water use type; diversion type; status of right</t>
  </si>
  <si>
    <t>notices and priority cuts</t>
  </si>
  <si>
    <t>water rights activity</t>
  </si>
  <si>
    <t>flow records</t>
  </si>
  <si>
    <t>reports and documents</t>
  </si>
  <si>
    <t>water use by supplier and customer type</t>
  </si>
  <si>
    <t>water rights by water companies</t>
  </si>
  <si>
    <t>flow rates</t>
  </si>
  <si>
    <t>reservoir capacity</t>
  </si>
  <si>
    <t>Snotel links</t>
  </si>
  <si>
    <t>streamflow data</t>
  </si>
  <si>
    <t>reservoir storage</t>
  </si>
  <si>
    <t>climate</t>
  </si>
  <si>
    <t>Drought and climate risk and flood</t>
  </si>
  <si>
    <t>Recharge and recovery projects</t>
  </si>
  <si>
    <t>well information</t>
  </si>
  <si>
    <t>Water rights with well</t>
  </si>
  <si>
    <t>Water at drill depth</t>
  </si>
  <si>
    <t>water quality records</t>
  </si>
  <si>
    <t>water use data</t>
  </si>
  <si>
    <t>companies that drill water wells</t>
  </si>
  <si>
    <t>Geologic information on wells</t>
  </si>
  <si>
    <t>Groundwater depth</t>
  </si>
  <si>
    <t>dam inventory</t>
  </si>
  <si>
    <t>reservoir information and wter rights</t>
  </si>
  <si>
    <t>water use groups</t>
  </si>
  <si>
    <t>reservoir levles</t>
  </si>
  <si>
    <t>permits for stream alteration</t>
  </si>
  <si>
    <t>Active adjudications and status</t>
  </si>
  <si>
    <t>water rights</t>
  </si>
  <si>
    <t>Hydrographic Survey</t>
  </si>
  <si>
    <t>regulation database</t>
  </si>
  <si>
    <t>monitoring locations</t>
  </si>
  <si>
    <t>streamflow</t>
  </si>
  <si>
    <t>TSS; pH; Iron, Nickel, metals, etc</t>
  </si>
  <si>
    <t>Groundwater quality and quantity</t>
  </si>
  <si>
    <t>well location</t>
  </si>
  <si>
    <t>driling plans</t>
  </si>
  <si>
    <t>geology</t>
  </si>
  <si>
    <t>well data</t>
  </si>
  <si>
    <t>injection data</t>
  </si>
  <si>
    <t>groundwater elevations</t>
  </si>
  <si>
    <t>water temperature</t>
  </si>
  <si>
    <t>temperature and quality data</t>
  </si>
  <si>
    <t>flow and depth</t>
  </si>
  <si>
    <t>springs flow and depth</t>
  </si>
  <si>
    <t>groundwater quality</t>
  </si>
  <si>
    <t>groundwater recharge</t>
  </si>
  <si>
    <t>wetland shapefile</t>
  </si>
  <si>
    <t>soil classifications</t>
  </si>
  <si>
    <t>species data and quality data</t>
  </si>
  <si>
    <t>river use classification</t>
  </si>
  <si>
    <t>hydrology; location of WTP and gauges</t>
  </si>
  <si>
    <t>stream channel</t>
  </si>
  <si>
    <t>Flood; drought; precip events</t>
  </si>
  <si>
    <t>AgWeather</t>
  </si>
  <si>
    <t>air temperature</t>
  </si>
  <si>
    <t>temp, dew point, humidity, wind, solar radiation</t>
  </si>
  <si>
    <t>precipitation</t>
  </si>
  <si>
    <t>p64</t>
  </si>
  <si>
    <t>Climate Data</t>
  </si>
  <si>
    <t>https://climate.usu.edu/mapGUI/mapGUI.php</t>
  </si>
  <si>
    <t>Snow</t>
  </si>
  <si>
    <t>ET</t>
  </si>
  <si>
    <t>temperature; climate indices</t>
  </si>
  <si>
    <t>Individual Export; Batch Export</t>
  </si>
  <si>
    <t>Batch Export; Full Export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</si>
</sst>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2"/>
      <color theme="1"/>
      <name val="Calibri"/>
      <family val="2"/>
      <scheme val="minor"/>
    </font>
    <font>
      <sz val="11"/>
      <color theme="1"/>
      <name val="Calibri"/>
      <family val="2"/>
      <scheme val="minor"/>
    </font>
    <font>
      <b/>
      <sz val="12"/>
      <color theme="1"/>
      <name val="Calibri"/>
      <family val="2"/>
      <scheme val="minor"/>
    </font>
    <font>
      <u/>
      <sz val="12"/>
      <color theme="10"/>
      <name val="Calibri"/>
      <family val="2"/>
      <scheme val="minor"/>
    </font>
    <font>
      <sz val="12"/>
      <name val="Calibri"/>
      <family val="2"/>
    </font>
    <font>
      <sz val="8"/>
      <name val="Calibri"/>
      <family val="2"/>
      <scheme val="minor"/>
    </font>
    <font>
      <sz val="12"/>
      <color rgb="FFFF0000"/>
      <name val="Calibri"/>
      <family val="2"/>
      <scheme val="minor"/>
    </font>
    <font>
      <b/>
      <sz val="12"/>
      <name val="Calibri"/>
      <family val="2"/>
      <scheme val="minor"/>
    </font>
    <font>
      <sz val="12"/>
      <name val="Calibri"/>
      <family val="2"/>
      <scheme val="minor"/>
    </font>
    <font>
      <u/>
      <sz val="12"/>
      <color theme="4" tint="-0.249977111117893"/>
      <name val="Calibri"/>
      <family val="2"/>
      <scheme val="minor"/>
    </font>
    <font>
      <b/>
      <sz val="11"/>
      <color theme="1"/>
      <name val="Calibri"/>
      <family val="2"/>
      <scheme val="minor"/>
    </font>
    <font>
      <b/>
      <sz val="9"/>
      <color indexed="81"/>
      <name val="Tahoma"/>
      <family val="2"/>
    </font>
    <font>
      <sz val="9"/>
      <color indexed="81"/>
      <name val="Tahoma"/>
      <family val="2"/>
    </font>
    <font>
      <sz val="11"/>
      <name val="Calibri"/>
      <family val="2"/>
      <scheme val="minor"/>
    </font>
    <font>
      <u/>
      <sz val="11"/>
      <color theme="1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FF"/>
        <bgColor indexed="64"/>
      </patternFill>
    </fill>
  </fills>
  <borders count="2">
    <border>
      <left/>
      <right/>
      <top/>
      <bottom/>
      <diagonal/>
    </border>
    <border>
      <left/>
      <right/>
      <top/>
      <bottom style="thin">
        <color auto="1"/>
      </bottom>
      <diagonal/>
    </border>
  </borders>
  <cellStyleXfs count="2">
    <xf numFmtId="0" fontId="0" fillId="0" borderId="0"/>
    <xf numFmtId="0" fontId="3" fillId="0" borderId="0" applyNumberFormat="0" applyFill="0" applyBorder="0" applyAlignment="0" applyProtection="0"/>
  </cellStyleXfs>
  <cellXfs count="45">
    <xf numFmtId="0" fontId="0" fillId="0" borderId="0" xfId="0"/>
    <xf numFmtId="0" fontId="0" fillId="2" borderId="0" xfId="0" applyFill="1"/>
    <xf numFmtId="0" fontId="2" fillId="2" borderId="0" xfId="0" applyFont="1" applyFill="1"/>
    <xf numFmtId="0" fontId="0" fillId="3" borderId="0" xfId="0" applyFill="1" applyAlignment="1">
      <alignment horizontal="center"/>
    </xf>
    <xf numFmtId="0" fontId="2" fillId="2" borderId="1" xfId="0" applyFont="1" applyFill="1" applyBorder="1"/>
    <xf numFmtId="0" fontId="0" fillId="3" borderId="0" xfId="0" applyFill="1"/>
    <xf numFmtId="0" fontId="4" fillId="0" borderId="0" xfId="0" applyFont="1"/>
    <xf numFmtId="0" fontId="7" fillId="2" borderId="1" xfId="0" applyFont="1" applyFill="1" applyBorder="1" applyAlignment="1">
      <alignment horizontal="center"/>
    </xf>
    <xf numFmtId="0" fontId="7" fillId="2" borderId="0" xfId="0" applyFont="1" applyFill="1"/>
    <xf numFmtId="0" fontId="0" fillId="2" borderId="0" xfId="0" applyFill="1" applyBorder="1"/>
    <xf numFmtId="0" fontId="8" fillId="2" borderId="0" xfId="0" applyFont="1" applyFill="1" applyBorder="1"/>
    <xf numFmtId="0" fontId="0" fillId="2" borderId="0" xfId="0" applyFill="1"/>
    <xf numFmtId="0" fontId="3" fillId="2" borderId="0" xfId="1" applyFill="1"/>
    <xf numFmtId="0" fontId="3" fillId="0" borderId="0" xfId="1"/>
    <xf numFmtId="0" fontId="6" fillId="2" borderId="0" xfId="0" applyFont="1" applyFill="1"/>
    <xf numFmtId="0" fontId="8" fillId="2" borderId="0" xfId="0" applyFont="1" applyFill="1"/>
    <xf numFmtId="0" fontId="8" fillId="2" borderId="0" xfId="1" applyFont="1" applyFill="1"/>
    <xf numFmtId="0" fontId="9" fillId="2" borderId="0" xfId="1" applyFont="1" applyFill="1"/>
    <xf numFmtId="0" fontId="8" fillId="0" borderId="0" xfId="0" applyFont="1"/>
    <xf numFmtId="0" fontId="8" fillId="2" borderId="0" xfId="0" applyFont="1" applyFill="1" applyAlignment="1">
      <alignment wrapText="1"/>
    </xf>
    <xf numFmtId="0" fontId="8" fillId="2" borderId="0" xfId="0" applyFont="1" applyFill="1" applyAlignment="1"/>
    <xf numFmtId="0" fontId="9" fillId="0" borderId="0" xfId="1" applyFont="1"/>
    <xf numFmtId="0" fontId="7" fillId="2" borderId="0" xfId="0" applyFont="1" applyFill="1" applyAlignment="1">
      <alignment horizontal="center"/>
    </xf>
    <xf numFmtId="0" fontId="8" fillId="2" borderId="0" xfId="0" applyFont="1" applyFill="1" applyAlignment="1">
      <alignment horizontal="center"/>
    </xf>
    <xf numFmtId="0" fontId="2" fillId="2" borderId="0" xfId="0" applyFont="1" applyFill="1" applyAlignment="1">
      <alignment horizontal="left"/>
    </xf>
    <xf numFmtId="0" fontId="3" fillId="0" borderId="0" xfId="1" applyAlignment="1">
      <alignment horizontal="left"/>
    </xf>
    <xf numFmtId="0" fontId="3" fillId="2" borderId="0" xfId="1" applyFill="1" applyAlignment="1">
      <alignment horizontal="left"/>
    </xf>
    <xf numFmtId="0" fontId="3" fillId="4" borderId="0" xfId="1" applyFill="1" applyAlignment="1">
      <alignment horizontal="left"/>
    </xf>
    <xf numFmtId="0" fontId="0" fillId="2" borderId="0" xfId="0" applyFill="1" applyAlignment="1">
      <alignment horizontal="left"/>
    </xf>
    <xf numFmtId="0" fontId="10" fillId="2" borderId="0" xfId="0" applyFont="1" applyFill="1"/>
    <xf numFmtId="0" fontId="13" fillId="2" borderId="0" xfId="0" applyFont="1" applyFill="1"/>
    <xf numFmtId="0" fontId="14" fillId="0" borderId="0" xfId="1" applyFont="1" applyAlignment="1">
      <alignment horizontal="left"/>
    </xf>
    <xf numFmtId="0" fontId="1" fillId="2" borderId="0" xfId="0" applyFont="1" applyFill="1"/>
    <xf numFmtId="0" fontId="1" fillId="2" borderId="0" xfId="0" applyFont="1" applyFill="1" applyAlignment="1">
      <alignment horizontal="left" vertical="center"/>
    </xf>
    <xf numFmtId="0" fontId="1" fillId="2" borderId="0" xfId="0" applyFont="1" applyFill="1" applyAlignment="1">
      <alignment vertical="center"/>
    </xf>
    <xf numFmtId="0" fontId="1" fillId="2" borderId="0" xfId="0" applyFont="1" applyFill="1" applyAlignment="1">
      <alignment horizontal="center" vertical="center"/>
    </xf>
    <xf numFmtId="0" fontId="10" fillId="2" borderId="0" xfId="0" applyFont="1" applyFill="1" applyAlignment="1">
      <alignment horizontal="center" vertical="center" wrapText="1"/>
    </xf>
    <xf numFmtId="0" fontId="10" fillId="2" borderId="0" xfId="0" applyFont="1" applyFill="1" applyAlignment="1">
      <alignment horizontal="center" vertical="center"/>
    </xf>
    <xf numFmtId="0" fontId="10" fillId="2" borderId="0" xfId="0" applyFont="1" applyFill="1" applyAlignment="1">
      <alignment vertical="center"/>
    </xf>
    <xf numFmtId="0" fontId="10" fillId="2" borderId="0" xfId="0" applyFont="1" applyFill="1" applyAlignment="1">
      <alignment horizontal="left" vertical="center"/>
    </xf>
    <xf numFmtId="0" fontId="13" fillId="2" borderId="0" xfId="0" applyFont="1" applyFill="1" applyBorder="1"/>
    <xf numFmtId="0" fontId="1" fillId="2" borderId="0" xfId="0" applyFont="1" applyFill="1" applyAlignment="1"/>
    <xf numFmtId="0" fontId="1" fillId="2" borderId="0" xfId="0" applyFont="1" applyFill="1" applyAlignment="1">
      <alignment horizontal="left"/>
    </xf>
    <xf numFmtId="0" fontId="14" fillId="0" borderId="0" xfId="1" applyFont="1"/>
    <xf numFmtId="0" fontId="14" fillId="2" borderId="0" xfId="1" applyFont="1" applyFill="1"/>
  </cellXfs>
  <cellStyles count="2">
    <cellStyle name="Hyperlink" xfId="1" builtinId="8"/>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conservewater.utah.gov/default.asp" TargetMode="External"/><Relationship Id="rId13" Type="http://schemas.openxmlformats.org/officeDocument/2006/relationships/hyperlink" Target="https://waterrights.utah.gov/daminfo/default.asp" TargetMode="External"/><Relationship Id="rId18" Type="http://schemas.openxmlformats.org/officeDocument/2006/relationships/hyperlink" Target="https://oilgas.ogm.utah.gov/oilgasweb/index.xhtml" TargetMode="External"/><Relationship Id="rId26" Type="http://schemas.openxmlformats.org/officeDocument/2006/relationships/hyperlink" Target="https://water.utah.gov/" TargetMode="External"/><Relationship Id="rId39" Type="http://schemas.openxmlformats.org/officeDocument/2006/relationships/hyperlink" Target="http://www.usu.edu/" TargetMode="External"/><Relationship Id="rId3" Type="http://schemas.openxmlformats.org/officeDocument/2006/relationships/hyperlink" Target="https://dpu.utah.gov/about.html" TargetMode="External"/><Relationship Id="rId21" Type="http://schemas.openxmlformats.org/officeDocument/2006/relationships/hyperlink" Target="https://energy.utah.gov/" TargetMode="External"/><Relationship Id="rId34" Type="http://schemas.openxmlformats.org/officeDocument/2006/relationships/hyperlink" Target="https://dem.utah.gov/" TargetMode="External"/><Relationship Id="rId42" Type="http://schemas.openxmlformats.org/officeDocument/2006/relationships/printerSettings" Target="../printerSettings/printerSettings1.bin"/><Relationship Id="rId7" Type="http://schemas.openxmlformats.org/officeDocument/2006/relationships/hyperlink" Target="https://water.utah.gov/division-sections/planning-section/" TargetMode="External"/><Relationship Id="rId12" Type="http://schemas.openxmlformats.org/officeDocument/2006/relationships/hyperlink" Target="https://waterrights.utah.gov/distinfo/default.asp" TargetMode="External"/><Relationship Id="rId17" Type="http://schemas.openxmlformats.org/officeDocument/2006/relationships/hyperlink" Target="https://www.ogm.utah.gov/coal/about.php" TargetMode="External"/><Relationship Id="rId25" Type="http://schemas.openxmlformats.org/officeDocument/2006/relationships/hyperlink" Target="https://naturalresources.utah.gov/" TargetMode="External"/><Relationship Id="rId33" Type="http://schemas.openxmlformats.org/officeDocument/2006/relationships/hyperlink" Target="https://gis.utah.gov/" TargetMode="External"/><Relationship Id="rId38" Type="http://schemas.openxmlformats.org/officeDocument/2006/relationships/hyperlink" Target="https://health.utah.gov/" TargetMode="External"/><Relationship Id="rId2" Type="http://schemas.openxmlformats.org/officeDocument/2006/relationships/hyperlink" Target="https://commerce.utah.gov/" TargetMode="External"/><Relationship Id="rId16" Type="http://schemas.openxmlformats.org/officeDocument/2006/relationships/hyperlink" Target="https://www.ogm.utah.gov/about.php" TargetMode="External"/><Relationship Id="rId20" Type="http://schemas.openxmlformats.org/officeDocument/2006/relationships/hyperlink" Target="https://publicsafety.utah.gov/" TargetMode="External"/><Relationship Id="rId29" Type="http://schemas.openxmlformats.org/officeDocument/2006/relationships/hyperlink" Target="https://www.waterrights.utah.gov/regulation/default.asp" TargetMode="External"/><Relationship Id="rId41" Type="http://schemas.openxmlformats.org/officeDocument/2006/relationships/hyperlink" Target="https://ffsl.utah.gov/" TargetMode="External"/><Relationship Id="rId1" Type="http://schemas.openxmlformats.org/officeDocument/2006/relationships/hyperlink" Target="https://ag.utah.gov/farmers/conservation-division/" TargetMode="External"/><Relationship Id="rId6" Type="http://schemas.openxmlformats.org/officeDocument/2006/relationships/hyperlink" Target="https://www.utah.gov/index.html" TargetMode="External"/><Relationship Id="rId11" Type="http://schemas.openxmlformats.org/officeDocument/2006/relationships/hyperlink" Target="https://waterrights.utah.gov/wellinfo/default.asp" TargetMode="External"/><Relationship Id="rId24" Type="http://schemas.openxmlformats.org/officeDocument/2006/relationships/hyperlink" Target="https://deq.utah.gov/division-drinking-water" TargetMode="External"/><Relationship Id="rId32" Type="http://schemas.openxmlformats.org/officeDocument/2006/relationships/hyperlink" Target="https://ag.utah.gov/" TargetMode="External"/><Relationship Id="rId37" Type="http://schemas.openxmlformats.org/officeDocument/2006/relationships/hyperlink" Target="https://dpu.utah.gov/utillist-water.html" TargetMode="External"/><Relationship Id="rId40" Type="http://schemas.openxmlformats.org/officeDocument/2006/relationships/hyperlink" Target="https://climate.usu.edu/index.php" TargetMode="External"/><Relationship Id="rId5" Type="http://schemas.openxmlformats.org/officeDocument/2006/relationships/hyperlink" Target="http://health.utah.gov/chd/" TargetMode="External"/><Relationship Id="rId15" Type="http://schemas.openxmlformats.org/officeDocument/2006/relationships/hyperlink" Target="https://waterrights.utah.gov/adjdinfo/default.asp" TargetMode="External"/><Relationship Id="rId23" Type="http://schemas.openxmlformats.org/officeDocument/2006/relationships/hyperlink" Target="https://deq.utah.gov/division-water-quality" TargetMode="External"/><Relationship Id="rId28" Type="http://schemas.openxmlformats.org/officeDocument/2006/relationships/hyperlink" Target="https://www.waterrights.utah.gov/wrinfo/default.asp" TargetMode="External"/><Relationship Id="rId36" Type="http://schemas.openxmlformats.org/officeDocument/2006/relationships/hyperlink" Target="https://hazards.utah.gov/" TargetMode="External"/><Relationship Id="rId10" Type="http://schemas.openxmlformats.org/officeDocument/2006/relationships/hyperlink" Target="https://www.waterrights.utah.gov/" TargetMode="External"/><Relationship Id="rId19" Type="http://schemas.openxmlformats.org/officeDocument/2006/relationships/hyperlink" Target="https://geology.utah.gov/" TargetMode="External"/><Relationship Id="rId31" Type="http://schemas.openxmlformats.org/officeDocument/2006/relationships/hyperlink" Target="https://www.waterrights.utah.gov/titleInfo/default.asp" TargetMode="External"/><Relationship Id="rId4" Type="http://schemas.openxmlformats.org/officeDocument/2006/relationships/hyperlink" Target="https://deq.utah.gov/" TargetMode="External"/><Relationship Id="rId9" Type="http://schemas.openxmlformats.org/officeDocument/2006/relationships/hyperlink" Target="https://water.utah.gov/development-branch/project-funding/" TargetMode="External"/><Relationship Id="rId14" Type="http://schemas.openxmlformats.org/officeDocument/2006/relationships/hyperlink" Target="https://waterrights.utah.gov/strmalt/default.asp" TargetMode="External"/><Relationship Id="rId22" Type="http://schemas.openxmlformats.org/officeDocument/2006/relationships/hyperlink" Target="https://deq.utah.gov/division-environmental-response-remediation" TargetMode="External"/><Relationship Id="rId27" Type="http://schemas.openxmlformats.org/officeDocument/2006/relationships/hyperlink" Target="https://water.utah.gov/development-branch/construction/" TargetMode="External"/><Relationship Id="rId30" Type="http://schemas.openxmlformats.org/officeDocument/2006/relationships/hyperlink" Target="https://www.waterrights.utah.gov/proofs/default.asp" TargetMode="External"/><Relationship Id="rId35" Type="http://schemas.openxmlformats.org/officeDocument/2006/relationships/hyperlink" Target="https://dem.utah.gov/grants/non-disaster-grants/fm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3" Type="http://schemas.openxmlformats.org/officeDocument/2006/relationships/hyperlink" Target="https://conservewater.utah.gov/guide.html" TargetMode="External"/><Relationship Id="rId18" Type="http://schemas.openxmlformats.org/officeDocument/2006/relationships/hyperlink" Target="https://www.waterrights.utah.gov/distinfo/realtime_info.asp" TargetMode="External"/><Relationship Id="rId26" Type="http://schemas.openxmlformats.org/officeDocument/2006/relationships/hyperlink" Target="https://deq.utah.gov/waterfowl-advisories/map-utah-waterfowl-advisories" TargetMode="External"/><Relationship Id="rId39" Type="http://schemas.openxmlformats.org/officeDocument/2006/relationships/hyperlink" Target="https://waterrights.utah.gov/cgi-bin/strmview.exe" TargetMode="External"/><Relationship Id="rId21" Type="http://schemas.openxmlformats.org/officeDocument/2006/relationships/hyperlink" Target="https://www.ogm.utah.gov/coal/chias.php" TargetMode="External"/><Relationship Id="rId34" Type="http://schemas.openxmlformats.org/officeDocument/2006/relationships/hyperlink" Target="https://www.waterrights.utah.gov/distinfo/" TargetMode="External"/><Relationship Id="rId42" Type="http://schemas.openxmlformats.org/officeDocument/2006/relationships/hyperlink" Target="https://waterrights.utah.gov/wellinfo/stats2k/default.asp" TargetMode="External"/><Relationship Id="rId47" Type="http://schemas.openxmlformats.org/officeDocument/2006/relationships/hyperlink" Target="https://geology.utah.gov/map-pub/maps/interactive-maps/wells-springs/" TargetMode="External"/><Relationship Id="rId50" Type="http://schemas.openxmlformats.org/officeDocument/2006/relationships/hyperlink" Target="https://ffsl.utah.gov/forestry/maps/" TargetMode="External"/><Relationship Id="rId55" Type="http://schemas.openxmlformats.org/officeDocument/2006/relationships/hyperlink" Target="http://utahdnr.maps.arcgis.com/apps/MapJournal/index.html?appid=d5fd67b3436e4af8be07d91d055a903b" TargetMode="External"/><Relationship Id="rId63" Type="http://schemas.openxmlformats.org/officeDocument/2006/relationships/hyperlink" Target="https://geology.utah.gov/resources/groundwater/rechargedischarge-areas/" TargetMode="External"/><Relationship Id="rId7" Type="http://schemas.openxmlformats.org/officeDocument/2006/relationships/hyperlink" Target="https://water.utah.gov/precipitationgraphs/" TargetMode="External"/><Relationship Id="rId2" Type="http://schemas.openxmlformats.org/officeDocument/2006/relationships/hyperlink" Target="https://ag.utah.gov/about/annual-report-archive/" TargetMode="External"/><Relationship Id="rId16" Type="http://schemas.openxmlformats.org/officeDocument/2006/relationships/hyperlink" Target="https://www.waterrights.utah.gov/distinfo/distribution_systems.asp" TargetMode="External"/><Relationship Id="rId29" Type="http://schemas.openxmlformats.org/officeDocument/2006/relationships/hyperlink" Target="https://deq.utah.gov/water-quality/harmful-algal-blooms-home" TargetMode="External"/><Relationship Id="rId1" Type="http://schemas.openxmlformats.org/officeDocument/2006/relationships/hyperlink" Target="https://ag.utah.gov/farmers/conservation-division/" TargetMode="External"/><Relationship Id="rId6" Type="http://schemas.openxmlformats.org/officeDocument/2006/relationships/hyperlink" Target="https://ibis.health.utah.gov/ibisph-view/indicator/view/CliChaExtWea.html" TargetMode="External"/><Relationship Id="rId11" Type="http://schemas.openxmlformats.org/officeDocument/2006/relationships/hyperlink" Target="http://eqedocs.utah.gov/" TargetMode="External"/><Relationship Id="rId24" Type="http://schemas.openxmlformats.org/officeDocument/2006/relationships/hyperlink" Target="https://deq.utah.gov/water-quality/updes-permitting-program" TargetMode="External"/><Relationship Id="rId32" Type="http://schemas.openxmlformats.org/officeDocument/2006/relationships/hyperlink" Target="https://oilgas.ogm.utah.gov/oilgasweb/data-center/dc-main.xhtml" TargetMode="External"/><Relationship Id="rId37" Type="http://schemas.openxmlformats.org/officeDocument/2006/relationships/hyperlink" Target="https://waterrights.utah.gov/cgi-bin/damview.exe?Startup" TargetMode="External"/><Relationship Id="rId40" Type="http://schemas.openxmlformats.org/officeDocument/2006/relationships/hyperlink" Target="https://waterrights.utah.gov/seactions/default.asp" TargetMode="External"/><Relationship Id="rId45" Type="http://schemas.openxmlformats.org/officeDocument/2006/relationships/hyperlink" Target="https://maps.waterrights.utah.gov/EsriMap/gw-graphs.asp" TargetMode="External"/><Relationship Id="rId53" Type="http://schemas.openxmlformats.org/officeDocument/2006/relationships/hyperlink" Target="http://utah.maps.arcgis.com/apps/Viewer/index.html?appid=573dfdb6220d4fada6d833def633b866" TargetMode="External"/><Relationship Id="rId58" Type="http://schemas.openxmlformats.org/officeDocument/2006/relationships/hyperlink" Target="https://waterrights.utah.gov/groundwater/asr/ASRlist.asp" TargetMode="External"/><Relationship Id="rId66" Type="http://schemas.openxmlformats.org/officeDocument/2006/relationships/vmlDrawing" Target="../drawings/vmlDrawing1.vml"/><Relationship Id="rId5" Type="http://schemas.openxmlformats.org/officeDocument/2006/relationships/hyperlink" Target="https://ibis.health.utah.gov/ibisph-view/topic/Water.html" TargetMode="External"/><Relationship Id="rId15" Type="http://schemas.openxmlformats.org/officeDocument/2006/relationships/hyperlink" Target="https://deq.utah.gov/legacy/programs/water-quality/monitoring-reporting/assessment/2016-integrated-report.htm" TargetMode="External"/><Relationship Id="rId23" Type="http://schemas.openxmlformats.org/officeDocument/2006/relationships/hyperlink" Target="https://secure.utah.gov/waterquality/search.html" TargetMode="External"/><Relationship Id="rId28" Type="http://schemas.openxmlformats.org/officeDocument/2006/relationships/hyperlink" Target="https://v2.wqdatalive.com/public/669" TargetMode="External"/><Relationship Id="rId36" Type="http://schemas.openxmlformats.org/officeDocument/2006/relationships/hyperlink" Target="https://water.utah.gov/regional-conservation-goals/" TargetMode="External"/><Relationship Id="rId49" Type="http://schemas.openxmlformats.org/officeDocument/2006/relationships/hyperlink" Target="https://geology.utah.gov/apps/wetlands/index.html" TargetMode="External"/><Relationship Id="rId57" Type="http://schemas.openxmlformats.org/officeDocument/2006/relationships/hyperlink" Target="https://climate.usu.edu/cloudSeeding/index.php" TargetMode="External"/><Relationship Id="rId61" Type="http://schemas.openxmlformats.org/officeDocument/2006/relationships/hyperlink" Target="https://ag.utah.gov/farmers/conservation-division/" TargetMode="External"/><Relationship Id="rId10" Type="http://schemas.openxmlformats.org/officeDocument/2006/relationships/hyperlink" Target="http://eqspillsps.deq.utah.gov/Default.aspx" TargetMode="External"/><Relationship Id="rId19" Type="http://schemas.openxmlformats.org/officeDocument/2006/relationships/hyperlink" Target="https://www.waterrights.utah.gov/cgi-bin/gageview.exe?Startup" TargetMode="External"/><Relationship Id="rId31" Type="http://schemas.openxmlformats.org/officeDocument/2006/relationships/hyperlink" Target="https://dataexplorer.ogm.utah.gov/" TargetMode="External"/><Relationship Id="rId44" Type="http://schemas.openxmlformats.org/officeDocument/2006/relationships/hyperlink" Target="https://waterrights.utah.gov/cgi-bin/wellview.exe?Modinfo=Geolog" TargetMode="External"/><Relationship Id="rId52" Type="http://schemas.openxmlformats.org/officeDocument/2006/relationships/hyperlink" Target="https://water.utah.gov/water-data/water-reports/" TargetMode="External"/><Relationship Id="rId60" Type="http://schemas.openxmlformats.org/officeDocument/2006/relationships/hyperlink" Target="https://www.waterrights.utah.gov/adjdinfo/default.asp" TargetMode="External"/><Relationship Id="rId65" Type="http://schemas.openxmlformats.org/officeDocument/2006/relationships/printerSettings" Target="../printerSettings/printerSettings3.bin"/><Relationship Id="rId4" Type="http://schemas.openxmlformats.org/officeDocument/2006/relationships/hyperlink" Target="https://waterlink.utah.gov/deqWater/" TargetMode="External"/><Relationship Id="rId9" Type="http://schemas.openxmlformats.org/officeDocument/2006/relationships/hyperlink" Target="https://ag.utah.gov/farmers/conservation-division/harmful-algal-blooms/" TargetMode="External"/><Relationship Id="rId14" Type="http://schemas.openxmlformats.org/officeDocument/2006/relationships/hyperlink" Target="https://water.utah.gov/development-branch/board-projects/" TargetMode="External"/><Relationship Id="rId22" Type="http://schemas.openxmlformats.org/officeDocument/2006/relationships/hyperlink" Target="https://dem.utah.gov/utah-disaster-history/" TargetMode="External"/><Relationship Id="rId27" Type="http://schemas.openxmlformats.org/officeDocument/2006/relationships/hyperlink" Target="https://deq.utah.gov/water-quality/e-coli" TargetMode="External"/><Relationship Id="rId30" Type="http://schemas.openxmlformats.org/officeDocument/2006/relationships/hyperlink" Target="https://opendata.gis.utah.gov/" TargetMode="External"/><Relationship Id="rId35" Type="http://schemas.openxmlformats.org/officeDocument/2006/relationships/hyperlink" Target="https://water.utah.gov/reservoirlevels/" TargetMode="External"/><Relationship Id="rId43" Type="http://schemas.openxmlformats.org/officeDocument/2006/relationships/hyperlink" Target="https://waterrights.utah.gov/groundwater/ManagementReports/ground.asp" TargetMode="External"/><Relationship Id="rId48" Type="http://schemas.openxmlformats.org/officeDocument/2006/relationships/hyperlink" Target="https://geology.utah.gov/resources/groundwater/water-quality/" TargetMode="External"/><Relationship Id="rId56" Type="http://schemas.openxmlformats.org/officeDocument/2006/relationships/hyperlink" Target="https://climate.usu.edu/mchd/index.php" TargetMode="External"/><Relationship Id="rId64" Type="http://schemas.openxmlformats.org/officeDocument/2006/relationships/hyperlink" Target="https://climate.usu.edu/mapGUI/mapGUI.php" TargetMode="External"/><Relationship Id="rId8" Type="http://schemas.openxmlformats.org/officeDocument/2006/relationships/hyperlink" Target="https://dpu.utah.gov/utillist-water.html" TargetMode="External"/><Relationship Id="rId51" Type="http://schemas.openxmlformats.org/officeDocument/2006/relationships/hyperlink" Target="https://gis.utah.gov/" TargetMode="External"/><Relationship Id="rId3" Type="http://schemas.openxmlformats.org/officeDocument/2006/relationships/hyperlink" Target="https://enviro.deq.utah.gov/" TargetMode="External"/><Relationship Id="rId12" Type="http://schemas.openxmlformats.org/officeDocument/2006/relationships/hyperlink" Target="https://water.utah.gov/water-data/drought/" TargetMode="External"/><Relationship Id="rId17" Type="http://schemas.openxmlformats.org/officeDocument/2006/relationships/hyperlink" Target="https://www.waterrights.utah.gov/forms/waterCompanies.asp" TargetMode="External"/><Relationship Id="rId25" Type="http://schemas.openxmlformats.org/officeDocument/2006/relationships/hyperlink" Target="http://mapserv.utah.gov/surfacewaterquality/" TargetMode="External"/><Relationship Id="rId33" Type="http://schemas.openxmlformats.org/officeDocument/2006/relationships/hyperlink" Target="https://www.waterrights.utah.gov/asp_apps/generalWaterUse/WaterUseList.asp" TargetMode="External"/><Relationship Id="rId38" Type="http://schemas.openxmlformats.org/officeDocument/2006/relationships/hyperlink" Target="https://waterrights.utah.gov/daminfo/ReservoirFills.asp" TargetMode="External"/><Relationship Id="rId46" Type="http://schemas.openxmlformats.org/officeDocument/2006/relationships/hyperlink" Target="https://apps.geology.utah.gov/gwdp/" TargetMode="External"/><Relationship Id="rId59" Type="http://schemas.openxmlformats.org/officeDocument/2006/relationships/hyperlink" Target="https://waterrights.utah.gov/wellInfo/wellInfo.asp" TargetMode="External"/><Relationship Id="rId67" Type="http://schemas.openxmlformats.org/officeDocument/2006/relationships/comments" Target="../comments1.xml"/><Relationship Id="rId20" Type="http://schemas.openxmlformats.org/officeDocument/2006/relationships/hyperlink" Target="https://www.waterrights.utah.gov/distinfo/colorado/default.asp" TargetMode="External"/><Relationship Id="rId41" Type="http://schemas.openxmlformats.org/officeDocument/2006/relationships/hyperlink" Target="https://waterrights.utah.gov/cgi-bin/drilview.exe" TargetMode="External"/><Relationship Id="rId54" Type="http://schemas.openxmlformats.org/officeDocument/2006/relationships/hyperlink" Target="https://awqms3.goldsystems.com/Login.aspx" TargetMode="External"/><Relationship Id="rId62" Type="http://schemas.openxmlformats.org/officeDocument/2006/relationships/hyperlink" Target="https://www.waterrights.utah.gov/gisinfo/maps/default.asp"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enviro.deq.utah.gov/" TargetMode="External"/><Relationship Id="rId117" Type="http://schemas.openxmlformats.org/officeDocument/2006/relationships/hyperlink" Target="https://www.waterrights.utah.gov/adjdinfo/default.asp" TargetMode="External"/><Relationship Id="rId21" Type="http://schemas.openxmlformats.org/officeDocument/2006/relationships/hyperlink" Target="https://ag.utah.gov/about/annual-report-archive/" TargetMode="External"/><Relationship Id="rId42" Type="http://schemas.openxmlformats.org/officeDocument/2006/relationships/hyperlink" Target="https://deq.utah.gov/waterfowl-advisories/map-utah-waterfowl-advisories" TargetMode="External"/><Relationship Id="rId47" Type="http://schemas.openxmlformats.org/officeDocument/2006/relationships/hyperlink" Target="https://ibis.health.utah.gov/ibisph-view/topic/Water.html" TargetMode="External"/><Relationship Id="rId63" Type="http://schemas.openxmlformats.org/officeDocument/2006/relationships/hyperlink" Target="https://www.waterrights.utah.gov/distinfo/" TargetMode="External"/><Relationship Id="rId68" Type="http://schemas.openxmlformats.org/officeDocument/2006/relationships/hyperlink" Target="https://conservewater.utah.gov/guide.html" TargetMode="External"/><Relationship Id="rId84" Type="http://schemas.openxmlformats.org/officeDocument/2006/relationships/hyperlink" Target="https://www.waterrights.utah.gov/distinfo/realtime_info.asp" TargetMode="External"/><Relationship Id="rId89" Type="http://schemas.openxmlformats.org/officeDocument/2006/relationships/hyperlink" Target="https://www.waterrights.utah.gov/cgi-bin/gageview.exe?Startup" TargetMode="External"/><Relationship Id="rId112" Type="http://schemas.openxmlformats.org/officeDocument/2006/relationships/hyperlink" Target="https://waterrights.utah.gov/cgi-bin/damview.exe?Startup" TargetMode="External"/><Relationship Id="rId133" Type="http://schemas.openxmlformats.org/officeDocument/2006/relationships/hyperlink" Target="https://geology.utah.gov/map-pub/maps/interactive-maps/wells-springs/" TargetMode="External"/><Relationship Id="rId138" Type="http://schemas.openxmlformats.org/officeDocument/2006/relationships/hyperlink" Target="https://geology.utah.gov/resources/groundwater/water-quality/" TargetMode="External"/><Relationship Id="rId154" Type="http://schemas.openxmlformats.org/officeDocument/2006/relationships/hyperlink" Target="https://climate.usu.edu/mapGUI/mapGUI.php" TargetMode="External"/><Relationship Id="rId159" Type="http://schemas.openxmlformats.org/officeDocument/2006/relationships/vmlDrawing" Target="../drawings/vmlDrawing2.vml"/><Relationship Id="rId16" Type="http://schemas.openxmlformats.org/officeDocument/2006/relationships/hyperlink" Target="https://gis.utah.gov/" TargetMode="External"/><Relationship Id="rId107" Type="http://schemas.openxmlformats.org/officeDocument/2006/relationships/hyperlink" Target="https://waterrights.utah.gov/wellinfo/stats2k/default.asp" TargetMode="External"/><Relationship Id="rId11" Type="http://schemas.openxmlformats.org/officeDocument/2006/relationships/hyperlink" Target="https://opendata.gis.utah.gov/" TargetMode="External"/><Relationship Id="rId32" Type="http://schemas.openxmlformats.org/officeDocument/2006/relationships/hyperlink" Target="https://waterlink.utah.gov/deqWater/" TargetMode="External"/><Relationship Id="rId37" Type="http://schemas.openxmlformats.org/officeDocument/2006/relationships/hyperlink" Target="https://deq.utah.gov/water-quality/water-quality-assessment-map" TargetMode="External"/><Relationship Id="rId53" Type="http://schemas.openxmlformats.org/officeDocument/2006/relationships/hyperlink" Target="http://utahdnr.maps.arcgis.com/apps/MapJournal/index.html?appid=d5fd67b3436e4af8be07d91d055a903b" TargetMode="External"/><Relationship Id="rId58" Type="http://schemas.openxmlformats.org/officeDocument/2006/relationships/hyperlink" Target="https://www.waterrights.utah.gov/distinfo/" TargetMode="External"/><Relationship Id="rId74" Type="http://schemas.openxmlformats.org/officeDocument/2006/relationships/hyperlink" Target="https://www.waterrights.utah.gov/gisinfo/maps/default.asp" TargetMode="External"/><Relationship Id="rId79" Type="http://schemas.openxmlformats.org/officeDocument/2006/relationships/hyperlink" Target="https://www.waterrights.utah.gov/distinfo/distribution_systems.asp" TargetMode="External"/><Relationship Id="rId102" Type="http://schemas.openxmlformats.org/officeDocument/2006/relationships/hyperlink" Target="https://waterrights.utah.gov/cgi-bin/drilview.exe" TargetMode="External"/><Relationship Id="rId123" Type="http://schemas.openxmlformats.org/officeDocument/2006/relationships/hyperlink" Target="https://www.ogm.utah.gov/coal/chias.php" TargetMode="External"/><Relationship Id="rId128" Type="http://schemas.openxmlformats.org/officeDocument/2006/relationships/hyperlink" Target="https://dataexplorer.ogm.utah.gov/" TargetMode="External"/><Relationship Id="rId144" Type="http://schemas.openxmlformats.org/officeDocument/2006/relationships/hyperlink" Target="https://ffsl.utah.gov/forestry/maps/" TargetMode="External"/><Relationship Id="rId149" Type="http://schemas.openxmlformats.org/officeDocument/2006/relationships/hyperlink" Target="https://climate.usu.edu/mchd/index.php" TargetMode="External"/><Relationship Id="rId5" Type="http://schemas.openxmlformats.org/officeDocument/2006/relationships/hyperlink" Target="https://dpu.utah.gov/utillist-water.html" TargetMode="External"/><Relationship Id="rId90" Type="http://schemas.openxmlformats.org/officeDocument/2006/relationships/hyperlink" Target="https://www.waterrights.utah.gov/distinfo/colorado/default.asp" TargetMode="External"/><Relationship Id="rId95" Type="http://schemas.openxmlformats.org/officeDocument/2006/relationships/hyperlink" Target="https://waterrights.utah.gov/groundwater/ManagementReports/ground.asp" TargetMode="External"/><Relationship Id="rId160" Type="http://schemas.openxmlformats.org/officeDocument/2006/relationships/comments" Target="../comments2.xml"/><Relationship Id="rId22" Type="http://schemas.openxmlformats.org/officeDocument/2006/relationships/hyperlink" Target="https://ag.utah.gov/farmers/conservation-division/" TargetMode="External"/><Relationship Id="rId27" Type="http://schemas.openxmlformats.org/officeDocument/2006/relationships/hyperlink" Target="https://enviro.deq.utah.gov/" TargetMode="External"/><Relationship Id="rId43" Type="http://schemas.openxmlformats.org/officeDocument/2006/relationships/hyperlink" Target="https://deq.utah.gov/water-quality/e-coli" TargetMode="External"/><Relationship Id="rId48" Type="http://schemas.openxmlformats.org/officeDocument/2006/relationships/hyperlink" Target="https://ibis.health.utah.gov/ibisph-view/topic/Water.html" TargetMode="External"/><Relationship Id="rId64" Type="http://schemas.openxmlformats.org/officeDocument/2006/relationships/hyperlink" Target="https://www.waterrights.utah.gov/distinfo/" TargetMode="External"/><Relationship Id="rId69" Type="http://schemas.openxmlformats.org/officeDocument/2006/relationships/hyperlink" Target="https://water.utah.gov/development-branch/board-projects/" TargetMode="External"/><Relationship Id="rId113" Type="http://schemas.openxmlformats.org/officeDocument/2006/relationships/hyperlink" Target="https://waterrights.utah.gov/cgi-bin/damview.exe?Startup" TargetMode="External"/><Relationship Id="rId118" Type="http://schemas.openxmlformats.org/officeDocument/2006/relationships/hyperlink" Target="https://www.waterrights.utah.gov/adjdinfo/default.asp" TargetMode="External"/><Relationship Id="rId134" Type="http://schemas.openxmlformats.org/officeDocument/2006/relationships/hyperlink" Target="https://geology.utah.gov/map-pub/maps/interactive-maps/wells-springs/" TargetMode="External"/><Relationship Id="rId139" Type="http://schemas.openxmlformats.org/officeDocument/2006/relationships/hyperlink" Target="https://geology.utah.gov/resources/groundwater/rechargedischarge-areas/" TargetMode="External"/><Relationship Id="rId80" Type="http://schemas.openxmlformats.org/officeDocument/2006/relationships/hyperlink" Target="https://www.waterrights.utah.gov/distinfo/distribution_systems.asp" TargetMode="External"/><Relationship Id="rId85" Type="http://schemas.openxmlformats.org/officeDocument/2006/relationships/hyperlink" Target="https://www.waterrights.utah.gov/distinfo/realtime_info.asp" TargetMode="External"/><Relationship Id="rId150" Type="http://schemas.openxmlformats.org/officeDocument/2006/relationships/hyperlink" Target="https://climate.usu.edu/cloudSeeding/index.php" TargetMode="External"/><Relationship Id="rId155" Type="http://schemas.openxmlformats.org/officeDocument/2006/relationships/hyperlink" Target="https://climate.usu.edu/mapGUI/mapGUI.php" TargetMode="External"/><Relationship Id="rId12" Type="http://schemas.openxmlformats.org/officeDocument/2006/relationships/hyperlink" Target="https://opendata.gis.utah.gov/" TargetMode="External"/><Relationship Id="rId17" Type="http://schemas.openxmlformats.org/officeDocument/2006/relationships/hyperlink" Target="https://gis.utah.gov/" TargetMode="External"/><Relationship Id="rId33" Type="http://schemas.openxmlformats.org/officeDocument/2006/relationships/hyperlink" Target="https://waterlink.utah.gov/deqWater/" TargetMode="External"/><Relationship Id="rId38" Type="http://schemas.openxmlformats.org/officeDocument/2006/relationships/hyperlink" Target="https://deq.utah.gov/water-quality/water-quality-assessment-map" TargetMode="External"/><Relationship Id="rId59" Type="http://schemas.openxmlformats.org/officeDocument/2006/relationships/hyperlink" Target="https://www.waterrights.utah.gov/distinfo/" TargetMode="External"/><Relationship Id="rId103" Type="http://schemas.openxmlformats.org/officeDocument/2006/relationships/hyperlink" Target="https://waterrights.utah.gov/wellinfo/stats2k/default.asp" TargetMode="External"/><Relationship Id="rId108" Type="http://schemas.openxmlformats.org/officeDocument/2006/relationships/hyperlink" Target="https://waterrights.utah.gov/wellinfo/stats2k/default.asp" TargetMode="External"/><Relationship Id="rId124" Type="http://schemas.openxmlformats.org/officeDocument/2006/relationships/hyperlink" Target="https://www.ogm.utah.gov/coal/chias.php" TargetMode="External"/><Relationship Id="rId129" Type="http://schemas.openxmlformats.org/officeDocument/2006/relationships/hyperlink" Target="https://oilgas.ogm.utah.gov/oilgasweb/data-center/dc-main.xhtml" TargetMode="External"/><Relationship Id="rId20" Type="http://schemas.openxmlformats.org/officeDocument/2006/relationships/hyperlink" Target="https://gis.utah.gov/" TargetMode="External"/><Relationship Id="rId41" Type="http://schemas.openxmlformats.org/officeDocument/2006/relationships/hyperlink" Target="https://deq.utah.gov/legacy/programs/water-quality/monitoring-reporting/assessment/2016-integrated-report.htm" TargetMode="External"/><Relationship Id="rId54" Type="http://schemas.openxmlformats.org/officeDocument/2006/relationships/hyperlink" Target="http://utahdnr.maps.arcgis.com/apps/MapJournal/index.html?appid=d5fd67b3436e4af8be07d91d055a903b" TargetMode="External"/><Relationship Id="rId62" Type="http://schemas.openxmlformats.org/officeDocument/2006/relationships/hyperlink" Target="https://www.waterrights.utah.gov/distinfo/" TargetMode="External"/><Relationship Id="rId70" Type="http://schemas.openxmlformats.org/officeDocument/2006/relationships/hyperlink" Target="https://www.waterrights.utah.gov/gisinfo/maps/default.asp" TargetMode="External"/><Relationship Id="rId75" Type="http://schemas.openxmlformats.org/officeDocument/2006/relationships/hyperlink" Target="https://www.waterrights.utah.gov/gisinfo/maps/default.asp" TargetMode="External"/><Relationship Id="rId83" Type="http://schemas.openxmlformats.org/officeDocument/2006/relationships/hyperlink" Target="https://www.waterrights.utah.gov/forms/waterCompanies.asp" TargetMode="External"/><Relationship Id="rId88" Type="http://schemas.openxmlformats.org/officeDocument/2006/relationships/hyperlink" Target="https://www.waterrights.utah.gov/distinfo/realtime_info.asp" TargetMode="External"/><Relationship Id="rId91" Type="http://schemas.openxmlformats.org/officeDocument/2006/relationships/hyperlink" Target="https://www.waterrights.utah.gov/distinfo/colorado/default.asp" TargetMode="External"/><Relationship Id="rId96" Type="http://schemas.openxmlformats.org/officeDocument/2006/relationships/hyperlink" Target="https://waterrights.utah.gov/groundwater/asr/ASRlist.asp" TargetMode="External"/><Relationship Id="rId111" Type="http://schemas.openxmlformats.org/officeDocument/2006/relationships/hyperlink" Target="https://maps.waterrights.utah.gov/EsriMap/gw-graphs.asp" TargetMode="External"/><Relationship Id="rId132" Type="http://schemas.openxmlformats.org/officeDocument/2006/relationships/hyperlink" Target="https://apps.geology.utah.gov/gwdp/" TargetMode="External"/><Relationship Id="rId140" Type="http://schemas.openxmlformats.org/officeDocument/2006/relationships/hyperlink" Target="https://geology.utah.gov/resources/groundwater/rechargedischarge-areas/" TargetMode="External"/><Relationship Id="rId145" Type="http://schemas.openxmlformats.org/officeDocument/2006/relationships/hyperlink" Target="https://ffsl.utah.gov/forestry/maps/" TargetMode="External"/><Relationship Id="rId153" Type="http://schemas.openxmlformats.org/officeDocument/2006/relationships/hyperlink" Target="https://climate.usu.edu/mapGUI/mapGUI.php" TargetMode="External"/><Relationship Id="rId1" Type="http://schemas.openxmlformats.org/officeDocument/2006/relationships/hyperlink" Target="http://www.coloradoriversalinity.org/documents.php?ctgy=Reclamation" TargetMode="External"/><Relationship Id="rId6" Type="http://schemas.openxmlformats.org/officeDocument/2006/relationships/hyperlink" Target="http://eqedocs.utah.gov/" TargetMode="External"/><Relationship Id="rId15" Type="http://schemas.openxmlformats.org/officeDocument/2006/relationships/hyperlink" Target="https://gis.utah.gov/" TargetMode="External"/><Relationship Id="rId23" Type="http://schemas.openxmlformats.org/officeDocument/2006/relationships/hyperlink" Target="https://ag.utah.gov/farmers/conservation-division/" TargetMode="External"/><Relationship Id="rId28" Type="http://schemas.openxmlformats.org/officeDocument/2006/relationships/hyperlink" Target="https://enviro.deq.utah.gov/" TargetMode="External"/><Relationship Id="rId36" Type="http://schemas.openxmlformats.org/officeDocument/2006/relationships/hyperlink" Target="https://deq.utah.gov/water-quality/updes-permitting-program" TargetMode="External"/><Relationship Id="rId49" Type="http://schemas.openxmlformats.org/officeDocument/2006/relationships/hyperlink" Target="http://utahdnr.maps.arcgis.com/apps/MapJournal/index.html?appid=d5fd67b3436e4af8be07d91d055a903b" TargetMode="External"/><Relationship Id="rId57" Type="http://schemas.openxmlformats.org/officeDocument/2006/relationships/hyperlink" Target="https://water.utah.gov/water-data/drought/" TargetMode="External"/><Relationship Id="rId106" Type="http://schemas.openxmlformats.org/officeDocument/2006/relationships/hyperlink" Target="https://waterrights.utah.gov/wellinfo/stats2k/default.asp" TargetMode="External"/><Relationship Id="rId114" Type="http://schemas.openxmlformats.org/officeDocument/2006/relationships/hyperlink" Target="https://waterrights.utah.gov/cgi-bin/damview.exe?Startup" TargetMode="External"/><Relationship Id="rId119" Type="http://schemas.openxmlformats.org/officeDocument/2006/relationships/hyperlink" Target="https://www.waterrights.utah.gov/adjdinfo/default.asp" TargetMode="External"/><Relationship Id="rId127" Type="http://schemas.openxmlformats.org/officeDocument/2006/relationships/hyperlink" Target="https://dataexplorer.ogm.utah.gov/" TargetMode="External"/><Relationship Id="rId10" Type="http://schemas.openxmlformats.org/officeDocument/2006/relationships/hyperlink" Target="https://opendata.gis.utah.gov/" TargetMode="External"/><Relationship Id="rId31" Type="http://schemas.openxmlformats.org/officeDocument/2006/relationships/hyperlink" Target="https://enviro.deq.utah.gov/" TargetMode="External"/><Relationship Id="rId44" Type="http://schemas.openxmlformats.org/officeDocument/2006/relationships/hyperlink" Target="https://deq.utah.gov/water-quality/harmful-algal-blooms-home" TargetMode="External"/><Relationship Id="rId52" Type="http://schemas.openxmlformats.org/officeDocument/2006/relationships/hyperlink" Target="http://utahdnr.maps.arcgis.com/apps/MapJournal/index.html?appid=d5fd67b3436e4af8be07d91d055a903b" TargetMode="External"/><Relationship Id="rId60" Type="http://schemas.openxmlformats.org/officeDocument/2006/relationships/hyperlink" Target="https://www.waterrights.utah.gov/distinfo/" TargetMode="External"/><Relationship Id="rId65" Type="http://schemas.openxmlformats.org/officeDocument/2006/relationships/hyperlink" Target="https://conservewater.utah.gov/guide.html" TargetMode="External"/><Relationship Id="rId73" Type="http://schemas.openxmlformats.org/officeDocument/2006/relationships/hyperlink" Target="https://www.waterrights.utah.gov/gisinfo/maps/default.asp" TargetMode="External"/><Relationship Id="rId78" Type="http://schemas.openxmlformats.org/officeDocument/2006/relationships/hyperlink" Target="https://www.waterrights.utah.gov/distinfo/distribution_systems.asp" TargetMode="External"/><Relationship Id="rId81" Type="http://schemas.openxmlformats.org/officeDocument/2006/relationships/hyperlink" Target="https://www.waterrights.utah.gov/asp_apps/generalWaterUse/WaterUseList.asp" TargetMode="External"/><Relationship Id="rId86" Type="http://schemas.openxmlformats.org/officeDocument/2006/relationships/hyperlink" Target="https://www.waterrights.utah.gov/distinfo/realtime_info.asp" TargetMode="External"/><Relationship Id="rId94" Type="http://schemas.openxmlformats.org/officeDocument/2006/relationships/hyperlink" Target="https://waterrights.utah.gov/groundwater/ManagementReports/ground.asp" TargetMode="External"/><Relationship Id="rId99" Type="http://schemas.openxmlformats.org/officeDocument/2006/relationships/hyperlink" Target="https://waterrights.utah.gov/wellInfo/wellInfo.asp" TargetMode="External"/><Relationship Id="rId101" Type="http://schemas.openxmlformats.org/officeDocument/2006/relationships/hyperlink" Target="https://waterrights.utah.gov/wellInfo/wellInfo.asp" TargetMode="External"/><Relationship Id="rId122" Type="http://schemas.openxmlformats.org/officeDocument/2006/relationships/hyperlink" Target="https://www.ogm.utah.gov/coal/chias.php" TargetMode="External"/><Relationship Id="rId130" Type="http://schemas.openxmlformats.org/officeDocument/2006/relationships/hyperlink" Target="https://oilgas.ogm.utah.gov/oilgasweb/data-center/dc-main.xhtml" TargetMode="External"/><Relationship Id="rId135" Type="http://schemas.openxmlformats.org/officeDocument/2006/relationships/hyperlink" Target="https://geology.utah.gov/map-pub/maps/interactive-maps/wells-springs/" TargetMode="External"/><Relationship Id="rId143" Type="http://schemas.openxmlformats.org/officeDocument/2006/relationships/hyperlink" Target="https://geology.utah.gov/apps/wetlands/index.html" TargetMode="External"/><Relationship Id="rId148" Type="http://schemas.openxmlformats.org/officeDocument/2006/relationships/hyperlink" Target="https://dem.utah.gov/utah-disaster-history/" TargetMode="External"/><Relationship Id="rId151" Type="http://schemas.openxmlformats.org/officeDocument/2006/relationships/hyperlink" Target="https://climate.usu.edu/mchd/index.php" TargetMode="External"/><Relationship Id="rId156" Type="http://schemas.openxmlformats.org/officeDocument/2006/relationships/hyperlink" Target="https://climate.usu.edu/mapGUI/mapGUI.php" TargetMode="External"/><Relationship Id="rId4" Type="http://schemas.openxmlformats.org/officeDocument/2006/relationships/hyperlink" Target="https://ag.utah.gov/farmers/conservation-division/harmful-algal-blooms/" TargetMode="External"/><Relationship Id="rId9" Type="http://schemas.openxmlformats.org/officeDocument/2006/relationships/hyperlink" Target="https://opendata.gis.utah.gov/" TargetMode="External"/><Relationship Id="rId13" Type="http://schemas.openxmlformats.org/officeDocument/2006/relationships/hyperlink" Target="https://opendata.gis.utah.gov/" TargetMode="External"/><Relationship Id="rId18" Type="http://schemas.openxmlformats.org/officeDocument/2006/relationships/hyperlink" Target="https://gis.utah.gov/" TargetMode="External"/><Relationship Id="rId39" Type="http://schemas.openxmlformats.org/officeDocument/2006/relationships/hyperlink" Target="https://deq.utah.gov/water-quality/water-quality-assessment-map" TargetMode="External"/><Relationship Id="rId109" Type="http://schemas.openxmlformats.org/officeDocument/2006/relationships/hyperlink" Target="https://waterrights.utah.gov/cgi-bin/wellview.exe?Modinfo=Geolog" TargetMode="External"/><Relationship Id="rId34" Type="http://schemas.openxmlformats.org/officeDocument/2006/relationships/hyperlink" Target="https://awqms3.goldsystems.com/Login.aspx" TargetMode="External"/><Relationship Id="rId50" Type="http://schemas.openxmlformats.org/officeDocument/2006/relationships/hyperlink" Target="http://utahdnr.maps.arcgis.com/apps/MapJournal/index.html?appid=d5fd67b3436e4af8be07d91d055a903b" TargetMode="External"/><Relationship Id="rId55" Type="http://schemas.openxmlformats.org/officeDocument/2006/relationships/hyperlink" Target="https://water.utah.gov/regional-conservation-goals/" TargetMode="External"/><Relationship Id="rId76" Type="http://schemas.openxmlformats.org/officeDocument/2006/relationships/hyperlink" Target="https://www.waterrights.utah.gov/gisinfo/maps/default.asp" TargetMode="External"/><Relationship Id="rId97" Type="http://schemas.openxmlformats.org/officeDocument/2006/relationships/hyperlink" Target="https://waterrights.utah.gov/wellInfo/wellInfo.asp" TargetMode="External"/><Relationship Id="rId104" Type="http://schemas.openxmlformats.org/officeDocument/2006/relationships/hyperlink" Target="https://waterrights.utah.gov/wellinfo/stats2k/default.asp" TargetMode="External"/><Relationship Id="rId120" Type="http://schemas.openxmlformats.org/officeDocument/2006/relationships/hyperlink" Target="https://waterrights.utah.gov/seactions/default.asp" TargetMode="External"/><Relationship Id="rId125" Type="http://schemas.openxmlformats.org/officeDocument/2006/relationships/hyperlink" Target="https://dataexplorer.ogm.utah.gov/" TargetMode="External"/><Relationship Id="rId141" Type="http://schemas.openxmlformats.org/officeDocument/2006/relationships/hyperlink" Target="https://geology.utah.gov/apps/wetlands/index.html" TargetMode="External"/><Relationship Id="rId146" Type="http://schemas.openxmlformats.org/officeDocument/2006/relationships/hyperlink" Target="https://ffsl.utah.gov/forestry/maps/" TargetMode="External"/><Relationship Id="rId7" Type="http://schemas.openxmlformats.org/officeDocument/2006/relationships/hyperlink" Target="https://opendata.gis.utah.gov/" TargetMode="External"/><Relationship Id="rId71" Type="http://schemas.openxmlformats.org/officeDocument/2006/relationships/hyperlink" Target="https://www.waterrights.utah.gov/gisinfo/maps/default.asp" TargetMode="External"/><Relationship Id="rId92" Type="http://schemas.openxmlformats.org/officeDocument/2006/relationships/hyperlink" Target="https://www.waterrights.utah.gov/distinfo/colorado/default.asp" TargetMode="External"/><Relationship Id="rId2" Type="http://schemas.openxmlformats.org/officeDocument/2006/relationships/hyperlink" Target="https://enviro.deq.utah.gov/" TargetMode="External"/><Relationship Id="rId29" Type="http://schemas.openxmlformats.org/officeDocument/2006/relationships/hyperlink" Target="https://enviro.deq.utah.gov/" TargetMode="External"/><Relationship Id="rId24" Type="http://schemas.openxmlformats.org/officeDocument/2006/relationships/hyperlink" Target="http://utah.maps.arcgis.com/apps/Viewer/index.html?appid=573dfdb6220d4fada6d833def633b866" TargetMode="External"/><Relationship Id="rId40" Type="http://schemas.openxmlformats.org/officeDocument/2006/relationships/hyperlink" Target="https://deq.utah.gov/legacy/programs/water-quality/monitoring-reporting/assessment/2016-integrated-report.htm" TargetMode="External"/><Relationship Id="rId45" Type="http://schemas.openxmlformats.org/officeDocument/2006/relationships/hyperlink" Target="https://v2.wqdatalive.com/public/669" TargetMode="External"/><Relationship Id="rId66" Type="http://schemas.openxmlformats.org/officeDocument/2006/relationships/hyperlink" Target="https://conservewater.utah.gov/guide.html" TargetMode="External"/><Relationship Id="rId87" Type="http://schemas.openxmlformats.org/officeDocument/2006/relationships/hyperlink" Target="https://www.waterrights.utah.gov/distinfo/realtime_info.asp" TargetMode="External"/><Relationship Id="rId110" Type="http://schemas.openxmlformats.org/officeDocument/2006/relationships/hyperlink" Target="https://waterrights.utah.gov/cgi-bin/wellview.exe?Modinfo=Geolog" TargetMode="External"/><Relationship Id="rId115" Type="http://schemas.openxmlformats.org/officeDocument/2006/relationships/hyperlink" Target="https://waterrights.utah.gov/daminfo/ReservoirFills.asp" TargetMode="External"/><Relationship Id="rId131" Type="http://schemas.openxmlformats.org/officeDocument/2006/relationships/hyperlink" Target="https://apps.geology.utah.gov/gwdp/" TargetMode="External"/><Relationship Id="rId136" Type="http://schemas.openxmlformats.org/officeDocument/2006/relationships/hyperlink" Target="https://geology.utah.gov/map-pub/maps/interactive-maps/wells-springs/" TargetMode="External"/><Relationship Id="rId157" Type="http://schemas.openxmlformats.org/officeDocument/2006/relationships/hyperlink" Target="https://gis.utah.gov/" TargetMode="External"/><Relationship Id="rId61" Type="http://schemas.openxmlformats.org/officeDocument/2006/relationships/hyperlink" Target="https://www.waterrights.utah.gov/distinfo/" TargetMode="External"/><Relationship Id="rId82" Type="http://schemas.openxmlformats.org/officeDocument/2006/relationships/hyperlink" Target="https://www.waterrights.utah.gov/asp_apps/generalWaterUse/WaterUseList.asp" TargetMode="External"/><Relationship Id="rId152" Type="http://schemas.openxmlformats.org/officeDocument/2006/relationships/hyperlink" Target="https://climate.usu.edu/mchd/index.php" TargetMode="External"/><Relationship Id="rId19" Type="http://schemas.openxmlformats.org/officeDocument/2006/relationships/hyperlink" Target="https://gis.utah.gov/" TargetMode="External"/><Relationship Id="rId14" Type="http://schemas.openxmlformats.org/officeDocument/2006/relationships/hyperlink" Target="https://opendata.gis.utah.gov/" TargetMode="External"/><Relationship Id="rId30" Type="http://schemas.openxmlformats.org/officeDocument/2006/relationships/hyperlink" Target="https://enviro.deq.utah.gov/" TargetMode="External"/><Relationship Id="rId35" Type="http://schemas.openxmlformats.org/officeDocument/2006/relationships/hyperlink" Target="https://secure.utah.gov/waterquality/search.html" TargetMode="External"/><Relationship Id="rId56" Type="http://schemas.openxmlformats.org/officeDocument/2006/relationships/hyperlink" Target="https://water.utah.gov/water-data/water-reports/" TargetMode="External"/><Relationship Id="rId77" Type="http://schemas.openxmlformats.org/officeDocument/2006/relationships/hyperlink" Target="https://www.waterrights.utah.gov/distinfo/distribution_systems.asp" TargetMode="External"/><Relationship Id="rId100" Type="http://schemas.openxmlformats.org/officeDocument/2006/relationships/hyperlink" Target="https://waterrights.utah.gov/wellInfo/wellInfo.asp" TargetMode="External"/><Relationship Id="rId105" Type="http://schemas.openxmlformats.org/officeDocument/2006/relationships/hyperlink" Target="https://waterrights.utah.gov/wellinfo/stats2k/default.asp" TargetMode="External"/><Relationship Id="rId126" Type="http://schemas.openxmlformats.org/officeDocument/2006/relationships/hyperlink" Target="https://dataexplorer.ogm.utah.gov/" TargetMode="External"/><Relationship Id="rId147" Type="http://schemas.openxmlformats.org/officeDocument/2006/relationships/hyperlink" Target="https://ffsl.utah.gov/forestry/maps/" TargetMode="External"/><Relationship Id="rId8" Type="http://schemas.openxmlformats.org/officeDocument/2006/relationships/hyperlink" Target="https://opendata.gis.utah.gov/" TargetMode="External"/><Relationship Id="rId51" Type="http://schemas.openxmlformats.org/officeDocument/2006/relationships/hyperlink" Target="http://utahdnr.maps.arcgis.com/apps/MapJournal/index.html?appid=d5fd67b3436e4af8be07d91d055a903b" TargetMode="External"/><Relationship Id="rId72" Type="http://schemas.openxmlformats.org/officeDocument/2006/relationships/hyperlink" Target="https://www.waterrights.utah.gov/gisinfo/maps/default.asp" TargetMode="External"/><Relationship Id="rId93" Type="http://schemas.openxmlformats.org/officeDocument/2006/relationships/hyperlink" Target="https://waterrights.utah.gov/groundwater/ManagementReports/ground.asp" TargetMode="External"/><Relationship Id="rId98" Type="http://schemas.openxmlformats.org/officeDocument/2006/relationships/hyperlink" Target="https://waterrights.utah.gov/wellInfo/wellInfo.asp" TargetMode="External"/><Relationship Id="rId121" Type="http://schemas.openxmlformats.org/officeDocument/2006/relationships/hyperlink" Target="https://www.ogm.utah.gov/coal/chias.php" TargetMode="External"/><Relationship Id="rId142" Type="http://schemas.openxmlformats.org/officeDocument/2006/relationships/hyperlink" Target="https://geology.utah.gov/apps/wetlands/index.html" TargetMode="External"/><Relationship Id="rId3" Type="http://schemas.openxmlformats.org/officeDocument/2006/relationships/hyperlink" Target="https://waterlink.utah.gov/deqWater/" TargetMode="External"/><Relationship Id="rId25" Type="http://schemas.openxmlformats.org/officeDocument/2006/relationships/hyperlink" Target="https://enviro.deq.utah.gov/" TargetMode="External"/><Relationship Id="rId46" Type="http://schemas.openxmlformats.org/officeDocument/2006/relationships/hyperlink" Target="http://eqspillsps.deq.utah.gov/Default.aspx" TargetMode="External"/><Relationship Id="rId67" Type="http://schemas.openxmlformats.org/officeDocument/2006/relationships/hyperlink" Target="https://conservewater.utah.gov/guide.html" TargetMode="External"/><Relationship Id="rId116" Type="http://schemas.openxmlformats.org/officeDocument/2006/relationships/hyperlink" Target="https://waterrights.utah.gov/cgi-bin/strmview.exe" TargetMode="External"/><Relationship Id="rId137" Type="http://schemas.openxmlformats.org/officeDocument/2006/relationships/hyperlink" Target="https://geology.utah.gov/resources/groundwater/water-quality/" TargetMode="External"/><Relationship Id="rId158"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6"/>
  <sheetViews>
    <sheetView topLeftCell="A3" zoomScale="80" zoomScaleNormal="80" workbookViewId="0">
      <selection activeCell="A40" sqref="A40"/>
    </sheetView>
  </sheetViews>
  <sheetFormatPr defaultColWidth="8.69921875" defaultRowHeight="15.6" x14ac:dyDescent="0.3"/>
  <cols>
    <col min="1" max="1" width="8.69921875" style="1"/>
    <col min="2" max="2" width="32.59765625" style="11" customWidth="1"/>
    <col min="3" max="3" width="30.5" style="1" customWidth="1"/>
    <col min="4" max="4" width="10" style="1" customWidth="1"/>
    <col min="5" max="5" width="9.09765625" style="1" customWidth="1"/>
    <col min="6" max="6" width="24.69921875" style="1" customWidth="1"/>
    <col min="7" max="7" width="52.69921875" style="1" customWidth="1"/>
    <col min="8" max="16384" width="8.69921875" style="1"/>
  </cols>
  <sheetData>
    <row r="1" spans="1:12" x14ac:dyDescent="0.3">
      <c r="A1" s="7" t="s">
        <v>90</v>
      </c>
      <c r="B1" s="7" t="s">
        <v>88</v>
      </c>
      <c r="C1" s="7" t="s">
        <v>89</v>
      </c>
      <c r="D1" s="7" t="s">
        <v>91</v>
      </c>
      <c r="E1" s="7" t="s">
        <v>112</v>
      </c>
      <c r="F1" s="7" t="s">
        <v>13</v>
      </c>
      <c r="G1" s="7" t="s">
        <v>14</v>
      </c>
      <c r="H1" s="7" t="s">
        <v>15</v>
      </c>
      <c r="I1" s="7" t="s">
        <v>16</v>
      </c>
      <c r="J1" s="7" t="s">
        <v>17</v>
      </c>
      <c r="K1" s="7" t="s">
        <v>18</v>
      </c>
      <c r="L1" s="7" t="s">
        <v>19</v>
      </c>
    </row>
    <row r="2" spans="1:12" x14ac:dyDescent="0.3">
      <c r="A2" s="15" t="s">
        <v>20</v>
      </c>
      <c r="B2" s="15" t="s">
        <v>115</v>
      </c>
      <c r="C2" s="15" t="s">
        <v>115</v>
      </c>
      <c r="D2" s="15">
        <v>1</v>
      </c>
      <c r="E2" s="15" t="s">
        <v>113</v>
      </c>
      <c r="F2" s="15"/>
      <c r="G2" s="17" t="s">
        <v>181</v>
      </c>
      <c r="H2" s="15" t="s">
        <v>3</v>
      </c>
      <c r="I2" s="15" t="s">
        <v>3</v>
      </c>
      <c r="J2" s="15" t="s">
        <v>3</v>
      </c>
      <c r="K2" s="15" t="s">
        <v>3</v>
      </c>
      <c r="L2" s="15">
        <v>1</v>
      </c>
    </row>
    <row r="3" spans="1:12" x14ac:dyDescent="0.3">
      <c r="A3" s="15" t="s">
        <v>21</v>
      </c>
      <c r="B3" s="15" t="s">
        <v>116</v>
      </c>
      <c r="C3" s="15" t="s">
        <v>116</v>
      </c>
      <c r="D3" s="15">
        <v>2</v>
      </c>
      <c r="E3" s="15" t="s">
        <v>20</v>
      </c>
      <c r="F3" s="6" t="s">
        <v>182</v>
      </c>
      <c r="G3" s="17" t="s">
        <v>384</v>
      </c>
      <c r="H3" s="15" t="s">
        <v>9</v>
      </c>
      <c r="I3" s="15" t="s">
        <v>3</v>
      </c>
      <c r="J3" s="15" t="s">
        <v>9</v>
      </c>
      <c r="K3" s="15" t="s">
        <v>9</v>
      </c>
      <c r="L3" s="15">
        <v>2</v>
      </c>
    </row>
    <row r="4" spans="1:12" x14ac:dyDescent="0.3">
      <c r="A4" s="15" t="s">
        <v>22</v>
      </c>
      <c r="B4" s="15" t="s">
        <v>183</v>
      </c>
      <c r="C4" s="15" t="s">
        <v>116</v>
      </c>
      <c r="D4" s="15">
        <v>2</v>
      </c>
      <c r="E4" s="15" t="s">
        <v>21</v>
      </c>
      <c r="F4" s="15" t="s">
        <v>117</v>
      </c>
      <c r="G4" s="17" t="s">
        <v>118</v>
      </c>
      <c r="H4" s="15" t="s">
        <v>9</v>
      </c>
      <c r="I4" s="15" t="s">
        <v>3</v>
      </c>
      <c r="J4" s="15" t="s">
        <v>9</v>
      </c>
      <c r="K4" s="15" t="s">
        <v>9</v>
      </c>
      <c r="L4" s="15">
        <v>3</v>
      </c>
    </row>
    <row r="5" spans="1:12" x14ac:dyDescent="0.3">
      <c r="A5" s="15" t="s">
        <v>23</v>
      </c>
      <c r="B5" s="15" t="s">
        <v>119</v>
      </c>
      <c r="C5" s="15" t="s">
        <v>119</v>
      </c>
      <c r="D5" s="15">
        <v>3</v>
      </c>
      <c r="E5" s="15" t="s">
        <v>20</v>
      </c>
      <c r="F5" s="15" t="s">
        <v>121</v>
      </c>
      <c r="G5" s="17" t="s">
        <v>399</v>
      </c>
      <c r="H5" s="15" t="s">
        <v>3</v>
      </c>
      <c r="I5" s="15" t="s">
        <v>9</v>
      </c>
      <c r="J5" s="15" t="s">
        <v>3</v>
      </c>
      <c r="K5" s="15" t="s">
        <v>9</v>
      </c>
      <c r="L5" s="15">
        <v>2</v>
      </c>
    </row>
    <row r="6" spans="1:12" x14ac:dyDescent="0.3">
      <c r="A6" s="15" t="s">
        <v>24</v>
      </c>
      <c r="B6" s="15" t="s">
        <v>120</v>
      </c>
      <c r="C6" s="15" t="s">
        <v>119</v>
      </c>
      <c r="D6" s="15">
        <v>3</v>
      </c>
      <c r="E6" s="15" t="s">
        <v>23</v>
      </c>
      <c r="F6" s="15" t="s">
        <v>122</v>
      </c>
      <c r="G6" s="17" t="s">
        <v>123</v>
      </c>
      <c r="H6" s="15" t="s">
        <v>3</v>
      </c>
      <c r="I6" s="15" t="s">
        <v>9</v>
      </c>
      <c r="J6" s="15" t="s">
        <v>3</v>
      </c>
      <c r="K6" s="15" t="s">
        <v>9</v>
      </c>
      <c r="L6" s="15">
        <v>3</v>
      </c>
    </row>
    <row r="7" spans="1:12" s="11" customFormat="1" x14ac:dyDescent="0.3">
      <c r="A7" s="15" t="s">
        <v>25</v>
      </c>
      <c r="B7" s="15" t="s">
        <v>400</v>
      </c>
      <c r="C7" s="15" t="s">
        <v>119</v>
      </c>
      <c r="D7" s="15">
        <v>3</v>
      </c>
      <c r="E7" s="15" t="s">
        <v>24</v>
      </c>
      <c r="F7" s="15" t="s">
        <v>401</v>
      </c>
      <c r="G7" s="21" t="s">
        <v>194</v>
      </c>
      <c r="H7" s="15" t="s">
        <v>3</v>
      </c>
      <c r="I7" s="15" t="s">
        <v>9</v>
      </c>
      <c r="J7" s="15" t="s">
        <v>3</v>
      </c>
      <c r="K7" s="15" t="s">
        <v>9</v>
      </c>
      <c r="L7" s="15">
        <v>4</v>
      </c>
    </row>
    <row r="8" spans="1:12" x14ac:dyDescent="0.3">
      <c r="A8" s="15" t="s">
        <v>26</v>
      </c>
      <c r="B8" s="15" t="s">
        <v>114</v>
      </c>
      <c r="C8" s="15" t="s">
        <v>114</v>
      </c>
      <c r="D8" s="15">
        <v>4</v>
      </c>
      <c r="E8" s="15" t="s">
        <v>20</v>
      </c>
      <c r="F8" s="15" t="s">
        <v>124</v>
      </c>
      <c r="G8" s="17" t="s">
        <v>125</v>
      </c>
      <c r="H8" s="15" t="s">
        <v>3</v>
      </c>
      <c r="I8" s="15" t="s">
        <v>3</v>
      </c>
      <c r="J8" s="15" t="s">
        <v>3</v>
      </c>
      <c r="K8" s="15" t="s">
        <v>9</v>
      </c>
      <c r="L8" s="15">
        <v>2</v>
      </c>
    </row>
    <row r="9" spans="1:12" x14ac:dyDescent="0.3">
      <c r="A9" s="15" t="s">
        <v>27</v>
      </c>
      <c r="B9" s="15" t="s">
        <v>126</v>
      </c>
      <c r="C9" s="15" t="s">
        <v>114</v>
      </c>
      <c r="D9" s="15">
        <v>4</v>
      </c>
      <c r="E9" s="15" t="s">
        <v>26</v>
      </c>
      <c r="F9" s="15" t="s">
        <v>184</v>
      </c>
      <c r="G9" s="17" t="s">
        <v>127</v>
      </c>
      <c r="H9" s="15" t="s">
        <v>3</v>
      </c>
      <c r="I9" s="15" t="s">
        <v>9</v>
      </c>
      <c r="J9" s="15" t="s">
        <v>3</v>
      </c>
      <c r="K9" s="15" t="s">
        <v>9</v>
      </c>
      <c r="L9" s="15">
        <v>3</v>
      </c>
    </row>
    <row r="10" spans="1:12" x14ac:dyDescent="0.3">
      <c r="A10" s="15" t="s">
        <v>28</v>
      </c>
      <c r="B10" s="15" t="s">
        <v>128</v>
      </c>
      <c r="C10" s="15" t="s">
        <v>114</v>
      </c>
      <c r="D10" s="15">
        <v>4</v>
      </c>
      <c r="E10" s="15" t="s">
        <v>26</v>
      </c>
      <c r="F10" s="15" t="s">
        <v>129</v>
      </c>
      <c r="G10" s="17" t="s">
        <v>130</v>
      </c>
      <c r="H10" s="15" t="s">
        <v>3</v>
      </c>
      <c r="I10" s="15" t="s">
        <v>9</v>
      </c>
      <c r="J10" s="15" t="s">
        <v>3</v>
      </c>
      <c r="K10" s="15" t="s">
        <v>9</v>
      </c>
      <c r="L10" s="15">
        <v>3</v>
      </c>
    </row>
    <row r="11" spans="1:12" x14ac:dyDescent="0.3">
      <c r="A11" s="15" t="s">
        <v>29</v>
      </c>
      <c r="B11" s="15" t="s">
        <v>198</v>
      </c>
      <c r="C11" s="15" t="s">
        <v>114</v>
      </c>
      <c r="D11" s="15">
        <v>4</v>
      </c>
      <c r="E11" s="15" t="s">
        <v>26</v>
      </c>
      <c r="F11" s="15" t="s">
        <v>124</v>
      </c>
      <c r="G11" s="17" t="s">
        <v>199</v>
      </c>
      <c r="H11" s="15" t="s">
        <v>9</v>
      </c>
      <c r="I11" s="15" t="s">
        <v>3</v>
      </c>
      <c r="J11" s="15" t="s">
        <v>3</v>
      </c>
      <c r="K11" s="15" t="s">
        <v>9</v>
      </c>
      <c r="L11" s="15">
        <v>3</v>
      </c>
    </row>
    <row r="12" spans="1:12" x14ac:dyDescent="0.3">
      <c r="A12" s="15" t="s">
        <v>30</v>
      </c>
      <c r="B12" s="15" t="s">
        <v>152</v>
      </c>
      <c r="C12" s="15" t="s">
        <v>152</v>
      </c>
      <c r="D12" s="15">
        <v>5</v>
      </c>
      <c r="E12" s="15" t="s">
        <v>20</v>
      </c>
      <c r="F12" s="18" t="s">
        <v>153</v>
      </c>
      <c r="G12" s="21" t="s">
        <v>402</v>
      </c>
      <c r="H12" s="15" t="s">
        <v>9</v>
      </c>
      <c r="I12" s="15" t="s">
        <v>3</v>
      </c>
      <c r="J12" s="15" t="s">
        <v>9</v>
      </c>
      <c r="K12" s="15" t="s">
        <v>3</v>
      </c>
      <c r="L12" s="15">
        <v>2</v>
      </c>
    </row>
    <row r="13" spans="1:12" x14ac:dyDescent="0.3">
      <c r="A13" s="15" t="s">
        <v>31</v>
      </c>
      <c r="B13" s="15" t="s">
        <v>155</v>
      </c>
      <c r="C13" s="15" t="s">
        <v>152</v>
      </c>
      <c r="D13" s="15">
        <v>5</v>
      </c>
      <c r="E13" s="15" t="s">
        <v>30</v>
      </c>
      <c r="F13" s="15" t="s">
        <v>156</v>
      </c>
      <c r="G13" s="17" t="s">
        <v>154</v>
      </c>
      <c r="H13" s="15" t="s">
        <v>9</v>
      </c>
      <c r="I13" s="15" t="s">
        <v>3</v>
      </c>
      <c r="J13" s="15" t="s">
        <v>9</v>
      </c>
      <c r="K13" s="15" t="s">
        <v>3</v>
      </c>
      <c r="L13" s="15">
        <v>3</v>
      </c>
    </row>
    <row r="14" spans="1:12" x14ac:dyDescent="0.3">
      <c r="A14" s="15" t="s">
        <v>32</v>
      </c>
      <c r="B14" s="15" t="s">
        <v>164</v>
      </c>
      <c r="C14" s="15" t="s">
        <v>164</v>
      </c>
      <c r="D14" s="15">
        <v>6</v>
      </c>
      <c r="E14" s="15" t="s">
        <v>20</v>
      </c>
      <c r="F14" s="18" t="s">
        <v>165</v>
      </c>
      <c r="G14" s="17" t="s">
        <v>343</v>
      </c>
      <c r="H14" s="15" t="s">
        <v>3</v>
      </c>
      <c r="I14" s="15" t="s">
        <v>3</v>
      </c>
      <c r="J14" s="15" t="s">
        <v>3</v>
      </c>
      <c r="K14" s="15" t="s">
        <v>3</v>
      </c>
      <c r="L14" s="15">
        <v>2</v>
      </c>
    </row>
    <row r="15" spans="1:12" x14ac:dyDescent="0.3">
      <c r="A15" s="15" t="s">
        <v>110</v>
      </c>
      <c r="B15" s="15" t="s">
        <v>166</v>
      </c>
      <c r="C15" s="15" t="s">
        <v>164</v>
      </c>
      <c r="D15" s="15">
        <v>6</v>
      </c>
      <c r="E15" s="15" t="s">
        <v>32</v>
      </c>
      <c r="F15" s="15" t="s">
        <v>167</v>
      </c>
      <c r="G15" s="17" t="s">
        <v>168</v>
      </c>
      <c r="H15" s="15" t="s">
        <v>3</v>
      </c>
      <c r="I15" s="15" t="s">
        <v>3</v>
      </c>
      <c r="J15" s="15" t="s">
        <v>3</v>
      </c>
      <c r="K15" s="15" t="s">
        <v>3</v>
      </c>
      <c r="L15" s="15">
        <v>3</v>
      </c>
    </row>
    <row r="16" spans="1:12" x14ac:dyDescent="0.3">
      <c r="A16" s="15" t="s">
        <v>219</v>
      </c>
      <c r="B16" s="15" t="s">
        <v>221</v>
      </c>
      <c r="C16" s="15" t="s">
        <v>164</v>
      </c>
      <c r="D16" s="15">
        <v>6</v>
      </c>
      <c r="E16" s="15" t="s">
        <v>110</v>
      </c>
      <c r="F16" s="15" t="s">
        <v>223</v>
      </c>
      <c r="G16" s="17" t="s">
        <v>224</v>
      </c>
      <c r="H16" s="15" t="s">
        <v>9</v>
      </c>
      <c r="I16" s="15" t="s">
        <v>3</v>
      </c>
      <c r="J16" s="15" t="s">
        <v>9</v>
      </c>
      <c r="K16" s="15" t="s">
        <v>3</v>
      </c>
      <c r="L16" s="15">
        <v>4</v>
      </c>
    </row>
    <row r="17" spans="1:12" x14ac:dyDescent="0.3">
      <c r="A17" s="15" t="s">
        <v>220</v>
      </c>
      <c r="B17" s="15" t="s">
        <v>229</v>
      </c>
      <c r="C17" s="15" t="s">
        <v>164</v>
      </c>
      <c r="D17" s="15">
        <v>6</v>
      </c>
      <c r="E17" s="15" t="s">
        <v>110</v>
      </c>
      <c r="F17" s="15" t="s">
        <v>344</v>
      </c>
      <c r="G17" s="17" t="s">
        <v>238</v>
      </c>
      <c r="H17" s="15" t="s">
        <v>9</v>
      </c>
      <c r="I17" s="15" t="s">
        <v>3</v>
      </c>
      <c r="J17" s="15" t="s">
        <v>9</v>
      </c>
      <c r="K17" s="15" t="s">
        <v>3</v>
      </c>
      <c r="L17" s="15">
        <v>4</v>
      </c>
    </row>
    <row r="18" spans="1:12" x14ac:dyDescent="0.3">
      <c r="A18" s="15" t="s">
        <v>222</v>
      </c>
      <c r="B18" s="16" t="s">
        <v>352</v>
      </c>
      <c r="C18" s="15" t="s">
        <v>164</v>
      </c>
      <c r="D18" s="15">
        <v>6</v>
      </c>
      <c r="E18" s="15" t="s">
        <v>110</v>
      </c>
      <c r="F18" s="15" t="s">
        <v>239</v>
      </c>
      <c r="G18" s="17" t="s">
        <v>240</v>
      </c>
      <c r="H18" s="15" t="s">
        <v>9</v>
      </c>
      <c r="I18" s="15" t="s">
        <v>3</v>
      </c>
      <c r="J18" s="15" t="s">
        <v>3</v>
      </c>
      <c r="K18" s="15" t="s">
        <v>9</v>
      </c>
      <c r="L18" s="15">
        <v>4</v>
      </c>
    </row>
    <row r="19" spans="1:12" s="11" customFormat="1" x14ac:dyDescent="0.3">
      <c r="A19" s="15" t="s">
        <v>275</v>
      </c>
      <c r="B19" s="16" t="s">
        <v>353</v>
      </c>
      <c r="C19" s="15" t="s">
        <v>164</v>
      </c>
      <c r="D19" s="15">
        <v>6</v>
      </c>
      <c r="E19" s="15" t="s">
        <v>110</v>
      </c>
      <c r="F19" s="15" t="s">
        <v>346</v>
      </c>
      <c r="G19" s="21" t="s">
        <v>347</v>
      </c>
      <c r="H19" s="15" t="s">
        <v>3</v>
      </c>
      <c r="I19" s="15" t="s">
        <v>9</v>
      </c>
      <c r="J19" s="15" t="s">
        <v>9</v>
      </c>
      <c r="K19" s="15" t="s">
        <v>9</v>
      </c>
      <c r="L19" s="15">
        <v>4</v>
      </c>
    </row>
    <row r="20" spans="1:12" s="11" customFormat="1" x14ac:dyDescent="0.3">
      <c r="A20" s="15" t="s">
        <v>278</v>
      </c>
      <c r="B20" s="16" t="s">
        <v>354</v>
      </c>
      <c r="C20" s="15" t="s">
        <v>164</v>
      </c>
      <c r="D20" s="15">
        <v>6</v>
      </c>
      <c r="E20" s="15" t="s">
        <v>110</v>
      </c>
      <c r="F20" s="15" t="s">
        <v>357</v>
      </c>
      <c r="G20" s="21" t="s">
        <v>348</v>
      </c>
      <c r="H20" s="15" t="s">
        <v>3</v>
      </c>
      <c r="I20" s="15" t="s">
        <v>9</v>
      </c>
      <c r="J20" s="15" t="s">
        <v>9</v>
      </c>
      <c r="K20" s="15" t="s">
        <v>9</v>
      </c>
      <c r="L20" s="15">
        <v>4</v>
      </c>
    </row>
    <row r="21" spans="1:12" s="11" customFormat="1" x14ac:dyDescent="0.3">
      <c r="A21" s="15" t="s">
        <v>281</v>
      </c>
      <c r="B21" s="16" t="s">
        <v>355</v>
      </c>
      <c r="C21" s="15" t="s">
        <v>164</v>
      </c>
      <c r="D21" s="15">
        <v>6</v>
      </c>
      <c r="E21" s="15" t="s">
        <v>110</v>
      </c>
      <c r="F21" s="15" t="s">
        <v>358</v>
      </c>
      <c r="G21" s="21" t="s">
        <v>349</v>
      </c>
      <c r="H21" s="15" t="s">
        <v>3</v>
      </c>
      <c r="I21" s="15" t="s">
        <v>3</v>
      </c>
      <c r="J21" s="15" t="s">
        <v>9</v>
      </c>
      <c r="K21" s="15" t="s">
        <v>3</v>
      </c>
      <c r="L21" s="15">
        <v>4</v>
      </c>
    </row>
    <row r="22" spans="1:12" s="11" customFormat="1" x14ac:dyDescent="0.3">
      <c r="A22" s="15" t="s">
        <v>291</v>
      </c>
      <c r="B22" s="16" t="s">
        <v>403</v>
      </c>
      <c r="C22" s="15" t="s">
        <v>164</v>
      </c>
      <c r="D22" s="15">
        <v>6</v>
      </c>
      <c r="E22" s="15" t="s">
        <v>110</v>
      </c>
      <c r="F22" s="15" t="s">
        <v>359</v>
      </c>
      <c r="G22" s="17" t="s">
        <v>350</v>
      </c>
      <c r="H22" s="15" t="s">
        <v>3</v>
      </c>
      <c r="I22" s="15" t="s">
        <v>3</v>
      </c>
      <c r="J22" s="15" t="s">
        <v>9</v>
      </c>
      <c r="K22" s="15" t="s">
        <v>9</v>
      </c>
      <c r="L22" s="15">
        <v>4</v>
      </c>
    </row>
    <row r="23" spans="1:12" s="11" customFormat="1" x14ac:dyDescent="0.3">
      <c r="A23" s="15" t="s">
        <v>297</v>
      </c>
      <c r="B23" s="16" t="s">
        <v>356</v>
      </c>
      <c r="C23" s="15" t="s">
        <v>164</v>
      </c>
      <c r="D23" s="15">
        <v>6</v>
      </c>
      <c r="E23" s="15" t="s">
        <v>110</v>
      </c>
      <c r="F23" s="15" t="s">
        <v>360</v>
      </c>
      <c r="G23" s="17" t="s">
        <v>351</v>
      </c>
      <c r="H23" s="15" t="s">
        <v>9</v>
      </c>
      <c r="I23" s="15" t="s">
        <v>9</v>
      </c>
      <c r="J23" s="15" t="s">
        <v>9</v>
      </c>
      <c r="K23" s="15" t="s">
        <v>3</v>
      </c>
      <c r="L23" s="15">
        <v>4</v>
      </c>
    </row>
    <row r="24" spans="1:12" x14ac:dyDescent="0.3">
      <c r="A24" s="15" t="s">
        <v>302</v>
      </c>
      <c r="B24" s="15" t="s">
        <v>243</v>
      </c>
      <c r="C24" s="15" t="s">
        <v>164</v>
      </c>
      <c r="D24" s="15">
        <v>6</v>
      </c>
      <c r="E24" s="15" t="s">
        <v>32</v>
      </c>
      <c r="F24" s="15" t="s">
        <v>241</v>
      </c>
      <c r="G24" s="17" t="s">
        <v>242</v>
      </c>
      <c r="H24" s="15" t="s">
        <v>3</v>
      </c>
      <c r="I24" s="15" t="s">
        <v>3</v>
      </c>
      <c r="J24" s="15" t="s">
        <v>3</v>
      </c>
      <c r="K24" s="15" t="s">
        <v>9</v>
      </c>
      <c r="L24" s="15">
        <v>3</v>
      </c>
    </row>
    <row r="25" spans="1:12" s="11" customFormat="1" x14ac:dyDescent="0.3">
      <c r="A25" s="15" t="s">
        <v>306</v>
      </c>
      <c r="B25" s="15" t="s">
        <v>366</v>
      </c>
      <c r="C25" s="15" t="s">
        <v>164</v>
      </c>
      <c r="D25" s="15">
        <v>6</v>
      </c>
      <c r="E25" s="15" t="s">
        <v>302</v>
      </c>
      <c r="F25" s="15" t="s">
        <v>367</v>
      </c>
      <c r="G25" s="21" t="s">
        <v>368</v>
      </c>
      <c r="H25" s="15" t="s">
        <v>9</v>
      </c>
      <c r="I25" s="15" t="s">
        <v>9</v>
      </c>
      <c r="J25" s="15" t="s">
        <v>3</v>
      </c>
      <c r="K25" s="15" t="s">
        <v>9</v>
      </c>
      <c r="L25" s="15">
        <v>4</v>
      </c>
    </row>
    <row r="26" spans="1:12" s="11" customFormat="1" x14ac:dyDescent="0.3">
      <c r="A26" s="15" t="s">
        <v>314</v>
      </c>
      <c r="B26" s="15" t="s">
        <v>369</v>
      </c>
      <c r="C26" s="15" t="s">
        <v>164</v>
      </c>
      <c r="D26" s="15">
        <v>6</v>
      </c>
      <c r="E26" s="15" t="s">
        <v>302</v>
      </c>
      <c r="F26" s="15" t="s">
        <v>276</v>
      </c>
      <c r="G26" s="17" t="s">
        <v>277</v>
      </c>
      <c r="H26" s="15" t="s">
        <v>9</v>
      </c>
      <c r="I26" s="15" t="s">
        <v>3</v>
      </c>
      <c r="J26" s="15" t="s">
        <v>9</v>
      </c>
      <c r="K26" s="15" t="s">
        <v>9</v>
      </c>
      <c r="L26" s="15">
        <v>4</v>
      </c>
    </row>
    <row r="27" spans="1:12" x14ac:dyDescent="0.3">
      <c r="A27" s="15" t="s">
        <v>323</v>
      </c>
      <c r="B27" s="15" t="s">
        <v>370</v>
      </c>
      <c r="C27" s="15" t="s">
        <v>164</v>
      </c>
      <c r="D27" s="15">
        <v>6</v>
      </c>
      <c r="E27" s="15" t="s">
        <v>302</v>
      </c>
      <c r="F27" s="15" t="s">
        <v>273</v>
      </c>
      <c r="G27" s="17" t="s">
        <v>274</v>
      </c>
      <c r="H27" s="15" t="s">
        <v>9</v>
      </c>
      <c r="I27" s="15" t="s">
        <v>9</v>
      </c>
      <c r="J27" s="15" t="s">
        <v>3</v>
      </c>
      <c r="K27" s="15" t="s">
        <v>9</v>
      </c>
      <c r="L27" s="15">
        <v>4</v>
      </c>
    </row>
    <row r="28" spans="1:12" x14ac:dyDescent="0.3">
      <c r="A28" s="15" t="s">
        <v>327</v>
      </c>
      <c r="B28" s="15" t="s">
        <v>288</v>
      </c>
      <c r="C28" s="15" t="s">
        <v>164</v>
      </c>
      <c r="D28" s="15">
        <v>6</v>
      </c>
      <c r="E28" s="15" t="s">
        <v>302</v>
      </c>
      <c r="F28" s="15" t="s">
        <v>292</v>
      </c>
      <c r="G28" s="17" t="s">
        <v>290</v>
      </c>
      <c r="H28" s="15" t="s">
        <v>9</v>
      </c>
      <c r="I28" s="15" t="s">
        <v>9</v>
      </c>
      <c r="J28" s="15" t="s">
        <v>3</v>
      </c>
      <c r="K28" s="15" t="s">
        <v>9</v>
      </c>
      <c r="L28" s="15">
        <v>4</v>
      </c>
    </row>
    <row r="29" spans="1:12" x14ac:dyDescent="0.3">
      <c r="A29" s="15" t="s">
        <v>331</v>
      </c>
      <c r="B29" s="15" t="s">
        <v>247</v>
      </c>
      <c r="C29" s="15" t="s">
        <v>164</v>
      </c>
      <c r="D29" s="15">
        <v>6</v>
      </c>
      <c r="E29" s="15" t="s">
        <v>302</v>
      </c>
      <c r="F29" s="15" t="s">
        <v>293</v>
      </c>
      <c r="G29" s="17" t="s">
        <v>294</v>
      </c>
      <c r="H29" s="15" t="s">
        <v>9</v>
      </c>
      <c r="I29" s="15" t="s">
        <v>9</v>
      </c>
      <c r="J29" s="15" t="s">
        <v>3</v>
      </c>
      <c r="K29" s="15" t="s">
        <v>9</v>
      </c>
      <c r="L29" s="15">
        <v>4</v>
      </c>
    </row>
    <row r="30" spans="1:12" x14ac:dyDescent="0.3">
      <c r="A30" s="15" t="s">
        <v>336</v>
      </c>
      <c r="B30" s="15" t="s">
        <v>377</v>
      </c>
      <c r="C30" s="15" t="s">
        <v>164</v>
      </c>
      <c r="D30" s="15">
        <v>6</v>
      </c>
      <c r="E30" s="15" t="s">
        <v>302</v>
      </c>
      <c r="F30" s="15" t="s">
        <v>298</v>
      </c>
      <c r="G30" s="17" t="s">
        <v>299</v>
      </c>
      <c r="H30" s="15" t="s">
        <v>9</v>
      </c>
      <c r="I30" s="15" t="s">
        <v>9</v>
      </c>
      <c r="J30" s="15" t="s">
        <v>3</v>
      </c>
      <c r="K30" s="15" t="s">
        <v>9</v>
      </c>
      <c r="L30" s="15">
        <v>4</v>
      </c>
    </row>
    <row r="31" spans="1:12" s="11" customFormat="1" x14ac:dyDescent="0.3">
      <c r="A31" s="15" t="s">
        <v>345</v>
      </c>
      <c r="B31" s="15" t="s">
        <v>376</v>
      </c>
      <c r="C31" s="15" t="s">
        <v>164</v>
      </c>
      <c r="D31" s="15">
        <v>6</v>
      </c>
      <c r="E31" s="15" t="s">
        <v>302</v>
      </c>
      <c r="F31" s="15" t="s">
        <v>372</v>
      </c>
      <c r="G31" s="21" t="s">
        <v>373</v>
      </c>
      <c r="H31" s="15" t="s">
        <v>9</v>
      </c>
      <c r="I31" s="15" t="s">
        <v>9</v>
      </c>
      <c r="J31" s="15" t="s">
        <v>3</v>
      </c>
      <c r="K31" s="15" t="s">
        <v>9</v>
      </c>
      <c r="L31" s="15">
        <v>4</v>
      </c>
    </row>
    <row r="32" spans="1:12" s="11" customFormat="1" x14ac:dyDescent="0.3">
      <c r="A32" s="15" t="s">
        <v>361</v>
      </c>
      <c r="B32" s="15" t="s">
        <v>375</v>
      </c>
      <c r="C32" s="15" t="s">
        <v>164</v>
      </c>
      <c r="D32" s="15">
        <v>6</v>
      </c>
      <c r="E32" s="15" t="s">
        <v>302</v>
      </c>
      <c r="F32" s="15" t="s">
        <v>378</v>
      </c>
      <c r="G32" s="21" t="s">
        <v>379</v>
      </c>
      <c r="H32" s="15" t="s">
        <v>9</v>
      </c>
      <c r="I32" s="15" t="s">
        <v>9</v>
      </c>
      <c r="J32" s="15" t="s">
        <v>3</v>
      </c>
      <c r="K32" s="15" t="s">
        <v>9</v>
      </c>
      <c r="L32" s="15">
        <v>4</v>
      </c>
    </row>
    <row r="33" spans="1:12" s="11" customFormat="1" x14ac:dyDescent="0.3">
      <c r="A33" s="15" t="s">
        <v>362</v>
      </c>
      <c r="B33" s="15" t="s">
        <v>381</v>
      </c>
      <c r="C33" s="15" t="s">
        <v>164</v>
      </c>
      <c r="D33" s="15">
        <v>6</v>
      </c>
      <c r="E33" s="15" t="s">
        <v>302</v>
      </c>
      <c r="F33" s="15" t="s">
        <v>382</v>
      </c>
      <c r="G33" s="21" t="s">
        <v>383</v>
      </c>
      <c r="H33" s="15" t="s">
        <v>9</v>
      </c>
      <c r="I33" s="15" t="s">
        <v>9</v>
      </c>
      <c r="J33" s="15" t="s">
        <v>3</v>
      </c>
      <c r="K33" s="15" t="s">
        <v>9</v>
      </c>
      <c r="L33" s="15">
        <v>4</v>
      </c>
    </row>
    <row r="34" spans="1:12" ht="15" customHeight="1" x14ac:dyDescent="0.3">
      <c r="A34" s="15" t="s">
        <v>363</v>
      </c>
      <c r="B34" s="15" t="s">
        <v>303</v>
      </c>
      <c r="C34" s="15" t="s">
        <v>164</v>
      </c>
      <c r="D34" s="15">
        <v>6</v>
      </c>
      <c r="E34" s="15" t="s">
        <v>32</v>
      </c>
      <c r="F34" s="19" t="s">
        <v>304</v>
      </c>
      <c r="G34" s="17" t="s">
        <v>305</v>
      </c>
      <c r="H34" s="15" t="s">
        <v>9</v>
      </c>
      <c r="I34" s="15" t="s">
        <v>3</v>
      </c>
      <c r="J34" s="15" t="s">
        <v>3</v>
      </c>
      <c r="K34" s="15" t="s">
        <v>9</v>
      </c>
      <c r="L34" s="15">
        <v>3</v>
      </c>
    </row>
    <row r="35" spans="1:12" x14ac:dyDescent="0.3">
      <c r="A35" s="15" t="s">
        <v>364</v>
      </c>
      <c r="B35" s="15" t="s">
        <v>404</v>
      </c>
      <c r="C35" s="15" t="s">
        <v>164</v>
      </c>
      <c r="D35" s="15">
        <v>6</v>
      </c>
      <c r="E35" s="15" t="s">
        <v>363</v>
      </c>
      <c r="F35" s="20" t="s">
        <v>307</v>
      </c>
      <c r="G35" s="21" t="s">
        <v>308</v>
      </c>
      <c r="H35" s="15" t="s">
        <v>9</v>
      </c>
      <c r="I35" s="15" t="s">
        <v>3</v>
      </c>
      <c r="J35" s="15" t="s">
        <v>3</v>
      </c>
      <c r="K35" s="15" t="s">
        <v>9</v>
      </c>
      <c r="L35" s="15">
        <v>4</v>
      </c>
    </row>
    <row r="36" spans="1:12" x14ac:dyDescent="0.3">
      <c r="A36" s="15" t="s">
        <v>365</v>
      </c>
      <c r="B36" s="15" t="s">
        <v>405</v>
      </c>
      <c r="C36" s="15" t="s">
        <v>164</v>
      </c>
      <c r="D36" s="15">
        <v>6</v>
      </c>
      <c r="E36" s="15" t="s">
        <v>363</v>
      </c>
      <c r="F36" s="15" t="s">
        <v>316</v>
      </c>
      <c r="G36" s="21" t="s">
        <v>315</v>
      </c>
      <c r="H36" s="15" t="s">
        <v>9</v>
      </c>
      <c r="I36" s="15" t="s">
        <v>3</v>
      </c>
      <c r="J36" s="15" t="s">
        <v>3</v>
      </c>
      <c r="K36" s="15" t="s">
        <v>9</v>
      </c>
      <c r="L36" s="15">
        <v>4</v>
      </c>
    </row>
    <row r="37" spans="1:12" x14ac:dyDescent="0.3">
      <c r="A37" s="15" t="s">
        <v>371</v>
      </c>
      <c r="B37" s="15" t="s">
        <v>387</v>
      </c>
      <c r="C37" s="15" t="s">
        <v>164</v>
      </c>
      <c r="D37" s="15">
        <v>6</v>
      </c>
      <c r="E37" s="15" t="s">
        <v>32</v>
      </c>
      <c r="F37" s="15" t="s">
        <v>324</v>
      </c>
      <c r="G37" s="21" t="s">
        <v>325</v>
      </c>
      <c r="H37" s="15" t="s">
        <v>9</v>
      </c>
      <c r="I37" s="15" t="s">
        <v>3</v>
      </c>
      <c r="J37" s="15" t="s">
        <v>9</v>
      </c>
      <c r="K37" s="15" t="s">
        <v>3</v>
      </c>
      <c r="L37" s="15">
        <v>3</v>
      </c>
    </row>
    <row r="38" spans="1:12" s="11" customFormat="1" x14ac:dyDescent="0.3">
      <c r="A38" s="15" t="s">
        <v>374</v>
      </c>
      <c r="B38" s="15" t="s">
        <v>552</v>
      </c>
      <c r="C38" s="15" t="s">
        <v>164</v>
      </c>
      <c r="D38" s="15">
        <v>6</v>
      </c>
      <c r="E38" s="15" t="s">
        <v>32</v>
      </c>
      <c r="F38" s="15" t="s">
        <v>553</v>
      </c>
      <c r="G38" s="13" t="s">
        <v>554</v>
      </c>
      <c r="H38" s="15" t="s">
        <v>9</v>
      </c>
      <c r="I38" s="15" t="s">
        <v>3</v>
      </c>
      <c r="J38" s="15" t="s">
        <v>9</v>
      </c>
      <c r="K38" s="15" t="s">
        <v>9</v>
      </c>
      <c r="L38" s="15">
        <v>3</v>
      </c>
    </row>
    <row r="39" spans="1:12" x14ac:dyDescent="0.3">
      <c r="A39" s="15" t="s">
        <v>380</v>
      </c>
      <c r="B39" s="15" t="s">
        <v>328</v>
      </c>
      <c r="C39" s="15" t="s">
        <v>328</v>
      </c>
      <c r="D39" s="15">
        <v>7</v>
      </c>
      <c r="E39" s="15" t="s">
        <v>20</v>
      </c>
      <c r="F39" s="15" t="s">
        <v>329</v>
      </c>
      <c r="G39" s="21" t="s">
        <v>330</v>
      </c>
      <c r="H39" s="15" t="s">
        <v>9</v>
      </c>
      <c r="I39" s="15" t="s">
        <v>3</v>
      </c>
      <c r="J39" s="15" t="s">
        <v>9</v>
      </c>
      <c r="K39" s="15" t="s">
        <v>3</v>
      </c>
      <c r="L39" s="15">
        <v>2</v>
      </c>
    </row>
    <row r="40" spans="1:12" x14ac:dyDescent="0.3">
      <c r="A40" s="15" t="s">
        <v>385</v>
      </c>
      <c r="B40" s="15" t="s">
        <v>332</v>
      </c>
      <c r="C40" s="15" t="s">
        <v>328</v>
      </c>
      <c r="D40" s="15">
        <v>7</v>
      </c>
      <c r="E40" s="15" t="s">
        <v>380</v>
      </c>
      <c r="F40" s="15" t="s">
        <v>333</v>
      </c>
      <c r="G40" s="21" t="s">
        <v>388</v>
      </c>
      <c r="H40" s="15" t="s">
        <v>9</v>
      </c>
      <c r="I40" s="15" t="s">
        <v>3</v>
      </c>
      <c r="J40" s="15" t="s">
        <v>9</v>
      </c>
      <c r="K40" s="15" t="s">
        <v>3</v>
      </c>
      <c r="L40" s="15">
        <v>3</v>
      </c>
    </row>
    <row r="41" spans="1:12" s="14" customFormat="1" x14ac:dyDescent="0.3">
      <c r="A41" s="15" t="s">
        <v>391</v>
      </c>
      <c r="B41" s="15" t="s">
        <v>389</v>
      </c>
      <c r="C41" s="15" t="s">
        <v>328</v>
      </c>
      <c r="D41" s="15">
        <v>7</v>
      </c>
      <c r="E41" s="15" t="s">
        <v>385</v>
      </c>
      <c r="F41" s="15" t="s">
        <v>395</v>
      </c>
      <c r="G41" s="21" t="s">
        <v>394</v>
      </c>
      <c r="H41" s="15" t="s">
        <v>9</v>
      </c>
      <c r="I41" s="15" t="s">
        <v>3</v>
      </c>
      <c r="J41" s="15" t="s">
        <v>9</v>
      </c>
      <c r="K41" s="15" t="s">
        <v>9</v>
      </c>
      <c r="L41" s="15">
        <v>4</v>
      </c>
    </row>
    <row r="42" spans="1:12" s="14" customFormat="1" x14ac:dyDescent="0.3">
      <c r="A42" s="15" t="s">
        <v>392</v>
      </c>
      <c r="B42" s="15" t="s">
        <v>390</v>
      </c>
      <c r="C42" s="15" t="s">
        <v>328</v>
      </c>
      <c r="D42" s="15">
        <v>7</v>
      </c>
      <c r="E42" s="15" t="s">
        <v>385</v>
      </c>
      <c r="F42" s="15" t="s">
        <v>397</v>
      </c>
      <c r="G42" s="21" t="s">
        <v>396</v>
      </c>
      <c r="H42" s="15" t="s">
        <v>9</v>
      </c>
      <c r="I42" s="15" t="s">
        <v>3</v>
      </c>
      <c r="J42" s="15" t="s">
        <v>9</v>
      </c>
      <c r="K42" s="15" t="s">
        <v>3</v>
      </c>
      <c r="L42" s="15">
        <v>4</v>
      </c>
    </row>
    <row r="43" spans="1:12" x14ac:dyDescent="0.3">
      <c r="A43" s="15" t="s">
        <v>393</v>
      </c>
      <c r="B43" s="15" t="s">
        <v>337</v>
      </c>
      <c r="C43" s="15" t="s">
        <v>337</v>
      </c>
      <c r="D43" s="15">
        <v>8</v>
      </c>
      <c r="E43" s="15" t="s">
        <v>20</v>
      </c>
      <c r="F43" s="15" t="s">
        <v>338</v>
      </c>
      <c r="G43" s="21" t="s">
        <v>339</v>
      </c>
      <c r="H43" s="15" t="s">
        <v>9</v>
      </c>
      <c r="I43" s="15" t="s">
        <v>3</v>
      </c>
      <c r="J43" s="15" t="s">
        <v>9</v>
      </c>
      <c r="K43" s="15" t="s">
        <v>9</v>
      </c>
      <c r="L43" s="15">
        <v>2</v>
      </c>
    </row>
    <row r="44" spans="1:12" s="14" customFormat="1" x14ac:dyDescent="0.3">
      <c r="A44" s="15" t="s">
        <v>492</v>
      </c>
      <c r="B44" s="15" t="s">
        <v>436</v>
      </c>
      <c r="C44" s="15" t="s">
        <v>436</v>
      </c>
      <c r="D44" s="15">
        <v>9</v>
      </c>
      <c r="E44" s="15" t="s">
        <v>20</v>
      </c>
      <c r="F44" s="15" t="s">
        <v>398</v>
      </c>
      <c r="G44" s="17" t="s">
        <v>386</v>
      </c>
      <c r="H44" s="15" t="s">
        <v>9</v>
      </c>
      <c r="I44" s="15" t="s">
        <v>3</v>
      </c>
      <c r="J44" s="15" t="s">
        <v>9</v>
      </c>
      <c r="K44" s="15" t="s">
        <v>9</v>
      </c>
      <c r="L44" s="15">
        <v>2</v>
      </c>
    </row>
    <row r="45" spans="1:12" x14ac:dyDescent="0.3">
      <c r="A45" s="15" t="s">
        <v>493</v>
      </c>
      <c r="B45" s="15" t="s">
        <v>491</v>
      </c>
      <c r="C45" s="15" t="s">
        <v>491</v>
      </c>
      <c r="D45" s="15">
        <v>10</v>
      </c>
      <c r="E45" s="15" t="s">
        <v>20</v>
      </c>
      <c r="F45" s="15" t="s">
        <v>495</v>
      </c>
      <c r="G45" s="21" t="s">
        <v>494</v>
      </c>
      <c r="H45" s="15" t="s">
        <v>9</v>
      </c>
      <c r="I45" s="15" t="s">
        <v>3</v>
      </c>
      <c r="J45" s="15" t="s">
        <v>9</v>
      </c>
      <c r="K45" s="15" t="s">
        <v>3</v>
      </c>
      <c r="L45" s="15">
        <v>2</v>
      </c>
    </row>
    <row r="46" spans="1:12" x14ac:dyDescent="0.3">
      <c r="A46" s="1" t="s">
        <v>551</v>
      </c>
      <c r="B46" s="15" t="s">
        <v>262</v>
      </c>
      <c r="C46" s="15" t="s">
        <v>491</v>
      </c>
      <c r="D46" s="15">
        <v>10</v>
      </c>
      <c r="E46" s="15" t="s">
        <v>493</v>
      </c>
      <c r="F46" s="15" t="s">
        <v>496</v>
      </c>
      <c r="G46" s="21" t="s">
        <v>263</v>
      </c>
      <c r="H46" s="15" t="s">
        <v>9</v>
      </c>
      <c r="I46" s="15" t="s">
        <v>3</v>
      </c>
      <c r="J46" s="15" t="s">
        <v>9</v>
      </c>
      <c r="K46" s="15" t="s">
        <v>3</v>
      </c>
      <c r="L46" s="15">
        <v>3</v>
      </c>
    </row>
  </sheetData>
  <hyperlinks>
    <hyperlink ref="G4" r:id="rId1"/>
    <hyperlink ref="G5" r:id="rId2"/>
    <hyperlink ref="G6" r:id="rId3"/>
    <hyperlink ref="G8" r:id="rId4"/>
    <hyperlink ref="G13" r:id="rId5"/>
    <hyperlink ref="G2" r:id="rId6"/>
    <hyperlink ref="G16" r:id="rId7"/>
    <hyperlink ref="G17" r:id="rId8"/>
    <hyperlink ref="G18" r:id="rId9"/>
    <hyperlink ref="G24" r:id="rId10"/>
    <hyperlink ref="G27" r:id="rId11"/>
    <hyperlink ref="G26" r:id="rId12"/>
    <hyperlink ref="G28" r:id="rId13"/>
    <hyperlink ref="G29" r:id="rId14"/>
    <hyperlink ref="G30" r:id="rId15"/>
    <hyperlink ref="G34" r:id="rId16" location="mission" display="https://www.ogm.utah.gov/about.php - mission"/>
    <hyperlink ref="G35" r:id="rId17" location="mission" display="https://www.ogm.utah.gov/coal/about.php - mission"/>
    <hyperlink ref="G36" r:id="rId18"/>
    <hyperlink ref="G37" r:id="rId19"/>
    <hyperlink ref="G39" r:id="rId20"/>
    <hyperlink ref="G43" r:id="rId21"/>
    <hyperlink ref="G11" r:id="rId22"/>
    <hyperlink ref="G10" r:id="rId23"/>
    <hyperlink ref="G9" r:id="rId24"/>
    <hyperlink ref="G14" r:id="rId25"/>
    <hyperlink ref="G15" r:id="rId26"/>
    <hyperlink ref="G19" r:id="rId27"/>
    <hyperlink ref="G25" r:id="rId28"/>
    <hyperlink ref="G31" r:id="rId29"/>
    <hyperlink ref="G32" r:id="rId30"/>
    <hyperlink ref="G33" r:id="rId31"/>
    <hyperlink ref="G3" r:id="rId32"/>
    <hyperlink ref="G44" r:id="rId33"/>
    <hyperlink ref="G40" r:id="rId34"/>
    <hyperlink ref="G41" r:id="rId35"/>
    <hyperlink ref="G42" r:id="rId36"/>
    <hyperlink ref="G7" r:id="rId37"/>
    <hyperlink ref="G12" r:id="rId38"/>
    <hyperlink ref="G45" r:id="rId39"/>
    <hyperlink ref="G46" r:id="rId40"/>
    <hyperlink ref="G38" r:id="rId41"/>
  </hyperlinks>
  <pageMargins left="0.7" right="0.7" top="0.75" bottom="0.75" header="0.3" footer="0.3"/>
  <pageSetup orientation="portrait" r:id="rId4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4"/>
  <sheetViews>
    <sheetView workbookViewId="0">
      <selection activeCell="B2" sqref="B2:B44"/>
    </sheetView>
  </sheetViews>
  <sheetFormatPr defaultColWidth="8.69921875" defaultRowHeight="15.6" x14ac:dyDescent="0.3"/>
  <cols>
    <col min="1" max="16384" width="8.69921875" style="1"/>
  </cols>
  <sheetData>
    <row r="1" spans="1:2" x14ac:dyDescent="0.3">
      <c r="A1" s="4" t="s">
        <v>33</v>
      </c>
      <c r="B1" s="4" t="s">
        <v>34</v>
      </c>
    </row>
    <row r="2" spans="1:2" x14ac:dyDescent="0.3">
      <c r="A2" s="15" t="s">
        <v>20</v>
      </c>
      <c r="B2" s="15" t="s">
        <v>21</v>
      </c>
    </row>
    <row r="3" spans="1:2" x14ac:dyDescent="0.3">
      <c r="A3" s="15" t="s">
        <v>21</v>
      </c>
      <c r="B3" s="15" t="s">
        <v>22</v>
      </c>
    </row>
    <row r="4" spans="1:2" x14ac:dyDescent="0.3">
      <c r="A4" s="15" t="s">
        <v>20</v>
      </c>
      <c r="B4" s="15" t="s">
        <v>23</v>
      </c>
    </row>
    <row r="5" spans="1:2" x14ac:dyDescent="0.3">
      <c r="A5" s="15" t="s">
        <v>23</v>
      </c>
      <c r="B5" s="15" t="s">
        <v>24</v>
      </c>
    </row>
    <row r="6" spans="1:2" x14ac:dyDescent="0.3">
      <c r="A6" s="15" t="s">
        <v>24</v>
      </c>
      <c r="B6" s="15" t="s">
        <v>25</v>
      </c>
    </row>
    <row r="7" spans="1:2" x14ac:dyDescent="0.3">
      <c r="A7" s="15" t="s">
        <v>20</v>
      </c>
      <c r="B7" s="15" t="s">
        <v>26</v>
      </c>
    </row>
    <row r="8" spans="1:2" x14ac:dyDescent="0.3">
      <c r="A8" s="15" t="s">
        <v>26</v>
      </c>
      <c r="B8" s="15" t="s">
        <v>27</v>
      </c>
    </row>
    <row r="9" spans="1:2" x14ac:dyDescent="0.3">
      <c r="A9" s="15" t="s">
        <v>26</v>
      </c>
      <c r="B9" s="15" t="s">
        <v>28</v>
      </c>
    </row>
    <row r="10" spans="1:2" x14ac:dyDescent="0.3">
      <c r="A10" s="15" t="s">
        <v>26</v>
      </c>
      <c r="B10" s="15" t="s">
        <v>29</v>
      </c>
    </row>
    <row r="11" spans="1:2" x14ac:dyDescent="0.3">
      <c r="A11" s="15" t="s">
        <v>20</v>
      </c>
      <c r="B11" s="15" t="s">
        <v>30</v>
      </c>
    </row>
    <row r="12" spans="1:2" x14ac:dyDescent="0.3">
      <c r="A12" s="15" t="s">
        <v>30</v>
      </c>
      <c r="B12" s="15" t="s">
        <v>31</v>
      </c>
    </row>
    <row r="13" spans="1:2" x14ac:dyDescent="0.3">
      <c r="A13" s="15" t="s">
        <v>20</v>
      </c>
      <c r="B13" s="15" t="s">
        <v>32</v>
      </c>
    </row>
    <row r="14" spans="1:2" x14ac:dyDescent="0.3">
      <c r="A14" s="15" t="s">
        <v>32</v>
      </c>
      <c r="B14" s="15" t="s">
        <v>110</v>
      </c>
    </row>
    <row r="15" spans="1:2" x14ac:dyDescent="0.3">
      <c r="A15" s="15" t="s">
        <v>110</v>
      </c>
      <c r="B15" s="15" t="s">
        <v>219</v>
      </c>
    </row>
    <row r="16" spans="1:2" x14ac:dyDescent="0.3">
      <c r="A16" s="15" t="s">
        <v>110</v>
      </c>
      <c r="B16" s="15" t="s">
        <v>220</v>
      </c>
    </row>
    <row r="17" spans="1:2" x14ac:dyDescent="0.3">
      <c r="A17" s="15" t="s">
        <v>110</v>
      </c>
      <c r="B17" s="15" t="s">
        <v>222</v>
      </c>
    </row>
    <row r="18" spans="1:2" x14ac:dyDescent="0.3">
      <c r="A18" s="15" t="s">
        <v>110</v>
      </c>
      <c r="B18" s="15" t="s">
        <v>275</v>
      </c>
    </row>
    <row r="19" spans="1:2" x14ac:dyDescent="0.3">
      <c r="A19" s="15" t="s">
        <v>110</v>
      </c>
      <c r="B19" s="15" t="s">
        <v>278</v>
      </c>
    </row>
    <row r="20" spans="1:2" x14ac:dyDescent="0.3">
      <c r="A20" s="15" t="s">
        <v>110</v>
      </c>
      <c r="B20" s="15" t="s">
        <v>281</v>
      </c>
    </row>
    <row r="21" spans="1:2" x14ac:dyDescent="0.3">
      <c r="A21" s="15" t="s">
        <v>110</v>
      </c>
      <c r="B21" s="15" t="s">
        <v>291</v>
      </c>
    </row>
    <row r="22" spans="1:2" x14ac:dyDescent="0.3">
      <c r="A22" s="15" t="s">
        <v>110</v>
      </c>
      <c r="B22" s="15" t="s">
        <v>297</v>
      </c>
    </row>
    <row r="23" spans="1:2" x14ac:dyDescent="0.3">
      <c r="A23" s="15" t="s">
        <v>32</v>
      </c>
      <c r="B23" s="15" t="s">
        <v>302</v>
      </c>
    </row>
    <row r="24" spans="1:2" x14ac:dyDescent="0.3">
      <c r="A24" s="15" t="s">
        <v>302</v>
      </c>
      <c r="B24" s="15" t="s">
        <v>306</v>
      </c>
    </row>
    <row r="25" spans="1:2" x14ac:dyDescent="0.3">
      <c r="A25" s="15" t="s">
        <v>302</v>
      </c>
      <c r="B25" s="15" t="s">
        <v>314</v>
      </c>
    </row>
    <row r="26" spans="1:2" x14ac:dyDescent="0.3">
      <c r="A26" s="15" t="s">
        <v>302</v>
      </c>
      <c r="B26" s="15" t="s">
        <v>323</v>
      </c>
    </row>
    <row r="27" spans="1:2" x14ac:dyDescent="0.3">
      <c r="A27" s="15" t="s">
        <v>302</v>
      </c>
      <c r="B27" s="15" t="s">
        <v>327</v>
      </c>
    </row>
    <row r="28" spans="1:2" x14ac:dyDescent="0.3">
      <c r="A28" s="15" t="s">
        <v>302</v>
      </c>
      <c r="B28" s="15" t="s">
        <v>331</v>
      </c>
    </row>
    <row r="29" spans="1:2" x14ac:dyDescent="0.3">
      <c r="A29" s="15" t="s">
        <v>302</v>
      </c>
      <c r="B29" s="15" t="s">
        <v>336</v>
      </c>
    </row>
    <row r="30" spans="1:2" x14ac:dyDescent="0.3">
      <c r="A30" s="15" t="s">
        <v>302</v>
      </c>
      <c r="B30" s="15" t="s">
        <v>345</v>
      </c>
    </row>
    <row r="31" spans="1:2" x14ac:dyDescent="0.3">
      <c r="A31" s="15" t="s">
        <v>302</v>
      </c>
      <c r="B31" s="15" t="s">
        <v>361</v>
      </c>
    </row>
    <row r="32" spans="1:2" x14ac:dyDescent="0.3">
      <c r="A32" s="15" t="s">
        <v>302</v>
      </c>
      <c r="B32" s="15" t="s">
        <v>362</v>
      </c>
    </row>
    <row r="33" spans="1:2" x14ac:dyDescent="0.3">
      <c r="A33" s="15" t="s">
        <v>32</v>
      </c>
      <c r="B33" s="15" t="s">
        <v>363</v>
      </c>
    </row>
    <row r="34" spans="1:2" x14ac:dyDescent="0.3">
      <c r="A34" s="15" t="s">
        <v>363</v>
      </c>
      <c r="B34" s="15" t="s">
        <v>364</v>
      </c>
    </row>
    <row r="35" spans="1:2" x14ac:dyDescent="0.3">
      <c r="A35" s="15" t="s">
        <v>363</v>
      </c>
      <c r="B35" s="15" t="s">
        <v>365</v>
      </c>
    </row>
    <row r="36" spans="1:2" x14ac:dyDescent="0.3">
      <c r="A36" s="15" t="s">
        <v>32</v>
      </c>
      <c r="B36" s="15" t="s">
        <v>371</v>
      </c>
    </row>
    <row r="37" spans="1:2" x14ac:dyDescent="0.3">
      <c r="A37" s="15" t="s">
        <v>20</v>
      </c>
      <c r="B37" s="15" t="s">
        <v>374</v>
      </c>
    </row>
    <row r="38" spans="1:2" x14ac:dyDescent="0.3">
      <c r="A38" s="15" t="s">
        <v>374</v>
      </c>
      <c r="B38" s="15" t="s">
        <v>380</v>
      </c>
    </row>
    <row r="39" spans="1:2" x14ac:dyDescent="0.3">
      <c r="A39" s="15" t="s">
        <v>380</v>
      </c>
      <c r="B39" s="15" t="s">
        <v>385</v>
      </c>
    </row>
    <row r="40" spans="1:2" x14ac:dyDescent="0.3">
      <c r="A40" s="15" t="s">
        <v>380</v>
      </c>
      <c r="B40" s="15" t="s">
        <v>391</v>
      </c>
    </row>
    <row r="41" spans="1:2" x14ac:dyDescent="0.3">
      <c r="A41" s="15" t="s">
        <v>20</v>
      </c>
      <c r="B41" s="15" t="s">
        <v>392</v>
      </c>
    </row>
    <row r="42" spans="1:2" x14ac:dyDescent="0.3">
      <c r="A42" s="15" t="s">
        <v>20</v>
      </c>
      <c r="B42" s="15" t="s">
        <v>393</v>
      </c>
    </row>
    <row r="43" spans="1:2" x14ac:dyDescent="0.3">
      <c r="A43" s="15" t="s">
        <v>20</v>
      </c>
      <c r="B43" s="15" t="s">
        <v>492</v>
      </c>
    </row>
    <row r="44" spans="1:2" x14ac:dyDescent="0.3">
      <c r="A44" s="15" t="s">
        <v>492</v>
      </c>
      <c r="B44" s="15" t="s">
        <v>493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65"/>
  <sheetViews>
    <sheetView zoomScale="80" zoomScaleNormal="80" workbookViewId="0">
      <pane xSplit="5" ySplit="1" topLeftCell="M2" activePane="bottomRight" state="frozen"/>
      <selection pane="topRight" activeCell="E1" sqref="E1"/>
      <selection pane="bottomLeft" activeCell="A2" sqref="A2"/>
      <selection pane="bottomRight" activeCell="E14" sqref="E14"/>
    </sheetView>
  </sheetViews>
  <sheetFormatPr defaultColWidth="8.69921875" defaultRowHeight="15.6" x14ac:dyDescent="0.3"/>
  <cols>
    <col min="1" max="1" width="9.8984375" style="15" bestFit="1" customWidth="1"/>
    <col min="2" max="2" width="23.69921875" style="15" customWidth="1"/>
    <col min="3" max="3" width="30.3984375" style="15" customWidth="1"/>
    <col min="4" max="4" width="7.69921875" style="15" bestFit="1" customWidth="1"/>
    <col min="5" max="5" width="28" style="15" customWidth="1"/>
    <col min="6" max="6" width="30.59765625" style="15" customWidth="1"/>
    <col min="7" max="7" width="33" style="15" bestFit="1" customWidth="1"/>
    <col min="8" max="8" width="10.09765625" style="23" customWidth="1"/>
    <col min="9" max="9" width="24.09765625" style="28" customWidth="1"/>
    <col min="10" max="13" width="8.69921875" style="1"/>
    <col min="14" max="14" width="8.69921875" style="11"/>
    <col min="15" max="22" width="8.69921875" style="1"/>
    <col min="23" max="16384" width="8.69921875" style="11"/>
  </cols>
  <sheetData>
    <row r="1" spans="1:22" x14ac:dyDescent="0.3">
      <c r="A1" s="8" t="s">
        <v>92</v>
      </c>
      <c r="B1" s="8" t="s">
        <v>93</v>
      </c>
      <c r="C1" s="8" t="s">
        <v>88</v>
      </c>
      <c r="D1" s="8" t="s">
        <v>90</v>
      </c>
      <c r="E1" s="8" t="s">
        <v>94</v>
      </c>
      <c r="F1" s="8" t="s">
        <v>111</v>
      </c>
      <c r="G1" s="8" t="s">
        <v>89</v>
      </c>
      <c r="H1" s="22" t="s">
        <v>91</v>
      </c>
      <c r="I1" s="24" t="s">
        <v>14</v>
      </c>
      <c r="J1" s="2" t="s">
        <v>95</v>
      </c>
      <c r="K1" s="2" t="s">
        <v>96</v>
      </c>
      <c r="L1" s="8" t="s">
        <v>97</v>
      </c>
      <c r="M1" s="2" t="s">
        <v>98</v>
      </c>
      <c r="N1" s="2" t="s">
        <v>489</v>
      </c>
      <c r="O1" s="2" t="s">
        <v>99</v>
      </c>
      <c r="P1" s="2" t="s">
        <v>85</v>
      </c>
      <c r="Q1" s="2" t="s">
        <v>100</v>
      </c>
      <c r="R1" s="2" t="s">
        <v>86</v>
      </c>
      <c r="S1" s="2" t="s">
        <v>101</v>
      </c>
      <c r="T1" s="2" t="s">
        <v>102</v>
      </c>
      <c r="U1" s="2" t="s">
        <v>103</v>
      </c>
      <c r="V1" s="2" t="s">
        <v>81</v>
      </c>
    </row>
    <row r="2" spans="1:22" x14ac:dyDescent="0.3">
      <c r="A2" s="15" t="s">
        <v>36</v>
      </c>
      <c r="B2" s="15" t="s">
        <v>435</v>
      </c>
      <c r="C2" s="15" t="s">
        <v>436</v>
      </c>
      <c r="D2" s="15" t="s">
        <v>492</v>
      </c>
      <c r="E2" s="15" t="s">
        <v>521</v>
      </c>
      <c r="F2" s="15" t="str">
        <f>CONCATENATE(E2,": ",B2)</f>
        <v>AGRC: Utah Open Data Catalog</v>
      </c>
      <c r="G2" s="15" t="str">
        <f>VLOOKUP($D2,orgNodes!$A$2:$D$46,3,FALSE)</f>
        <v>Technology Coordination Office - Automated Geographic Reference Center</v>
      </c>
      <c r="H2" s="15">
        <f>VLOOKUP($D2,orgNodes!$A$2:$D$46,4,FALSE)</f>
        <v>9</v>
      </c>
      <c r="I2" s="25" t="s">
        <v>433</v>
      </c>
      <c r="J2" s="11" t="s">
        <v>144</v>
      </c>
      <c r="K2" s="11" t="s">
        <v>145</v>
      </c>
      <c r="L2" s="11" t="s">
        <v>3</v>
      </c>
      <c r="M2" s="11" t="s">
        <v>517</v>
      </c>
      <c r="N2" s="11" t="s">
        <v>82</v>
      </c>
      <c r="O2" s="11" t="s">
        <v>505</v>
      </c>
      <c r="P2" s="11" t="s">
        <v>3</v>
      </c>
      <c r="Q2" s="11" t="s">
        <v>8</v>
      </c>
      <c r="R2" s="11" t="s">
        <v>9</v>
      </c>
      <c r="S2" s="11" t="s">
        <v>506</v>
      </c>
      <c r="T2" s="11" t="s">
        <v>3</v>
      </c>
      <c r="U2" s="11" t="s">
        <v>138</v>
      </c>
      <c r="V2" s="11" t="s">
        <v>188</v>
      </c>
    </row>
    <row r="3" spans="1:22" x14ac:dyDescent="0.3">
      <c r="A3" s="15" t="s">
        <v>37</v>
      </c>
      <c r="B3" s="15" t="s">
        <v>476</v>
      </c>
      <c r="C3" s="15" t="s">
        <v>436</v>
      </c>
      <c r="D3" s="15" t="s">
        <v>492</v>
      </c>
      <c r="E3" s="15" t="s">
        <v>521</v>
      </c>
      <c r="F3" s="15" t="str">
        <f t="shared" ref="F3:F6" si="0">CONCATENATE(E3,": ",B3)</f>
        <v>AGRC: State Geographic Information Database</v>
      </c>
      <c r="G3" s="15" t="str">
        <f>VLOOKUP($D3,orgNodes!$A$2:$D$46,3,FALSE)</f>
        <v>Technology Coordination Office - Automated Geographic Reference Center</v>
      </c>
      <c r="H3" s="15">
        <f>VLOOKUP($D3,orgNodes!$A$2:$D$46,4,FALSE)</f>
        <v>9</v>
      </c>
      <c r="I3" s="25" t="s">
        <v>477</v>
      </c>
      <c r="J3" s="1" t="s">
        <v>137</v>
      </c>
      <c r="K3" s="1" t="s">
        <v>145</v>
      </c>
      <c r="L3" s="1" t="s">
        <v>3</v>
      </c>
      <c r="M3" s="11" t="s">
        <v>517</v>
      </c>
      <c r="N3" s="11" t="s">
        <v>82</v>
      </c>
      <c r="O3" s="11" t="s">
        <v>505</v>
      </c>
      <c r="P3" s="1" t="s">
        <v>3</v>
      </c>
      <c r="Q3" s="1" t="s">
        <v>8</v>
      </c>
      <c r="R3" s="1" t="s">
        <v>9</v>
      </c>
      <c r="S3" s="1" t="s">
        <v>472</v>
      </c>
      <c r="T3" s="1" t="s">
        <v>3</v>
      </c>
      <c r="U3" s="1" t="s">
        <v>138</v>
      </c>
      <c r="V3" s="1" t="s">
        <v>151</v>
      </c>
    </row>
    <row r="4" spans="1:22" x14ac:dyDescent="0.3">
      <c r="A4" s="10" t="s">
        <v>38</v>
      </c>
      <c r="B4" s="15" t="s">
        <v>131</v>
      </c>
      <c r="C4" s="15" t="s">
        <v>116</v>
      </c>
      <c r="D4" s="15" t="s">
        <v>21</v>
      </c>
      <c r="E4" s="15" t="s">
        <v>522</v>
      </c>
      <c r="F4" s="15" t="str">
        <f t="shared" si="0"/>
        <v>UDAF: Annual Report Archive</v>
      </c>
      <c r="G4" s="15" t="str">
        <f>VLOOKUP($D4,orgNodes!$A$2:$D$46,3,FALSE)</f>
        <v>Department of Agriculture and Food</v>
      </c>
      <c r="H4" s="15">
        <f>VLOOKUP($D4,orgNodes!$A$2:$D$46,4,FALSE)</f>
        <v>2</v>
      </c>
      <c r="I4" s="25" t="s">
        <v>135</v>
      </c>
      <c r="J4" s="1" t="s">
        <v>6</v>
      </c>
      <c r="K4" s="1" t="s">
        <v>1</v>
      </c>
      <c r="L4" s="1" t="s">
        <v>3</v>
      </c>
      <c r="M4" s="1" t="s">
        <v>10</v>
      </c>
      <c r="N4" s="11" t="s">
        <v>82</v>
      </c>
      <c r="O4" s="1" t="s">
        <v>5</v>
      </c>
      <c r="P4" s="1" t="s">
        <v>9</v>
      </c>
      <c r="Q4" s="1" t="s">
        <v>87</v>
      </c>
      <c r="R4" s="1" t="s">
        <v>9</v>
      </c>
      <c r="S4" s="1" t="s">
        <v>9</v>
      </c>
      <c r="T4" s="1" t="s">
        <v>9</v>
      </c>
      <c r="U4" s="1" t="s">
        <v>138</v>
      </c>
      <c r="V4" s="1" t="s">
        <v>83</v>
      </c>
    </row>
    <row r="5" spans="1:22" s="9" customFormat="1" x14ac:dyDescent="0.3">
      <c r="A5" s="15" t="s">
        <v>39</v>
      </c>
      <c r="B5" s="10" t="s">
        <v>132</v>
      </c>
      <c r="C5" s="10" t="s">
        <v>183</v>
      </c>
      <c r="D5" s="10" t="s">
        <v>22</v>
      </c>
      <c r="E5" s="10" t="s">
        <v>523</v>
      </c>
      <c r="F5" s="15" t="str">
        <f t="shared" si="0"/>
        <v>UDAF-Conservation Division: Salinity Control Forum</v>
      </c>
      <c r="G5" s="15" t="str">
        <f>VLOOKUP($D5,orgNodes!$A$2:$D$46,3,FALSE)</f>
        <v>Department of Agriculture and Food</v>
      </c>
      <c r="H5" s="15">
        <f>VLOOKUP($D5,orgNodes!$A$2:$D$46,4,FALSE)</f>
        <v>2</v>
      </c>
      <c r="I5" s="13" t="s">
        <v>118</v>
      </c>
      <c r="J5" s="9" t="s">
        <v>6</v>
      </c>
      <c r="K5" s="9" t="s">
        <v>1</v>
      </c>
      <c r="L5" s="9" t="s">
        <v>3</v>
      </c>
      <c r="M5" s="9" t="s">
        <v>430</v>
      </c>
      <c r="N5" s="11" t="s">
        <v>490</v>
      </c>
      <c r="O5" s="9" t="s">
        <v>4</v>
      </c>
      <c r="P5" s="9" t="s">
        <v>4</v>
      </c>
      <c r="Q5" s="9" t="s">
        <v>4</v>
      </c>
      <c r="R5" s="9" t="s">
        <v>4</v>
      </c>
      <c r="S5" s="9" t="s">
        <v>4</v>
      </c>
      <c r="T5" s="9" t="s">
        <v>4</v>
      </c>
      <c r="U5" s="9" t="s">
        <v>4</v>
      </c>
      <c r="V5" s="9" t="s">
        <v>4</v>
      </c>
    </row>
    <row r="6" spans="1:22" x14ac:dyDescent="0.3">
      <c r="A6" s="15" t="s">
        <v>40</v>
      </c>
      <c r="B6" s="15" t="s">
        <v>133</v>
      </c>
      <c r="C6" s="15" t="s">
        <v>183</v>
      </c>
      <c r="D6" s="15" t="s">
        <v>22</v>
      </c>
      <c r="E6" s="10" t="s">
        <v>523</v>
      </c>
      <c r="F6" s="15" t="str">
        <f t="shared" si="0"/>
        <v>UDAF-Conservation Division: Groundwater Program</v>
      </c>
      <c r="G6" s="15" t="str">
        <f>VLOOKUP($D6,orgNodes!$A$2:$D$46,3,FALSE)</f>
        <v>Department of Agriculture and Food</v>
      </c>
      <c r="H6" s="15">
        <f>VLOOKUP($D6,orgNodes!$A$2:$D$46,4,FALSE)</f>
        <v>2</v>
      </c>
      <c r="I6" s="25" t="s">
        <v>118</v>
      </c>
      <c r="J6" s="1" t="s">
        <v>6</v>
      </c>
      <c r="K6" s="11" t="s">
        <v>1</v>
      </c>
      <c r="L6" s="11" t="s">
        <v>3</v>
      </c>
      <c r="M6" s="11" t="s">
        <v>7</v>
      </c>
      <c r="N6" s="11" t="s">
        <v>82</v>
      </c>
      <c r="O6" s="11" t="s">
        <v>5</v>
      </c>
      <c r="P6" s="11" t="s">
        <v>3</v>
      </c>
      <c r="Q6" s="11" t="s">
        <v>415</v>
      </c>
      <c r="R6" s="11" t="s">
        <v>3</v>
      </c>
      <c r="S6" s="11" t="s">
        <v>187</v>
      </c>
      <c r="T6" s="11" t="s">
        <v>9</v>
      </c>
      <c r="U6" s="11" t="s">
        <v>422</v>
      </c>
      <c r="V6" s="11" t="s">
        <v>83</v>
      </c>
    </row>
    <row r="7" spans="1:22" x14ac:dyDescent="0.3">
      <c r="A7" s="10" t="s">
        <v>41</v>
      </c>
      <c r="B7" s="15" t="s">
        <v>195</v>
      </c>
      <c r="C7" s="15" t="s">
        <v>183</v>
      </c>
      <c r="D7" s="15" t="s">
        <v>22</v>
      </c>
      <c r="E7" s="10" t="s">
        <v>523</v>
      </c>
      <c r="F7" s="15" t="str">
        <f>CONCATENATE(E7,": ",B7)</f>
        <v>UDAF-Conservation Division: Harmful Algal Blooms</v>
      </c>
      <c r="G7" s="15" t="str">
        <f>VLOOKUP($D7,orgNodes!$A$2:$D$46,3,FALSE)</f>
        <v>Department of Agriculture and Food</v>
      </c>
      <c r="H7" s="15">
        <f>VLOOKUP($D7,orgNodes!$A$2:$D$46,4,FALSE)</f>
        <v>2</v>
      </c>
      <c r="I7" s="25" t="s">
        <v>196</v>
      </c>
      <c r="J7" s="1" t="s">
        <v>137</v>
      </c>
      <c r="K7" s="1" t="s">
        <v>147</v>
      </c>
      <c r="L7" s="1" t="s">
        <v>3</v>
      </c>
      <c r="M7" s="1" t="s">
        <v>10</v>
      </c>
      <c r="N7" s="11" t="s">
        <v>82</v>
      </c>
      <c r="O7" s="1" t="s">
        <v>8</v>
      </c>
      <c r="P7" s="1" t="s">
        <v>3</v>
      </c>
      <c r="Q7" s="1" t="s">
        <v>8</v>
      </c>
      <c r="R7" s="1" t="s">
        <v>9</v>
      </c>
      <c r="S7" s="1" t="s">
        <v>472</v>
      </c>
      <c r="T7" s="1" t="s">
        <v>9</v>
      </c>
      <c r="U7" s="1" t="s">
        <v>197</v>
      </c>
      <c r="V7" s="1" t="s">
        <v>83</v>
      </c>
    </row>
    <row r="8" spans="1:22" x14ac:dyDescent="0.3">
      <c r="A8" s="15" t="s">
        <v>42</v>
      </c>
      <c r="B8" s="15" t="s">
        <v>139</v>
      </c>
      <c r="C8" s="15" t="s">
        <v>120</v>
      </c>
      <c r="D8" s="15" t="s">
        <v>24</v>
      </c>
      <c r="E8" s="15" t="s">
        <v>524</v>
      </c>
      <c r="F8" s="15" t="str">
        <f t="shared" ref="F8:F65" si="1">CONCATENATE(E8,": ",B8)</f>
        <v>UDOC-Public Utilities Division: Locate Utility Company</v>
      </c>
      <c r="G8" s="15" t="str">
        <f>VLOOKUP($D8,orgNodes!$A$2:$D$46,3,FALSE)</f>
        <v>Department of Commerce</v>
      </c>
      <c r="H8" s="15">
        <f>VLOOKUP($D8,orgNodes!$A$2:$D$46,4,FALSE)</f>
        <v>3</v>
      </c>
      <c r="I8" s="25" t="s">
        <v>480</v>
      </c>
      <c r="J8" s="1" t="s">
        <v>137</v>
      </c>
      <c r="K8" s="1" t="s">
        <v>147</v>
      </c>
      <c r="L8" s="1" t="s">
        <v>9</v>
      </c>
      <c r="M8" s="1" t="s">
        <v>140</v>
      </c>
      <c r="N8" s="11" t="s">
        <v>82</v>
      </c>
      <c r="O8" s="1" t="s">
        <v>140</v>
      </c>
      <c r="P8" s="1" t="s">
        <v>9</v>
      </c>
      <c r="Q8" s="1" t="s">
        <v>9</v>
      </c>
      <c r="R8" s="1" t="s">
        <v>9</v>
      </c>
      <c r="S8" s="1" t="s">
        <v>9</v>
      </c>
      <c r="T8" s="1" t="s">
        <v>9</v>
      </c>
      <c r="U8" s="1" t="s">
        <v>4</v>
      </c>
      <c r="V8" s="1" t="s">
        <v>151</v>
      </c>
    </row>
    <row r="9" spans="1:22" x14ac:dyDescent="0.3">
      <c r="A9" s="15" t="s">
        <v>43</v>
      </c>
      <c r="B9" s="15" t="s">
        <v>526</v>
      </c>
      <c r="C9" s="15" t="s">
        <v>120</v>
      </c>
      <c r="D9" s="15" t="s">
        <v>24</v>
      </c>
      <c r="E9" s="15" t="s">
        <v>524</v>
      </c>
      <c r="F9" s="15" t="str">
        <f t="shared" si="1"/>
        <v>UDOC-Public Utilities Division: Water Utilities</v>
      </c>
      <c r="G9" s="15" t="str">
        <f>VLOOKUP($D9,orgNodes!$A$2:$D$46,3,FALSE)</f>
        <v>Department of Commerce</v>
      </c>
      <c r="H9" s="15">
        <f>VLOOKUP($D9,orgNodes!$A$2:$D$46,4,FALSE)</f>
        <v>3</v>
      </c>
      <c r="I9" s="25" t="s">
        <v>194</v>
      </c>
      <c r="J9" s="11" t="s">
        <v>144</v>
      </c>
      <c r="K9" s="15" t="s">
        <v>1</v>
      </c>
      <c r="L9" s="15" t="s">
        <v>3</v>
      </c>
      <c r="M9" s="11" t="s">
        <v>190</v>
      </c>
      <c r="N9" s="11" t="s">
        <v>82</v>
      </c>
      <c r="O9" s="15" t="s">
        <v>342</v>
      </c>
      <c r="P9" s="15" t="s">
        <v>3</v>
      </c>
      <c r="Q9" s="15" t="s">
        <v>5</v>
      </c>
      <c r="R9" s="11" t="s">
        <v>9</v>
      </c>
      <c r="S9" s="11" t="s">
        <v>187</v>
      </c>
      <c r="T9" s="11" t="s">
        <v>9</v>
      </c>
      <c r="U9" s="11" t="s">
        <v>138</v>
      </c>
      <c r="V9" s="15" t="s">
        <v>83</v>
      </c>
    </row>
    <row r="10" spans="1:22" x14ac:dyDescent="0.3">
      <c r="A10" s="10" t="s">
        <v>44</v>
      </c>
      <c r="B10" s="15" t="s">
        <v>482</v>
      </c>
      <c r="C10" s="15" t="s">
        <v>114</v>
      </c>
      <c r="D10" s="15" t="s">
        <v>26</v>
      </c>
      <c r="E10" s="15" t="s">
        <v>525</v>
      </c>
      <c r="F10" s="15" t="str">
        <f t="shared" si="1"/>
        <v>UDEQ: Environmental Interactive Map</v>
      </c>
      <c r="G10" s="15" t="str">
        <f>VLOOKUP($D10,orgNodes!$A$2:$D$46,3,FALSE)</f>
        <v>Department of Environmental Quality</v>
      </c>
      <c r="H10" s="15">
        <f>VLOOKUP($D10,orgNodes!$A$2:$D$46,4,FALSE)</f>
        <v>4</v>
      </c>
      <c r="I10" s="25" t="s">
        <v>141</v>
      </c>
      <c r="J10" s="11" t="s">
        <v>144</v>
      </c>
      <c r="K10" s="11" t="s">
        <v>456</v>
      </c>
      <c r="L10" s="11" t="s">
        <v>483</v>
      </c>
      <c r="M10" s="11" t="s">
        <v>669</v>
      </c>
      <c r="N10" s="11" t="s">
        <v>82</v>
      </c>
      <c r="O10" s="11" t="s">
        <v>481</v>
      </c>
      <c r="P10" s="11" t="s">
        <v>9</v>
      </c>
      <c r="Q10" s="11" t="s">
        <v>9</v>
      </c>
      <c r="R10" s="11" t="s">
        <v>9</v>
      </c>
      <c r="S10" s="11" t="s">
        <v>9</v>
      </c>
      <c r="T10" s="11" t="s">
        <v>9</v>
      </c>
      <c r="U10" s="11" t="s">
        <v>428</v>
      </c>
      <c r="V10" s="11" t="s">
        <v>83</v>
      </c>
    </row>
    <row r="11" spans="1:22" x14ac:dyDescent="0.3">
      <c r="A11" s="15" t="s">
        <v>45</v>
      </c>
      <c r="B11" s="15" t="s">
        <v>205</v>
      </c>
      <c r="C11" s="15" t="s">
        <v>114</v>
      </c>
      <c r="D11" s="15" t="s">
        <v>26</v>
      </c>
      <c r="E11" s="15" t="s">
        <v>525</v>
      </c>
      <c r="F11" s="15" t="str">
        <f t="shared" si="1"/>
        <v>UDEQ: Regulatory/Policy Documents</v>
      </c>
      <c r="G11" s="15" t="str">
        <f>VLOOKUP($D11,orgNodes!$A$2:$D$46,3,FALSE)</f>
        <v>Department of Environmental Quality</v>
      </c>
      <c r="H11" s="15">
        <f>VLOOKUP($D11,orgNodes!$A$2:$D$46,4,FALSE)</f>
        <v>4</v>
      </c>
      <c r="I11" s="25" t="s">
        <v>202</v>
      </c>
      <c r="J11" s="1" t="s">
        <v>144</v>
      </c>
      <c r="K11" s="1" t="s">
        <v>456</v>
      </c>
      <c r="L11" s="1" t="s">
        <v>3</v>
      </c>
      <c r="M11" s="1" t="s">
        <v>7</v>
      </c>
      <c r="N11" s="11" t="s">
        <v>82</v>
      </c>
      <c r="O11" s="1" t="s">
        <v>5</v>
      </c>
      <c r="P11" s="1" t="s">
        <v>3</v>
      </c>
      <c r="Q11" s="1" t="s">
        <v>8</v>
      </c>
      <c r="R11" s="1" t="s">
        <v>9</v>
      </c>
      <c r="S11" s="1" t="s">
        <v>472</v>
      </c>
      <c r="T11" s="1" t="s">
        <v>9</v>
      </c>
      <c r="U11" s="1" t="s">
        <v>428</v>
      </c>
      <c r="V11" s="1" t="s">
        <v>83</v>
      </c>
    </row>
    <row r="12" spans="1:22" x14ac:dyDescent="0.3">
      <c r="A12" s="15" t="s">
        <v>46</v>
      </c>
      <c r="B12" s="15" t="s">
        <v>142</v>
      </c>
      <c r="C12" s="15" t="s">
        <v>126</v>
      </c>
      <c r="D12" s="15" t="s">
        <v>27</v>
      </c>
      <c r="E12" s="15" t="s">
        <v>528</v>
      </c>
      <c r="F12" s="15" t="str">
        <f t="shared" si="1"/>
        <v>UDEQ-Drinking Water: Waterlink Database</v>
      </c>
      <c r="G12" s="15" t="str">
        <f>VLOOKUP($D12,orgNodes!$A$2:$D$46,3,FALSE)</f>
        <v>Department of Environmental Quality</v>
      </c>
      <c r="H12" s="15">
        <f>VLOOKUP($D12,orgNodes!$A$2:$D$46,4,FALSE)</f>
        <v>4</v>
      </c>
      <c r="I12" s="26" t="s">
        <v>143</v>
      </c>
      <c r="J12" s="11" t="s">
        <v>144</v>
      </c>
      <c r="K12" s="11" t="s">
        <v>145</v>
      </c>
      <c r="L12" s="11" t="s">
        <v>3</v>
      </c>
      <c r="M12" s="11" t="s">
        <v>7</v>
      </c>
      <c r="N12" s="11" t="s">
        <v>82</v>
      </c>
      <c r="O12" s="11" t="s">
        <v>342</v>
      </c>
      <c r="P12" s="11" t="s">
        <v>9</v>
      </c>
      <c r="Q12" s="11" t="s">
        <v>9</v>
      </c>
      <c r="R12" s="11" t="s">
        <v>9</v>
      </c>
      <c r="S12" s="11" t="s">
        <v>9</v>
      </c>
      <c r="T12" s="11" t="s">
        <v>9</v>
      </c>
      <c r="U12" s="11" t="s">
        <v>197</v>
      </c>
      <c r="V12" s="11" t="s">
        <v>83</v>
      </c>
    </row>
    <row r="13" spans="1:22" x14ac:dyDescent="0.3">
      <c r="A13" s="15" t="s">
        <v>157</v>
      </c>
      <c r="B13" s="15" t="s">
        <v>189</v>
      </c>
      <c r="C13" s="15" t="s">
        <v>128</v>
      </c>
      <c r="D13" s="15" t="s">
        <v>28</v>
      </c>
      <c r="E13" s="15" t="s">
        <v>527</v>
      </c>
      <c r="F13" s="15" t="str">
        <f t="shared" si="1"/>
        <v>UDEQ-Water Quality: Ambient Water Quality Monitoring System (AWQMS )</v>
      </c>
      <c r="G13" s="15" t="str">
        <f>VLOOKUP($D13,orgNodes!$A$2:$D$46,3,FALSE)</f>
        <v>Department of Environmental Quality</v>
      </c>
      <c r="H13" s="15">
        <f>VLOOKUP($D13,orgNodes!$A$2:$D$46,4,FALSE)</f>
        <v>4</v>
      </c>
      <c r="I13" s="25" t="s">
        <v>484</v>
      </c>
      <c r="J13" s="11" t="s">
        <v>144</v>
      </c>
      <c r="K13" s="11" t="s">
        <v>4</v>
      </c>
      <c r="L13" s="11" t="s">
        <v>409</v>
      </c>
      <c r="M13" s="11" t="s">
        <v>4</v>
      </c>
      <c r="N13" s="11" t="s">
        <v>82</v>
      </c>
      <c r="O13" s="11" t="s">
        <v>4</v>
      </c>
      <c r="P13" s="11" t="s">
        <v>4</v>
      </c>
      <c r="Q13" s="11" t="s">
        <v>4</v>
      </c>
      <c r="R13" s="11" t="s">
        <v>4</v>
      </c>
      <c r="S13" s="11" t="s">
        <v>4</v>
      </c>
      <c r="T13" s="11" t="s">
        <v>4</v>
      </c>
      <c r="U13" s="11" t="s">
        <v>4</v>
      </c>
      <c r="V13" s="11" t="s">
        <v>4</v>
      </c>
    </row>
    <row r="14" spans="1:22" x14ac:dyDescent="0.3">
      <c r="A14" s="10" t="s">
        <v>207</v>
      </c>
      <c r="B14" s="15" t="s">
        <v>410</v>
      </c>
      <c r="C14" s="15" t="s">
        <v>128</v>
      </c>
      <c r="D14" s="15" t="s">
        <v>28</v>
      </c>
      <c r="E14" s="15" t="s">
        <v>527</v>
      </c>
      <c r="F14" s="15" t="str">
        <f t="shared" si="1"/>
        <v>UDEQ-Water Quality: Water Quality Permits</v>
      </c>
      <c r="G14" s="15" t="str">
        <f>VLOOKUP($D14,orgNodes!$A$2:$D$46,3,FALSE)</f>
        <v>Department of Environmental Quality</v>
      </c>
      <c r="H14" s="15">
        <f>VLOOKUP($D14,orgNodes!$A$2:$D$46,4,FALSE)</f>
        <v>4</v>
      </c>
      <c r="I14" s="25" t="s">
        <v>411</v>
      </c>
      <c r="J14" s="11" t="s">
        <v>144</v>
      </c>
      <c r="K14" s="11" t="s">
        <v>145</v>
      </c>
      <c r="L14" s="11" t="s">
        <v>3</v>
      </c>
      <c r="M14" s="11" t="s">
        <v>190</v>
      </c>
      <c r="N14" s="11" t="s">
        <v>82</v>
      </c>
      <c r="O14" s="11" t="s">
        <v>8</v>
      </c>
      <c r="P14" s="11" t="s">
        <v>9</v>
      </c>
      <c r="Q14" s="11" t="s">
        <v>9</v>
      </c>
      <c r="R14" s="11" t="s">
        <v>9</v>
      </c>
      <c r="S14" s="11" t="s">
        <v>9</v>
      </c>
      <c r="T14" s="11" t="s">
        <v>9</v>
      </c>
      <c r="U14" s="11" t="s">
        <v>4</v>
      </c>
      <c r="V14" s="11" t="s">
        <v>83</v>
      </c>
    </row>
    <row r="15" spans="1:22" x14ac:dyDescent="0.3">
      <c r="A15" s="15" t="s">
        <v>208</v>
      </c>
      <c r="B15" s="15" t="s">
        <v>413</v>
      </c>
      <c r="C15" s="15" t="s">
        <v>128</v>
      </c>
      <c r="D15" s="15" t="s">
        <v>28</v>
      </c>
      <c r="E15" s="15" t="s">
        <v>527</v>
      </c>
      <c r="F15" s="15" t="str">
        <f t="shared" si="1"/>
        <v>UDEQ-Water Quality: UPDES Permitting Program</v>
      </c>
      <c r="G15" s="15" t="str">
        <f>VLOOKUP($D15,orgNodes!$A$2:$D$46,3,FALSE)</f>
        <v>Department of Environmental Quality</v>
      </c>
      <c r="H15" s="15">
        <f>VLOOKUP($D15,orgNodes!$A$2:$D$46,4,FALSE)</f>
        <v>4</v>
      </c>
      <c r="I15" s="25" t="s">
        <v>414</v>
      </c>
      <c r="J15" s="11" t="s">
        <v>137</v>
      </c>
      <c r="K15" s="11" t="s">
        <v>1</v>
      </c>
      <c r="L15" s="11" t="s">
        <v>3</v>
      </c>
      <c r="M15" s="11" t="s">
        <v>7</v>
      </c>
      <c r="N15" s="11" t="s">
        <v>82</v>
      </c>
      <c r="O15" s="11" t="s">
        <v>5</v>
      </c>
      <c r="P15" s="11" t="s">
        <v>3</v>
      </c>
      <c r="Q15" s="11" t="s">
        <v>5</v>
      </c>
      <c r="R15" s="11" t="s">
        <v>3</v>
      </c>
      <c r="S15" s="11" t="s">
        <v>187</v>
      </c>
      <c r="T15" s="11" t="s">
        <v>9</v>
      </c>
      <c r="U15" s="11" t="s">
        <v>422</v>
      </c>
      <c r="V15" s="11" t="s">
        <v>151</v>
      </c>
    </row>
    <row r="16" spans="1:22" x14ac:dyDescent="0.3">
      <c r="A16" s="15" t="s">
        <v>209</v>
      </c>
      <c r="B16" s="15" t="s">
        <v>148</v>
      </c>
      <c r="C16" s="15" t="s">
        <v>128</v>
      </c>
      <c r="D16" s="15" t="s">
        <v>28</v>
      </c>
      <c r="E16" s="15" t="s">
        <v>527</v>
      </c>
      <c r="F16" s="15" t="str">
        <f t="shared" si="1"/>
        <v>UDEQ-Water Quality: Assessment Map</v>
      </c>
      <c r="G16" s="15" t="str">
        <f>VLOOKUP($D16,orgNodes!$A$2:$D$46,3,FALSE)</f>
        <v>Department of Environmental Quality</v>
      </c>
      <c r="H16" s="15">
        <f>VLOOKUP($D16,orgNodes!$A$2:$D$46,4,FALSE)</f>
        <v>4</v>
      </c>
      <c r="I16" s="26" t="s">
        <v>418</v>
      </c>
      <c r="J16" s="11" t="s">
        <v>144</v>
      </c>
      <c r="K16" s="11" t="s">
        <v>456</v>
      </c>
      <c r="L16" s="11" t="s">
        <v>3</v>
      </c>
      <c r="M16" s="11" t="s">
        <v>7</v>
      </c>
      <c r="N16" s="11" t="s">
        <v>82</v>
      </c>
      <c r="O16" s="11" t="s">
        <v>5</v>
      </c>
      <c r="P16" s="11" t="s">
        <v>3</v>
      </c>
      <c r="Q16" s="11" t="s">
        <v>5</v>
      </c>
      <c r="R16" s="11" t="s">
        <v>9</v>
      </c>
      <c r="S16" s="11" t="s">
        <v>472</v>
      </c>
      <c r="T16" s="11" t="s">
        <v>9</v>
      </c>
      <c r="U16" s="11" t="s">
        <v>4</v>
      </c>
      <c r="V16" s="11" t="s">
        <v>151</v>
      </c>
    </row>
    <row r="17" spans="1:22" x14ac:dyDescent="0.3">
      <c r="A17" s="10" t="s">
        <v>210</v>
      </c>
      <c r="B17" s="15" t="s">
        <v>149</v>
      </c>
      <c r="C17" s="15" t="s">
        <v>128</v>
      </c>
      <c r="D17" s="15" t="s">
        <v>28</v>
      </c>
      <c r="E17" s="15" t="s">
        <v>527</v>
      </c>
      <c r="F17" s="15" t="str">
        <f t="shared" si="1"/>
        <v>UDEQ-Water Quality: Assessment Report</v>
      </c>
      <c r="G17" s="15" t="str">
        <f>VLOOKUP($D17,orgNodes!$A$2:$D$46,3,FALSE)</f>
        <v>Department of Environmental Quality</v>
      </c>
      <c r="H17" s="15">
        <f>VLOOKUP($D17,orgNodes!$A$2:$D$46,4,FALSE)</f>
        <v>4</v>
      </c>
      <c r="I17" s="26" t="s">
        <v>150</v>
      </c>
      <c r="J17" s="1" t="s">
        <v>137</v>
      </c>
      <c r="K17" s="1" t="s">
        <v>1</v>
      </c>
      <c r="L17" s="1" t="s">
        <v>3</v>
      </c>
      <c r="M17" s="1" t="s">
        <v>7</v>
      </c>
      <c r="N17" s="11" t="s">
        <v>82</v>
      </c>
      <c r="O17" s="1" t="s">
        <v>485</v>
      </c>
      <c r="P17" s="1" t="s">
        <v>3</v>
      </c>
      <c r="Q17" s="1" t="s">
        <v>485</v>
      </c>
      <c r="R17" s="1" t="s">
        <v>3</v>
      </c>
      <c r="S17" s="1" t="s">
        <v>84</v>
      </c>
      <c r="T17" s="1" t="s">
        <v>3</v>
      </c>
      <c r="U17" s="1" t="s">
        <v>407</v>
      </c>
      <c r="V17" s="1" t="s">
        <v>151</v>
      </c>
    </row>
    <row r="18" spans="1:22" x14ac:dyDescent="0.3">
      <c r="A18" s="15" t="s">
        <v>211</v>
      </c>
      <c r="B18" s="15" t="s">
        <v>420</v>
      </c>
      <c r="C18" s="15" t="s">
        <v>128</v>
      </c>
      <c r="D18" s="15" t="s">
        <v>28</v>
      </c>
      <c r="E18" s="15" t="s">
        <v>527</v>
      </c>
      <c r="F18" s="15" t="str">
        <f t="shared" si="1"/>
        <v>UDEQ-Water Quality: Waterfowl Consumption Advisories</v>
      </c>
      <c r="G18" s="15" t="str">
        <f>VLOOKUP($D18,orgNodes!$A$2:$D$46,3,FALSE)</f>
        <v>Department of Environmental Quality</v>
      </c>
      <c r="H18" s="15">
        <f>VLOOKUP($D18,orgNodes!$A$2:$D$46,4,FALSE)</f>
        <v>4</v>
      </c>
      <c r="I18" s="25" t="s">
        <v>421</v>
      </c>
      <c r="J18" s="11" t="s">
        <v>6</v>
      </c>
      <c r="K18" s="11" t="s">
        <v>237</v>
      </c>
      <c r="L18" s="11" t="s">
        <v>3</v>
      </c>
      <c r="M18" s="11" t="s">
        <v>186</v>
      </c>
      <c r="N18" s="11" t="s">
        <v>82</v>
      </c>
      <c r="O18" s="11" t="s">
        <v>8</v>
      </c>
      <c r="P18" s="11" t="s">
        <v>3</v>
      </c>
      <c r="Q18" s="11" t="s">
        <v>5</v>
      </c>
      <c r="R18" s="11" t="s">
        <v>9</v>
      </c>
      <c r="S18" s="11" t="s">
        <v>84</v>
      </c>
      <c r="T18" s="11" t="s">
        <v>9</v>
      </c>
      <c r="U18" s="11" t="s">
        <v>422</v>
      </c>
      <c r="V18" s="11" t="s">
        <v>151</v>
      </c>
    </row>
    <row r="19" spans="1:22" x14ac:dyDescent="0.3">
      <c r="A19" s="15" t="s">
        <v>212</v>
      </c>
      <c r="B19" s="15" t="s">
        <v>423</v>
      </c>
      <c r="C19" s="15" t="s">
        <v>128</v>
      </c>
      <c r="D19" s="15" t="s">
        <v>28</v>
      </c>
      <c r="E19" s="15" t="s">
        <v>527</v>
      </c>
      <c r="F19" s="15" t="str">
        <f t="shared" si="1"/>
        <v>UDEQ-Water Quality: E. coli in Utah Waters</v>
      </c>
      <c r="G19" s="15" t="str">
        <f>VLOOKUP($D19,orgNodes!$A$2:$D$46,3,FALSE)</f>
        <v>Department of Environmental Quality</v>
      </c>
      <c r="H19" s="15">
        <f>VLOOKUP($D19,orgNodes!$A$2:$D$46,4,FALSE)</f>
        <v>4</v>
      </c>
      <c r="I19" s="25" t="s">
        <v>424</v>
      </c>
      <c r="J19" s="11" t="s">
        <v>6</v>
      </c>
      <c r="K19" s="11" t="s">
        <v>147</v>
      </c>
      <c r="L19" s="11" t="s">
        <v>9</v>
      </c>
      <c r="M19" s="11" t="s">
        <v>4</v>
      </c>
      <c r="N19" s="11" t="s">
        <v>82</v>
      </c>
      <c r="O19" s="11" t="s">
        <v>4</v>
      </c>
      <c r="P19" s="11" t="s">
        <v>9</v>
      </c>
      <c r="Q19" s="11" t="s">
        <v>9</v>
      </c>
      <c r="R19" s="11" t="s">
        <v>9</v>
      </c>
      <c r="S19" s="11" t="s">
        <v>9</v>
      </c>
      <c r="T19" s="11" t="s">
        <v>9</v>
      </c>
      <c r="U19" s="11" t="s">
        <v>417</v>
      </c>
      <c r="V19" s="11" t="s">
        <v>151</v>
      </c>
    </row>
    <row r="20" spans="1:22" x14ac:dyDescent="0.3">
      <c r="A20" s="10" t="s">
        <v>213</v>
      </c>
      <c r="B20" s="15" t="s">
        <v>195</v>
      </c>
      <c r="C20" s="15" t="s">
        <v>128</v>
      </c>
      <c r="D20" s="15" t="s">
        <v>28</v>
      </c>
      <c r="E20" s="15" t="s">
        <v>527</v>
      </c>
      <c r="F20" s="15" t="str">
        <f t="shared" si="1"/>
        <v>UDEQ-Water Quality: Harmful Algal Blooms</v>
      </c>
      <c r="G20" s="15" t="str">
        <f>VLOOKUP($D20,orgNodes!$A$2:$D$46,3,FALSE)</f>
        <v>Department of Environmental Quality</v>
      </c>
      <c r="H20" s="15">
        <f>VLOOKUP($D20,orgNodes!$A$2:$D$46,4,FALSE)</f>
        <v>4</v>
      </c>
      <c r="I20" s="25" t="s">
        <v>427</v>
      </c>
      <c r="J20" s="11" t="s">
        <v>6</v>
      </c>
      <c r="K20" s="11" t="s">
        <v>147</v>
      </c>
      <c r="L20" s="11" t="s">
        <v>3</v>
      </c>
      <c r="M20" s="11" t="s">
        <v>450</v>
      </c>
      <c r="N20" s="11" t="s">
        <v>82</v>
      </c>
      <c r="O20" s="11" t="s">
        <v>486</v>
      </c>
      <c r="P20" s="11" t="s">
        <v>9</v>
      </c>
      <c r="Q20" s="11" t="s">
        <v>9</v>
      </c>
      <c r="R20" s="11" t="s">
        <v>9</v>
      </c>
      <c r="S20" s="11" t="s">
        <v>9</v>
      </c>
      <c r="T20" s="11" t="s">
        <v>9</v>
      </c>
      <c r="U20" s="11" t="s">
        <v>417</v>
      </c>
      <c r="V20" s="11" t="s">
        <v>151</v>
      </c>
    </row>
    <row r="21" spans="1:22" x14ac:dyDescent="0.3">
      <c r="A21" s="15" t="s">
        <v>214</v>
      </c>
      <c r="B21" s="15" t="s">
        <v>426</v>
      </c>
      <c r="C21" s="15" t="s">
        <v>128</v>
      </c>
      <c r="D21" s="15" t="s">
        <v>28</v>
      </c>
      <c r="E21" s="15" t="s">
        <v>527</v>
      </c>
      <c r="F21" s="15" t="str">
        <f t="shared" si="1"/>
        <v>UDEQ-Water Quality: Utah Lake WQ Network</v>
      </c>
      <c r="G21" s="15" t="str">
        <f>VLOOKUP($D21,orgNodes!$A$2:$D$46,3,FALSE)</f>
        <v>Department of Environmental Quality</v>
      </c>
      <c r="H21" s="15">
        <f>VLOOKUP($D21,orgNodes!$A$2:$D$46,4,FALSE)</f>
        <v>4</v>
      </c>
      <c r="I21" s="25" t="s">
        <v>425</v>
      </c>
      <c r="J21" s="11" t="s">
        <v>6</v>
      </c>
      <c r="K21" s="11" t="s">
        <v>145</v>
      </c>
      <c r="L21" s="11" t="s">
        <v>3</v>
      </c>
      <c r="M21" s="11" t="s">
        <v>186</v>
      </c>
      <c r="N21" s="11" t="s">
        <v>82</v>
      </c>
      <c r="O21" s="11" t="s">
        <v>8</v>
      </c>
      <c r="P21" s="11" t="s">
        <v>9</v>
      </c>
      <c r="Q21" s="11" t="s">
        <v>9</v>
      </c>
      <c r="R21" s="11" t="s">
        <v>9</v>
      </c>
      <c r="S21" s="11" t="s">
        <v>9</v>
      </c>
      <c r="T21" s="11" t="s">
        <v>9</v>
      </c>
      <c r="U21" s="11" t="s">
        <v>428</v>
      </c>
      <c r="V21" s="11" t="s">
        <v>83</v>
      </c>
    </row>
    <row r="22" spans="1:22" x14ac:dyDescent="0.3">
      <c r="A22" s="15" t="s">
        <v>215</v>
      </c>
      <c r="B22" s="15" t="s">
        <v>200</v>
      </c>
      <c r="C22" s="15" t="s">
        <v>198</v>
      </c>
      <c r="D22" s="15" t="s">
        <v>29</v>
      </c>
      <c r="E22" s="15" t="s">
        <v>529</v>
      </c>
      <c r="F22" s="15" t="str">
        <f t="shared" si="1"/>
        <v>UDEQ-Environmental Response: Spills records</v>
      </c>
      <c r="G22" s="15" t="str">
        <f>VLOOKUP($D22,orgNodes!$A$2:$D$46,3,FALSE)</f>
        <v>Department of Environmental Quality</v>
      </c>
      <c r="H22" s="15">
        <f>VLOOKUP($D22,orgNodes!$A$2:$D$46,4,FALSE)</f>
        <v>4</v>
      </c>
      <c r="I22" s="25" t="s">
        <v>201</v>
      </c>
      <c r="J22" s="1" t="s">
        <v>144</v>
      </c>
      <c r="K22" s="1" t="s">
        <v>145</v>
      </c>
      <c r="L22" s="1" t="s">
        <v>3</v>
      </c>
      <c r="M22" s="1" t="s">
        <v>7</v>
      </c>
      <c r="N22" s="11" t="s">
        <v>82</v>
      </c>
      <c r="O22" s="1" t="s">
        <v>5</v>
      </c>
      <c r="P22" s="1" t="s">
        <v>9</v>
      </c>
      <c r="Q22" s="1" t="s">
        <v>9</v>
      </c>
      <c r="R22" s="1" t="s">
        <v>9</v>
      </c>
      <c r="S22" s="1" t="s">
        <v>9</v>
      </c>
      <c r="T22" s="1" t="s">
        <v>9</v>
      </c>
      <c r="U22" s="1" t="s">
        <v>428</v>
      </c>
      <c r="V22" s="1" t="s">
        <v>188</v>
      </c>
    </row>
    <row r="23" spans="1:22" x14ac:dyDescent="0.3">
      <c r="A23" s="15" t="s">
        <v>159</v>
      </c>
      <c r="B23" s="15" t="s">
        <v>193</v>
      </c>
      <c r="C23" s="15" t="s">
        <v>158</v>
      </c>
      <c r="D23" s="15" t="s">
        <v>30</v>
      </c>
      <c r="E23" s="15" t="s">
        <v>530</v>
      </c>
      <c r="F23" s="15" t="str">
        <f t="shared" si="1"/>
        <v>Health-Data Informatics: Drinking Water</v>
      </c>
      <c r="G23" s="15" t="str">
        <f>VLOOKUP($D23,orgNodes!$A$2:$D$46,3,FALSE)</f>
        <v>Department of Health</v>
      </c>
      <c r="H23" s="15">
        <f>VLOOKUP($D23,orgNodes!$A$2:$D$46,4,FALSE)</f>
        <v>5</v>
      </c>
      <c r="I23" s="26" t="s">
        <v>191</v>
      </c>
      <c r="J23" s="1" t="s">
        <v>6</v>
      </c>
      <c r="K23" s="1" t="s">
        <v>1</v>
      </c>
      <c r="L23" s="1" t="s">
        <v>3</v>
      </c>
      <c r="M23" s="1" t="s">
        <v>10</v>
      </c>
      <c r="N23" s="11" t="s">
        <v>82</v>
      </c>
      <c r="O23" s="1" t="s">
        <v>8</v>
      </c>
      <c r="P23" s="1" t="s">
        <v>3</v>
      </c>
      <c r="Q23" s="1" t="s">
        <v>8</v>
      </c>
      <c r="R23" s="1" t="s">
        <v>9</v>
      </c>
      <c r="S23" s="1" t="s">
        <v>416</v>
      </c>
      <c r="T23" s="1" t="s">
        <v>9</v>
      </c>
      <c r="U23" s="1" t="s">
        <v>192</v>
      </c>
      <c r="V23" s="1" t="s">
        <v>83</v>
      </c>
    </row>
    <row r="24" spans="1:22" x14ac:dyDescent="0.3">
      <c r="A24" s="10" t="s">
        <v>160</v>
      </c>
      <c r="B24" s="15" t="s">
        <v>161</v>
      </c>
      <c r="C24" s="15" t="s">
        <v>158</v>
      </c>
      <c r="D24" s="15" t="s">
        <v>30</v>
      </c>
      <c r="E24" s="15" t="s">
        <v>530</v>
      </c>
      <c r="F24" s="15" t="str">
        <f t="shared" si="1"/>
        <v>Health-Data Informatics: Flood events</v>
      </c>
      <c r="G24" s="15" t="str">
        <f>VLOOKUP($D24,orgNodes!$A$2:$D$46,3,FALSE)</f>
        <v>Department of Health</v>
      </c>
      <c r="H24" s="15">
        <f>VLOOKUP($D24,orgNodes!$A$2:$D$46,4,FALSE)</f>
        <v>5</v>
      </c>
      <c r="I24" s="26" t="s">
        <v>162</v>
      </c>
      <c r="J24" s="1" t="s">
        <v>6</v>
      </c>
      <c r="K24" s="1" t="s">
        <v>1</v>
      </c>
      <c r="L24" s="1" t="s">
        <v>3</v>
      </c>
      <c r="M24" s="1" t="s">
        <v>445</v>
      </c>
      <c r="N24" s="11" t="s">
        <v>82</v>
      </c>
      <c r="O24" s="1" t="s">
        <v>8</v>
      </c>
      <c r="P24" s="1" t="s">
        <v>3</v>
      </c>
      <c r="Q24" s="1" t="s">
        <v>8</v>
      </c>
      <c r="R24" s="1" t="s">
        <v>9</v>
      </c>
      <c r="S24" s="1" t="s">
        <v>472</v>
      </c>
      <c r="T24" s="1" t="s">
        <v>9</v>
      </c>
      <c r="U24" s="1" t="s">
        <v>192</v>
      </c>
      <c r="V24" s="1" t="s">
        <v>83</v>
      </c>
    </row>
    <row r="25" spans="1:22" x14ac:dyDescent="0.3">
      <c r="A25" s="15" t="s">
        <v>169</v>
      </c>
      <c r="B25" s="15" t="s">
        <v>487</v>
      </c>
      <c r="C25" s="15" t="s">
        <v>166</v>
      </c>
      <c r="D25" s="15" t="s">
        <v>110</v>
      </c>
      <c r="E25" s="15" t="s">
        <v>531</v>
      </c>
      <c r="F25" s="15" t="str">
        <f t="shared" si="1"/>
        <v>UDNR-Water Resources: Open Tap: Utah's Water Data Directory</v>
      </c>
      <c r="G25" s="15" t="str">
        <f>VLOOKUP($D25,orgNodes!$A$2:$D$46,3,FALSE)</f>
        <v>Department of Natural Resources</v>
      </c>
      <c r="H25" s="15">
        <f>VLOOKUP($D25,orgNodes!$A$2:$D$46,4,FALSE)</f>
        <v>6</v>
      </c>
      <c r="I25" s="26" t="s">
        <v>172</v>
      </c>
      <c r="J25" s="11" t="s">
        <v>144</v>
      </c>
      <c r="K25" s="11" t="s">
        <v>341</v>
      </c>
      <c r="L25" s="11" t="s">
        <v>3</v>
      </c>
      <c r="M25" s="11" t="s">
        <v>590</v>
      </c>
      <c r="N25" s="11" t="s">
        <v>82</v>
      </c>
      <c r="O25" s="11" t="s">
        <v>488</v>
      </c>
      <c r="P25" s="11" t="s">
        <v>3</v>
      </c>
      <c r="Q25" s="11" t="s">
        <v>8</v>
      </c>
      <c r="R25" s="11" t="s">
        <v>225</v>
      </c>
      <c r="S25" s="11" t="s">
        <v>472</v>
      </c>
      <c r="T25" s="11" t="s">
        <v>3</v>
      </c>
      <c r="U25" s="11" t="s">
        <v>422</v>
      </c>
      <c r="V25" s="11" t="s">
        <v>138</v>
      </c>
    </row>
    <row r="26" spans="1:22" x14ac:dyDescent="0.3">
      <c r="A26" s="15" t="s">
        <v>170</v>
      </c>
      <c r="B26" s="15" t="s">
        <v>177</v>
      </c>
      <c r="C26" s="15" t="s">
        <v>166</v>
      </c>
      <c r="D26" s="15" t="s">
        <v>110</v>
      </c>
      <c r="E26" s="15" t="s">
        <v>531</v>
      </c>
      <c r="F26" s="15" t="str">
        <f t="shared" si="1"/>
        <v>UDNR-Water Resources: Precipitation Graphs</v>
      </c>
      <c r="G26" s="15" t="str">
        <f>VLOOKUP($D26,orgNodes!$A$2:$D$46,3,FALSE)</f>
        <v>Department of Natural Resources</v>
      </c>
      <c r="H26" s="15">
        <f>VLOOKUP($D26,orgNodes!$A$2:$D$46,4,FALSE)</f>
        <v>6</v>
      </c>
      <c r="I26" s="26" t="s">
        <v>174</v>
      </c>
      <c r="J26" s="11" t="s">
        <v>144</v>
      </c>
      <c r="K26" s="11" t="s">
        <v>1</v>
      </c>
      <c r="L26" s="11" t="s">
        <v>3</v>
      </c>
      <c r="M26" s="11" t="s">
        <v>7</v>
      </c>
      <c r="N26" s="11" t="s">
        <v>82</v>
      </c>
      <c r="O26" s="11" t="s">
        <v>5</v>
      </c>
      <c r="P26" s="11" t="s">
        <v>9</v>
      </c>
      <c r="Q26" s="11" t="s">
        <v>9</v>
      </c>
      <c r="R26" s="11" t="s">
        <v>9</v>
      </c>
      <c r="S26" s="11" t="s">
        <v>9</v>
      </c>
      <c r="T26" s="11" t="s">
        <v>9</v>
      </c>
      <c r="U26" s="11" t="s">
        <v>197</v>
      </c>
      <c r="V26" s="11" t="s">
        <v>83</v>
      </c>
    </row>
    <row r="27" spans="1:22" x14ac:dyDescent="0.3">
      <c r="A27" s="10" t="s">
        <v>171</v>
      </c>
      <c r="B27" s="15" t="s">
        <v>176</v>
      </c>
      <c r="C27" s="15" t="s">
        <v>166</v>
      </c>
      <c r="D27" s="15" t="s">
        <v>110</v>
      </c>
      <c r="E27" s="15" t="s">
        <v>531</v>
      </c>
      <c r="F27" s="15" t="str">
        <f t="shared" si="1"/>
        <v>UDNR-Water Resources: Reservoir Levels</v>
      </c>
      <c r="G27" s="15" t="str">
        <f>VLOOKUP($D27,orgNodes!$A$2:$D$46,3,FALSE)</f>
        <v>Department of Natural Resources</v>
      </c>
      <c r="H27" s="15">
        <f>VLOOKUP($D27,orgNodes!$A$2:$D$46,4,FALSE)</f>
        <v>6</v>
      </c>
      <c r="I27" s="26" t="s">
        <v>178</v>
      </c>
      <c r="J27" s="11" t="s">
        <v>144</v>
      </c>
      <c r="K27" s="11" t="s">
        <v>1</v>
      </c>
      <c r="L27" s="11" t="s">
        <v>3</v>
      </c>
      <c r="M27" s="11" t="s">
        <v>7</v>
      </c>
      <c r="N27" s="11" t="s">
        <v>82</v>
      </c>
      <c r="O27" s="11" t="s">
        <v>5</v>
      </c>
      <c r="P27" s="11" t="s">
        <v>9</v>
      </c>
      <c r="Q27" s="11" t="s">
        <v>9</v>
      </c>
      <c r="R27" s="11" t="s">
        <v>9</v>
      </c>
      <c r="S27" s="11" t="s">
        <v>9</v>
      </c>
      <c r="T27" s="11" t="s">
        <v>9</v>
      </c>
      <c r="U27" s="11" t="s">
        <v>197</v>
      </c>
      <c r="V27" s="11" t="s">
        <v>83</v>
      </c>
    </row>
    <row r="28" spans="1:22" x14ac:dyDescent="0.3">
      <c r="A28" s="15" t="s">
        <v>173</v>
      </c>
      <c r="B28" s="15" t="s">
        <v>431</v>
      </c>
      <c r="C28" s="15" t="s">
        <v>166</v>
      </c>
      <c r="D28" s="15" t="s">
        <v>110</v>
      </c>
      <c r="E28" s="15" t="s">
        <v>531</v>
      </c>
      <c r="F28" s="15" t="str">
        <f t="shared" si="1"/>
        <v>UDNR-Water Resources: Regional Water Conservation Goals</v>
      </c>
      <c r="G28" s="15" t="str">
        <f>VLOOKUP($D28,orgNodes!$A$2:$D$46,3,FALSE)</f>
        <v>Department of Natural Resources</v>
      </c>
      <c r="H28" s="15">
        <f>VLOOKUP($D28,orgNodes!$A$2:$D$46,4,FALSE)</f>
        <v>6</v>
      </c>
      <c r="I28" s="26" t="s">
        <v>432</v>
      </c>
      <c r="J28" s="11" t="s">
        <v>6</v>
      </c>
      <c r="K28" s="11" t="s">
        <v>1</v>
      </c>
      <c r="L28" s="11" t="s">
        <v>3</v>
      </c>
      <c r="M28" s="11" t="s">
        <v>7</v>
      </c>
      <c r="N28" s="11" t="s">
        <v>82</v>
      </c>
      <c r="O28" s="11" t="s">
        <v>5</v>
      </c>
      <c r="P28" s="11" t="s">
        <v>9</v>
      </c>
      <c r="Q28" s="11" t="s">
        <v>9</v>
      </c>
      <c r="R28" s="11" t="s">
        <v>9</v>
      </c>
      <c r="S28" s="11" t="s">
        <v>9</v>
      </c>
      <c r="T28" s="11" t="s">
        <v>9</v>
      </c>
      <c r="U28" s="11" t="s">
        <v>407</v>
      </c>
      <c r="V28" s="11" t="s">
        <v>188</v>
      </c>
    </row>
    <row r="29" spans="1:22" x14ac:dyDescent="0.3">
      <c r="A29" s="15" t="s">
        <v>175</v>
      </c>
      <c r="B29" s="15" t="s">
        <v>478</v>
      </c>
      <c r="C29" s="15" t="s">
        <v>166</v>
      </c>
      <c r="D29" s="15" t="s">
        <v>110</v>
      </c>
      <c r="E29" s="15" t="s">
        <v>531</v>
      </c>
      <c r="F29" s="15" t="str">
        <f t="shared" si="1"/>
        <v>UDNR-Water Resources: Water Reports</v>
      </c>
      <c r="G29" s="15" t="str">
        <f>VLOOKUP($D29,orgNodes!$A$2:$D$46,3,FALSE)</f>
        <v>Department of Natural Resources</v>
      </c>
      <c r="H29" s="15">
        <f>VLOOKUP($D29,orgNodes!$A$2:$D$46,4,FALSE)</f>
        <v>6</v>
      </c>
      <c r="I29" s="27" t="s">
        <v>479</v>
      </c>
      <c r="J29" s="11" t="s">
        <v>144</v>
      </c>
      <c r="K29" s="11" t="s">
        <v>1</v>
      </c>
      <c r="L29" s="11" t="s">
        <v>3</v>
      </c>
      <c r="M29" s="11" t="s">
        <v>7</v>
      </c>
      <c r="N29" s="11" t="s">
        <v>82</v>
      </c>
      <c r="O29" s="11" t="s">
        <v>5</v>
      </c>
      <c r="P29" s="11" t="s">
        <v>3</v>
      </c>
      <c r="Q29" s="11" t="s">
        <v>5</v>
      </c>
      <c r="R29" s="11" t="s">
        <v>225</v>
      </c>
      <c r="S29" s="11" t="s">
        <v>472</v>
      </c>
      <c r="T29" s="11" t="s">
        <v>9</v>
      </c>
      <c r="U29" s="11" t="s">
        <v>407</v>
      </c>
      <c r="V29" s="11" t="s">
        <v>83</v>
      </c>
    </row>
    <row r="30" spans="1:22" x14ac:dyDescent="0.3">
      <c r="A30" s="10" t="s">
        <v>180</v>
      </c>
      <c r="B30" s="15" t="s">
        <v>204</v>
      </c>
      <c r="C30" s="15" t="s">
        <v>166</v>
      </c>
      <c r="D30" s="15" t="s">
        <v>110</v>
      </c>
      <c r="E30" s="15" t="s">
        <v>531</v>
      </c>
      <c r="F30" s="15" t="str">
        <f t="shared" si="1"/>
        <v>UDNR-Water Resources: Drought</v>
      </c>
      <c r="G30" s="15" t="str">
        <f>VLOOKUP($D30,orgNodes!$A$2:$D$46,3,FALSE)</f>
        <v>Department of Natural Resources</v>
      </c>
      <c r="H30" s="15">
        <f>VLOOKUP($D30,orgNodes!$A$2:$D$46,4,FALSE)</f>
        <v>6</v>
      </c>
      <c r="I30" s="25" t="s">
        <v>206</v>
      </c>
      <c r="J30" s="11" t="s">
        <v>144</v>
      </c>
      <c r="K30" s="11" t="s">
        <v>1</v>
      </c>
      <c r="L30" s="11" t="s">
        <v>3</v>
      </c>
      <c r="M30" s="11" t="s">
        <v>430</v>
      </c>
      <c r="N30" s="11" t="s">
        <v>503</v>
      </c>
      <c r="O30" s="11" t="s">
        <v>4</v>
      </c>
      <c r="P30" s="11" t="s">
        <v>4</v>
      </c>
      <c r="Q30" s="11" t="s">
        <v>4</v>
      </c>
      <c r="R30" s="11" t="s">
        <v>4</v>
      </c>
      <c r="S30" s="11" t="s">
        <v>4</v>
      </c>
      <c r="T30" s="11" t="s">
        <v>4</v>
      </c>
      <c r="U30" s="11" t="s">
        <v>4</v>
      </c>
      <c r="V30" s="11" t="s">
        <v>4</v>
      </c>
    </row>
    <row r="31" spans="1:22" x14ac:dyDescent="0.3">
      <c r="A31" s="15" t="s">
        <v>203</v>
      </c>
      <c r="B31" s="15" t="s">
        <v>443</v>
      </c>
      <c r="C31" s="15" t="s">
        <v>166</v>
      </c>
      <c r="D31" s="15" t="s">
        <v>110</v>
      </c>
      <c r="E31" s="15" t="s">
        <v>531</v>
      </c>
      <c r="F31" s="15" t="str">
        <f t="shared" si="1"/>
        <v>UDNR-Water Resources: Water Use and Streamflow Records</v>
      </c>
      <c r="G31" s="15" t="str">
        <f>VLOOKUP($D31,orgNodes!$A$2:$D$46,3,FALSE)</f>
        <v>Department of Natural Resources</v>
      </c>
      <c r="H31" s="15">
        <f>VLOOKUP($D31,orgNodes!$A$2:$D$46,4,FALSE)</f>
        <v>6</v>
      </c>
      <c r="I31" s="25" t="s">
        <v>444</v>
      </c>
      <c r="J31" s="1" t="s">
        <v>137</v>
      </c>
      <c r="K31" s="1" t="s">
        <v>1</v>
      </c>
      <c r="L31" s="1" t="s">
        <v>3</v>
      </c>
      <c r="M31" s="1" t="s">
        <v>430</v>
      </c>
      <c r="N31" s="1" t="s">
        <v>503</v>
      </c>
      <c r="O31" s="11" t="s">
        <v>4</v>
      </c>
      <c r="P31" s="1" t="s">
        <v>4</v>
      </c>
      <c r="Q31" s="1" t="s">
        <v>4</v>
      </c>
      <c r="R31" s="1" t="s">
        <v>4</v>
      </c>
      <c r="S31" s="1" t="s">
        <v>4</v>
      </c>
      <c r="T31" s="1" t="s">
        <v>4</v>
      </c>
      <c r="U31" s="1" t="s">
        <v>4</v>
      </c>
      <c r="V31" s="1" t="s">
        <v>4</v>
      </c>
    </row>
    <row r="32" spans="1:22" x14ac:dyDescent="0.3">
      <c r="A32" s="15" t="s">
        <v>227</v>
      </c>
      <c r="B32" s="15" t="s">
        <v>231</v>
      </c>
      <c r="C32" s="15" t="s">
        <v>229</v>
      </c>
      <c r="D32" s="15" t="s">
        <v>220</v>
      </c>
      <c r="E32" s="15" t="s">
        <v>532</v>
      </c>
      <c r="F32" s="15" t="str">
        <f t="shared" si="1"/>
        <v>UDNR-Conservation Program: Weather Data</v>
      </c>
      <c r="G32" s="15" t="str">
        <f>VLOOKUP($D32,orgNodes!$A$2:$D$46,3,FALSE)</f>
        <v>Department of Natural Resources</v>
      </c>
      <c r="H32" s="15">
        <f>VLOOKUP($D32,orgNodes!$A$2:$D$46,4,FALSE)</f>
        <v>6</v>
      </c>
      <c r="I32" s="25" t="s">
        <v>230</v>
      </c>
      <c r="J32" s="11" t="s">
        <v>6</v>
      </c>
      <c r="K32" s="11" t="s">
        <v>1</v>
      </c>
      <c r="L32" s="15" t="s">
        <v>3</v>
      </c>
      <c r="M32" s="11" t="s">
        <v>430</v>
      </c>
      <c r="N32" s="14" t="s">
        <v>490</v>
      </c>
      <c r="O32" s="11" t="s">
        <v>8</v>
      </c>
      <c r="P32" s="11" t="s">
        <v>9</v>
      </c>
      <c r="Q32" s="11" t="s">
        <v>9</v>
      </c>
      <c r="R32" s="11" t="s">
        <v>9</v>
      </c>
      <c r="S32" s="11" t="s">
        <v>9</v>
      </c>
      <c r="T32" s="1" t="s">
        <v>9</v>
      </c>
      <c r="U32" s="11" t="s">
        <v>428</v>
      </c>
      <c r="V32" s="11" t="s">
        <v>151</v>
      </c>
    </row>
    <row r="33" spans="1:22" x14ac:dyDescent="0.3">
      <c r="A33" s="10" t="s">
        <v>248</v>
      </c>
      <c r="B33" s="15" t="s">
        <v>235</v>
      </c>
      <c r="C33" s="15" t="s">
        <v>352</v>
      </c>
      <c r="D33" s="15" t="s">
        <v>222</v>
      </c>
      <c r="E33" s="15" t="s">
        <v>533</v>
      </c>
      <c r="F33" s="15" t="str">
        <f t="shared" si="1"/>
        <v>UDNR-Project Funding Program: Board Projects</v>
      </c>
      <c r="G33" s="15" t="str">
        <f>VLOOKUP($D33,orgNodes!$A$2:$D$46,3,FALSE)</f>
        <v>Department of Natural Resources</v>
      </c>
      <c r="H33" s="15">
        <f>VLOOKUP($D33,orgNodes!$A$2:$D$46,4,FALSE)</f>
        <v>6</v>
      </c>
      <c r="I33" s="25" t="s">
        <v>236</v>
      </c>
      <c r="J33" s="11" t="s">
        <v>6</v>
      </c>
      <c r="K33" s="11" t="s">
        <v>147</v>
      </c>
      <c r="L33" s="11" t="s">
        <v>9</v>
      </c>
      <c r="M33" s="11" t="s">
        <v>10</v>
      </c>
      <c r="N33" s="11" t="s">
        <v>82</v>
      </c>
      <c r="O33" s="11" t="s">
        <v>8</v>
      </c>
      <c r="P33" s="11" t="s">
        <v>9</v>
      </c>
      <c r="Q33" s="11" t="s">
        <v>9</v>
      </c>
      <c r="R33" s="11" t="s">
        <v>9</v>
      </c>
      <c r="S33" s="11" t="s">
        <v>9</v>
      </c>
      <c r="T33" s="11" t="s">
        <v>9</v>
      </c>
      <c r="U33" s="11" t="s">
        <v>4</v>
      </c>
      <c r="V33" s="11" t="s">
        <v>188</v>
      </c>
    </row>
    <row r="34" spans="1:22" x14ac:dyDescent="0.3">
      <c r="A34" s="15" t="s">
        <v>251</v>
      </c>
      <c r="B34" s="15" t="s">
        <v>244</v>
      </c>
      <c r="C34" s="15" t="s">
        <v>243</v>
      </c>
      <c r="D34" s="15" t="s">
        <v>302</v>
      </c>
      <c r="E34" s="15" t="s">
        <v>534</v>
      </c>
      <c r="F34" s="15" t="str">
        <f t="shared" si="1"/>
        <v>UDNR-Water Rights: Water Rights Maps</v>
      </c>
      <c r="G34" s="15" t="str">
        <f>VLOOKUP($D34,orgNodes!$A$2:$D$46,3,FALSE)</f>
        <v>Department of Natural Resources</v>
      </c>
      <c r="H34" s="15">
        <f>VLOOKUP($D34,orgNodes!$A$2:$D$46,4,FALSE)</f>
        <v>6</v>
      </c>
      <c r="I34" s="13" t="s">
        <v>245</v>
      </c>
      <c r="J34" s="11" t="s">
        <v>137</v>
      </c>
      <c r="K34" s="11" t="s">
        <v>504</v>
      </c>
      <c r="L34" s="11" t="s">
        <v>3</v>
      </c>
      <c r="M34" s="11" t="s">
        <v>430</v>
      </c>
      <c r="N34" s="11" t="s">
        <v>490</v>
      </c>
      <c r="O34" s="11" t="s">
        <v>4</v>
      </c>
      <c r="P34" s="11" t="s">
        <v>4</v>
      </c>
      <c r="Q34" s="11" t="s">
        <v>4</v>
      </c>
      <c r="R34" s="11" t="s">
        <v>4</v>
      </c>
      <c r="S34" s="11" t="s">
        <v>4</v>
      </c>
      <c r="T34" s="11" t="s">
        <v>4</v>
      </c>
      <c r="U34" s="11" t="s">
        <v>4</v>
      </c>
      <c r="V34" s="11" t="s">
        <v>4</v>
      </c>
    </row>
    <row r="35" spans="1:22" x14ac:dyDescent="0.3">
      <c r="A35" s="15" t="s">
        <v>256</v>
      </c>
      <c r="B35" s="15" t="s">
        <v>250</v>
      </c>
      <c r="C35" s="15" t="s">
        <v>369</v>
      </c>
      <c r="D35" s="15" t="s">
        <v>314</v>
      </c>
      <c r="E35" s="15" t="s">
        <v>535</v>
      </c>
      <c r="F35" s="15" t="str">
        <f t="shared" si="1"/>
        <v>UDNR-Distribution Program: Water Distribution/Regulation</v>
      </c>
      <c r="G35" s="15" t="str">
        <f>VLOOKUP($D35,orgNodes!$A$2:$D$46,3,FALSE)</f>
        <v>Department of Natural Resources</v>
      </c>
      <c r="H35" s="15">
        <f>VLOOKUP($D35,orgNodes!$A$2:$D$46,4,FALSE)</f>
        <v>6</v>
      </c>
      <c r="I35" s="25" t="s">
        <v>249</v>
      </c>
      <c r="J35" s="11" t="s">
        <v>137</v>
      </c>
      <c r="K35" s="11" t="s">
        <v>145</v>
      </c>
      <c r="L35" s="11" t="s">
        <v>3</v>
      </c>
      <c r="M35" s="11" t="s">
        <v>430</v>
      </c>
      <c r="N35" s="11" t="s">
        <v>490</v>
      </c>
      <c r="O35" s="11" t="s">
        <v>4</v>
      </c>
      <c r="P35" s="11" t="s">
        <v>4</v>
      </c>
      <c r="Q35" s="11" t="s">
        <v>4</v>
      </c>
      <c r="R35" s="11" t="s">
        <v>4</v>
      </c>
      <c r="S35" s="11" t="s">
        <v>4</v>
      </c>
      <c r="T35" s="11" t="s">
        <v>4</v>
      </c>
      <c r="U35" s="11" t="s">
        <v>4</v>
      </c>
      <c r="V35" s="11" t="s">
        <v>4</v>
      </c>
    </row>
    <row r="36" spans="1:22" x14ac:dyDescent="0.3">
      <c r="A36" s="10" t="s">
        <v>258</v>
      </c>
      <c r="B36" s="15" t="s">
        <v>252</v>
      </c>
      <c r="C36" s="15" t="s">
        <v>369</v>
      </c>
      <c r="D36" s="15" t="s">
        <v>314</v>
      </c>
      <c r="E36" s="15" t="s">
        <v>535</v>
      </c>
      <c r="F36" s="15" t="str">
        <f t="shared" si="1"/>
        <v>UDNR-Distribution Program: Water Use Data by Suppliers</v>
      </c>
      <c r="G36" s="15" t="str">
        <f>VLOOKUP($D36,orgNodes!$A$2:$D$46,3,FALSE)</f>
        <v>Department of Natural Resources</v>
      </c>
      <c r="H36" s="15">
        <f>VLOOKUP($D36,orgNodes!$A$2:$D$46,4,FALSE)</f>
        <v>6</v>
      </c>
      <c r="I36" s="25" t="s">
        <v>441</v>
      </c>
      <c r="J36" s="11" t="s">
        <v>6</v>
      </c>
      <c r="K36" s="11" t="s">
        <v>326</v>
      </c>
      <c r="L36" s="15" t="s">
        <v>3</v>
      </c>
      <c r="M36" s="11" t="s">
        <v>7</v>
      </c>
      <c r="N36" s="11" t="s">
        <v>82</v>
      </c>
      <c r="O36" s="11" t="s">
        <v>507</v>
      </c>
      <c r="P36" s="11" t="s">
        <v>9</v>
      </c>
      <c r="Q36" s="11" t="s">
        <v>9</v>
      </c>
      <c r="R36" s="11" t="s">
        <v>9</v>
      </c>
      <c r="S36" s="11" t="s">
        <v>9</v>
      </c>
      <c r="T36" s="11" t="s">
        <v>9</v>
      </c>
      <c r="U36" s="11" t="s">
        <v>192</v>
      </c>
      <c r="V36" s="11" t="s">
        <v>188</v>
      </c>
    </row>
    <row r="37" spans="1:22" x14ac:dyDescent="0.3">
      <c r="A37" s="15" t="s">
        <v>261</v>
      </c>
      <c r="B37" s="15" t="s">
        <v>253</v>
      </c>
      <c r="C37" s="15" t="s">
        <v>369</v>
      </c>
      <c r="D37" s="15" t="s">
        <v>314</v>
      </c>
      <c r="E37" s="15" t="s">
        <v>535</v>
      </c>
      <c r="F37" s="15" t="str">
        <f t="shared" si="1"/>
        <v>UDNR-Distribution Program: Company Rights</v>
      </c>
      <c r="G37" s="15" t="str">
        <f>VLOOKUP($D37,orgNodes!$A$2:$D$46,3,FALSE)</f>
        <v>Department of Natural Resources</v>
      </c>
      <c r="H37" s="15">
        <f>VLOOKUP($D37,orgNodes!$A$2:$D$46,4,FALSE)</f>
        <v>6</v>
      </c>
      <c r="I37" s="25" t="s">
        <v>254</v>
      </c>
      <c r="J37" s="11" t="s">
        <v>6</v>
      </c>
      <c r="K37" s="11" t="s">
        <v>145</v>
      </c>
      <c r="L37" s="15" t="s">
        <v>3</v>
      </c>
      <c r="M37" s="11" t="s">
        <v>10</v>
      </c>
      <c r="N37" s="11" t="s">
        <v>82</v>
      </c>
      <c r="O37" s="11" t="s">
        <v>8</v>
      </c>
      <c r="P37" s="11" t="s">
        <v>9</v>
      </c>
      <c r="Q37" s="11" t="s">
        <v>9</v>
      </c>
      <c r="R37" s="11" t="s">
        <v>9</v>
      </c>
      <c r="S37" s="11" t="s">
        <v>9</v>
      </c>
      <c r="T37" s="11" t="s">
        <v>9</v>
      </c>
      <c r="U37" s="11" t="s">
        <v>407</v>
      </c>
      <c r="V37" s="11" t="s">
        <v>151</v>
      </c>
    </row>
    <row r="38" spans="1:22" x14ac:dyDescent="0.3">
      <c r="A38" s="15" t="s">
        <v>264</v>
      </c>
      <c r="B38" s="15" t="s">
        <v>442</v>
      </c>
      <c r="C38" s="15" t="s">
        <v>369</v>
      </c>
      <c r="D38" s="15" t="s">
        <v>314</v>
      </c>
      <c r="E38" s="15" t="s">
        <v>535</v>
      </c>
      <c r="F38" s="15" t="str">
        <f t="shared" si="1"/>
        <v>UDNR-Distribution Program: Realtime Distribution System</v>
      </c>
      <c r="G38" s="15" t="str">
        <f>VLOOKUP($D38,orgNodes!$A$2:$D$46,3,FALSE)</f>
        <v>Department of Natural Resources</v>
      </c>
      <c r="H38" s="15">
        <f>VLOOKUP($D38,orgNodes!$A$2:$D$46,4,FALSE)</f>
        <v>6</v>
      </c>
      <c r="I38" s="25" t="s">
        <v>255</v>
      </c>
      <c r="J38" s="11" t="s">
        <v>137</v>
      </c>
      <c r="K38" s="11" t="s">
        <v>1</v>
      </c>
      <c r="L38" s="11" t="s">
        <v>3</v>
      </c>
      <c r="M38" s="11" t="s">
        <v>10</v>
      </c>
      <c r="N38" s="11" t="s">
        <v>82</v>
      </c>
      <c r="O38" s="11" t="s">
        <v>8</v>
      </c>
      <c r="P38" s="11" t="s">
        <v>9</v>
      </c>
      <c r="Q38" s="11" t="s">
        <v>9</v>
      </c>
      <c r="R38" s="11" t="s">
        <v>9</v>
      </c>
      <c r="S38" s="11" t="s">
        <v>9</v>
      </c>
      <c r="T38" s="11" t="s">
        <v>9</v>
      </c>
      <c r="U38" s="11" t="s">
        <v>257</v>
      </c>
      <c r="V38" s="11" t="s">
        <v>151</v>
      </c>
    </row>
    <row r="39" spans="1:22" x14ac:dyDescent="0.3">
      <c r="A39" s="10" t="s">
        <v>267</v>
      </c>
      <c r="B39" s="15" t="s">
        <v>260</v>
      </c>
      <c r="C39" s="15" t="s">
        <v>369</v>
      </c>
      <c r="D39" s="15" t="s">
        <v>314</v>
      </c>
      <c r="E39" s="15" t="s">
        <v>535</v>
      </c>
      <c r="F39" s="15" t="str">
        <f t="shared" si="1"/>
        <v>UDNR-Distribution Program: GAGEVIEW Stream Gage Records Viewer</v>
      </c>
      <c r="G39" s="15" t="str">
        <f>VLOOKUP($D39,orgNodes!$A$2:$D$46,3,FALSE)</f>
        <v>Department of Natural Resources</v>
      </c>
      <c r="H39" s="15">
        <f>VLOOKUP($D39,orgNodes!$A$2:$D$46,4,FALSE)</f>
        <v>6</v>
      </c>
      <c r="I39" s="25" t="s">
        <v>259</v>
      </c>
      <c r="J39" s="11" t="s">
        <v>137</v>
      </c>
      <c r="K39" s="11" t="s">
        <v>1</v>
      </c>
      <c r="L39" s="11" t="s">
        <v>3</v>
      </c>
      <c r="M39" s="11" t="s">
        <v>10</v>
      </c>
      <c r="N39" s="11" t="s">
        <v>82</v>
      </c>
      <c r="O39" s="11" t="s">
        <v>8</v>
      </c>
      <c r="P39" s="11" t="s">
        <v>3</v>
      </c>
      <c r="Q39" s="11" t="s">
        <v>415</v>
      </c>
      <c r="R39" s="11" t="s">
        <v>9</v>
      </c>
      <c r="S39" s="11" t="s">
        <v>472</v>
      </c>
      <c r="T39" s="11" t="s">
        <v>9</v>
      </c>
      <c r="U39" s="11" t="s">
        <v>428</v>
      </c>
      <c r="V39" s="11" t="s">
        <v>188</v>
      </c>
    </row>
    <row r="40" spans="1:22" x14ac:dyDescent="0.3">
      <c r="A40" s="15" t="s">
        <v>270</v>
      </c>
      <c r="B40" s="15" t="s">
        <v>265</v>
      </c>
      <c r="C40" s="15" t="s">
        <v>369</v>
      </c>
      <c r="D40" s="15" t="s">
        <v>314</v>
      </c>
      <c r="E40" s="15" t="s">
        <v>535</v>
      </c>
      <c r="F40" s="15" t="str">
        <f t="shared" si="1"/>
        <v>UDNR-Distribution Program: Colorado River Conditions</v>
      </c>
      <c r="G40" s="15" t="str">
        <f>VLOOKUP($D40,orgNodes!$A$2:$D$46,3,FALSE)</f>
        <v>Department of Natural Resources</v>
      </c>
      <c r="H40" s="15">
        <f>VLOOKUP($D40,orgNodes!$A$2:$D$46,4,FALSE)</f>
        <v>6</v>
      </c>
      <c r="I40" s="25" t="s">
        <v>266</v>
      </c>
      <c r="J40" s="11" t="s">
        <v>6</v>
      </c>
      <c r="K40" s="11" t="s">
        <v>1</v>
      </c>
      <c r="L40" s="11" t="s">
        <v>3</v>
      </c>
      <c r="M40" s="11" t="s">
        <v>430</v>
      </c>
      <c r="N40" s="11" t="s">
        <v>490</v>
      </c>
      <c r="O40" s="11" t="s">
        <v>4</v>
      </c>
      <c r="P40" s="11" t="s">
        <v>4</v>
      </c>
      <c r="Q40" s="11" t="s">
        <v>4</v>
      </c>
      <c r="R40" s="11" t="s">
        <v>4</v>
      </c>
      <c r="S40" s="11" t="s">
        <v>4</v>
      </c>
      <c r="T40" s="11" t="s">
        <v>4</v>
      </c>
      <c r="U40" s="11" t="s">
        <v>4</v>
      </c>
      <c r="V40" s="11" t="s">
        <v>4</v>
      </c>
    </row>
    <row r="41" spans="1:22" x14ac:dyDescent="0.3">
      <c r="A41" s="15" t="s">
        <v>279</v>
      </c>
      <c r="B41" s="15" t="s">
        <v>453</v>
      </c>
      <c r="C41" s="15" t="s">
        <v>370</v>
      </c>
      <c r="D41" s="15" t="s">
        <v>323</v>
      </c>
      <c r="E41" s="15" t="s">
        <v>536</v>
      </c>
      <c r="F41" s="15" t="str">
        <f t="shared" si="1"/>
        <v>UDNR-Well Drilling Program: Groundwater Management Plans</v>
      </c>
      <c r="G41" s="15" t="str">
        <f>VLOOKUP($D41,orgNodes!$A$2:$D$46,3,FALSE)</f>
        <v>Department of Natural Resources</v>
      </c>
      <c r="H41" s="15">
        <f>VLOOKUP($D41,orgNodes!$A$2:$D$46,4,FALSE)</f>
        <v>6</v>
      </c>
      <c r="I41" s="26" t="s">
        <v>269</v>
      </c>
      <c r="J41" s="11" t="s">
        <v>137</v>
      </c>
      <c r="K41" s="11" t="s">
        <v>1</v>
      </c>
      <c r="L41" s="11" t="s">
        <v>3</v>
      </c>
      <c r="M41" s="11" t="s">
        <v>7</v>
      </c>
      <c r="N41" s="11" t="s">
        <v>82</v>
      </c>
      <c r="O41" s="11" t="s">
        <v>185</v>
      </c>
      <c r="P41" s="11" t="s">
        <v>3</v>
      </c>
      <c r="Q41" s="11" t="s">
        <v>415</v>
      </c>
      <c r="R41" s="11" t="s">
        <v>9</v>
      </c>
      <c r="S41" s="11" t="s">
        <v>416</v>
      </c>
      <c r="T41" s="11" t="s">
        <v>9</v>
      </c>
      <c r="U41" s="11" t="s">
        <v>422</v>
      </c>
      <c r="V41" s="11" t="s">
        <v>188</v>
      </c>
    </row>
    <row r="42" spans="1:22" x14ac:dyDescent="0.3">
      <c r="A42" s="10" t="s">
        <v>289</v>
      </c>
      <c r="B42" s="15" t="s">
        <v>271</v>
      </c>
      <c r="C42" s="15" t="s">
        <v>370</v>
      </c>
      <c r="D42" s="15" t="s">
        <v>323</v>
      </c>
      <c r="E42" s="15" t="s">
        <v>536</v>
      </c>
      <c r="F42" s="15" t="str">
        <f t="shared" si="1"/>
        <v>UDNR-Well Drilling Program: Groundwater Recharge and Recovery</v>
      </c>
      <c r="G42" s="15" t="str">
        <f>VLOOKUP($D42,orgNodes!$A$2:$D$46,3,FALSE)</f>
        <v>Department of Natural Resources</v>
      </c>
      <c r="H42" s="15">
        <f>VLOOKUP($D42,orgNodes!$A$2:$D$46,4,FALSE)</f>
        <v>6</v>
      </c>
      <c r="I42" s="25" t="s">
        <v>272</v>
      </c>
      <c r="J42" s="11" t="s">
        <v>6</v>
      </c>
      <c r="K42" s="11" t="s">
        <v>1</v>
      </c>
      <c r="L42" s="15" t="s">
        <v>3</v>
      </c>
      <c r="M42" s="11" t="s">
        <v>449</v>
      </c>
      <c r="N42" s="11" t="s">
        <v>82</v>
      </c>
      <c r="O42" s="14" t="s">
        <v>185</v>
      </c>
      <c r="P42" s="11" t="s">
        <v>3</v>
      </c>
      <c r="Q42" s="11" t="s">
        <v>415</v>
      </c>
      <c r="R42" s="11" t="s">
        <v>9</v>
      </c>
      <c r="S42" s="11" t="s">
        <v>472</v>
      </c>
      <c r="T42" s="11" t="s">
        <v>9</v>
      </c>
      <c r="U42" s="11" t="s">
        <v>257</v>
      </c>
      <c r="V42" s="11" t="s">
        <v>188</v>
      </c>
    </row>
    <row r="43" spans="1:22" x14ac:dyDescent="0.3">
      <c r="A43" s="15" t="s">
        <v>295</v>
      </c>
      <c r="B43" s="15" t="s">
        <v>280</v>
      </c>
      <c r="C43" s="15" t="s">
        <v>370</v>
      </c>
      <c r="D43" s="15" t="s">
        <v>323</v>
      </c>
      <c r="E43" s="15" t="s">
        <v>536</v>
      </c>
      <c r="F43" s="15" t="str">
        <f t="shared" si="1"/>
        <v>UDNR-Well Drilling Program: Water Well Drilling Information</v>
      </c>
      <c r="G43" s="15" t="str">
        <f>VLOOKUP($D43,orgNodes!$A$2:$D$46,3,FALSE)</f>
        <v>Department of Natural Resources</v>
      </c>
      <c r="H43" s="15">
        <f>VLOOKUP($D43,orgNodes!$A$2:$D$46,4,FALSE)</f>
        <v>6</v>
      </c>
      <c r="I43" s="25" t="s">
        <v>283</v>
      </c>
      <c r="J43" s="11" t="s">
        <v>137</v>
      </c>
      <c r="K43" s="11" t="s">
        <v>145</v>
      </c>
      <c r="L43" s="11" t="s">
        <v>3</v>
      </c>
      <c r="M43" s="11" t="s">
        <v>10</v>
      </c>
      <c r="N43" s="11" t="s">
        <v>82</v>
      </c>
      <c r="O43" s="11" t="s">
        <v>8</v>
      </c>
      <c r="P43" s="11" t="s">
        <v>3</v>
      </c>
      <c r="Q43" s="11" t="s">
        <v>415</v>
      </c>
      <c r="R43" s="11" t="s">
        <v>9</v>
      </c>
      <c r="S43" s="11" t="s">
        <v>472</v>
      </c>
      <c r="T43" s="11" t="s">
        <v>9</v>
      </c>
      <c r="U43" s="11" t="s">
        <v>428</v>
      </c>
      <c r="V43" s="11" t="s">
        <v>188</v>
      </c>
    </row>
    <row r="44" spans="1:22" x14ac:dyDescent="0.3">
      <c r="A44" s="15" t="s">
        <v>300</v>
      </c>
      <c r="B44" s="15" t="s">
        <v>448</v>
      </c>
      <c r="C44" s="15" t="s">
        <v>370</v>
      </c>
      <c r="D44" s="15" t="s">
        <v>323</v>
      </c>
      <c r="E44" s="15" t="s">
        <v>536</v>
      </c>
      <c r="F44" s="15" t="str">
        <f t="shared" si="1"/>
        <v>UDNR-Well Drilling Program: DRILVIEW Water Well Driller Licensing Viewer</v>
      </c>
      <c r="G44" s="15" t="str">
        <f>VLOOKUP($D44,orgNodes!$A$2:$D$46,3,FALSE)</f>
        <v>Department of Natural Resources</v>
      </c>
      <c r="H44" s="15">
        <f>VLOOKUP($D44,orgNodes!$A$2:$D$46,4,FALSE)</f>
        <v>6</v>
      </c>
      <c r="I44" s="26" t="s">
        <v>282</v>
      </c>
      <c r="J44" s="11" t="s">
        <v>6</v>
      </c>
      <c r="K44" s="11" t="s">
        <v>1</v>
      </c>
      <c r="L44" s="11" t="s">
        <v>3</v>
      </c>
      <c r="M44" s="11" t="s">
        <v>449</v>
      </c>
      <c r="N44" s="11" t="s">
        <v>82</v>
      </c>
      <c r="O44" s="11" t="s">
        <v>342</v>
      </c>
      <c r="P44" s="11" t="s">
        <v>9</v>
      </c>
      <c r="Q44" s="11" t="s">
        <v>9</v>
      </c>
      <c r="R44" s="11" t="s">
        <v>9</v>
      </c>
      <c r="S44" s="11" t="s">
        <v>9</v>
      </c>
      <c r="T44" s="11" t="s">
        <v>9</v>
      </c>
      <c r="U44" s="11" t="s">
        <v>428</v>
      </c>
      <c r="V44" s="11" t="s">
        <v>83</v>
      </c>
    </row>
    <row r="45" spans="1:22" x14ac:dyDescent="0.3">
      <c r="A45" s="10" t="s">
        <v>309</v>
      </c>
      <c r="B45" s="15" t="s">
        <v>451</v>
      </c>
      <c r="C45" s="15" t="s">
        <v>370</v>
      </c>
      <c r="D45" s="15" t="s">
        <v>323</v>
      </c>
      <c r="E45" s="15" t="s">
        <v>536</v>
      </c>
      <c r="F45" s="15" t="str">
        <f t="shared" si="1"/>
        <v xml:space="preserve">UDNR-Well Drilling Program: Well Drilling Statstics </v>
      </c>
      <c r="G45" s="15" t="str">
        <f>VLOOKUP($D45,orgNodes!$A$2:$D$46,3,FALSE)</f>
        <v>Department of Natural Resources</v>
      </c>
      <c r="H45" s="15">
        <f>VLOOKUP($D45,orgNodes!$A$2:$D$46,4,FALSE)</f>
        <v>6</v>
      </c>
      <c r="I45" s="26" t="s">
        <v>285</v>
      </c>
      <c r="J45" s="11" t="s">
        <v>137</v>
      </c>
      <c r="K45" s="11" t="s">
        <v>1</v>
      </c>
      <c r="L45" s="11" t="s">
        <v>3</v>
      </c>
      <c r="M45" s="11" t="s">
        <v>10</v>
      </c>
      <c r="N45" s="11" t="s">
        <v>82</v>
      </c>
      <c r="O45" s="11" t="s">
        <v>8</v>
      </c>
      <c r="P45" s="11" t="s">
        <v>3</v>
      </c>
      <c r="Q45" s="11" t="s">
        <v>415</v>
      </c>
      <c r="R45" s="11" t="s">
        <v>9</v>
      </c>
      <c r="S45" s="11" t="s">
        <v>472</v>
      </c>
      <c r="T45" s="11" t="s">
        <v>9</v>
      </c>
      <c r="U45" s="11" t="s">
        <v>422</v>
      </c>
      <c r="V45" s="11" t="s">
        <v>188</v>
      </c>
    </row>
    <row r="46" spans="1:22" x14ac:dyDescent="0.3">
      <c r="A46" s="15" t="s">
        <v>317</v>
      </c>
      <c r="B46" s="15" t="s">
        <v>452</v>
      </c>
      <c r="C46" s="15" t="s">
        <v>370</v>
      </c>
      <c r="D46" s="15" t="s">
        <v>323</v>
      </c>
      <c r="E46" s="15" t="s">
        <v>536</v>
      </c>
      <c r="F46" s="15" t="str">
        <f t="shared" si="1"/>
        <v>UDNR-Well Drilling Program: Geologic Logs for Wells</v>
      </c>
      <c r="G46" s="15" t="str">
        <f>VLOOKUP($D46,orgNodes!$A$2:$D$46,3,FALSE)</f>
        <v>Department of Natural Resources</v>
      </c>
      <c r="H46" s="15">
        <f>VLOOKUP($D46,orgNodes!$A$2:$D$46,4,FALSE)</f>
        <v>6</v>
      </c>
      <c r="I46" s="26" t="s">
        <v>284</v>
      </c>
      <c r="J46" s="11" t="s">
        <v>6</v>
      </c>
      <c r="K46" s="11" t="s">
        <v>1</v>
      </c>
      <c r="L46" s="11" t="s">
        <v>3</v>
      </c>
      <c r="M46" s="11" t="s">
        <v>449</v>
      </c>
      <c r="N46" s="11" t="s">
        <v>82</v>
      </c>
      <c r="O46" s="11" t="s">
        <v>342</v>
      </c>
      <c r="P46" s="11" t="s">
        <v>3</v>
      </c>
      <c r="Q46" s="11" t="s">
        <v>415</v>
      </c>
      <c r="R46" s="11" t="s">
        <v>9</v>
      </c>
      <c r="S46" s="11" t="s">
        <v>416</v>
      </c>
      <c r="T46" s="11" t="s">
        <v>9</v>
      </c>
      <c r="U46" s="11" t="s">
        <v>428</v>
      </c>
      <c r="V46" s="11" t="s">
        <v>188</v>
      </c>
    </row>
    <row r="47" spans="1:22" x14ac:dyDescent="0.3">
      <c r="A47" s="15" t="s">
        <v>318</v>
      </c>
      <c r="B47" s="15" t="s">
        <v>454</v>
      </c>
      <c r="C47" s="15" t="s">
        <v>370</v>
      </c>
      <c r="D47" s="15" t="s">
        <v>323</v>
      </c>
      <c r="E47" s="15" t="s">
        <v>536</v>
      </c>
      <c r="F47" s="15" t="str">
        <f t="shared" si="1"/>
        <v xml:space="preserve">UDNR-Well Drilling Program: Ground Level Trend Viewer </v>
      </c>
      <c r="G47" s="15" t="str">
        <f>VLOOKUP($D47,orgNodes!$A$2:$D$46,3,FALSE)</f>
        <v>Department of Natural Resources</v>
      </c>
      <c r="H47" s="15">
        <f>VLOOKUP($D47,orgNodes!$A$2:$D$46,4,FALSE)</f>
        <v>6</v>
      </c>
      <c r="I47" s="26" t="s">
        <v>455</v>
      </c>
      <c r="J47" s="11" t="s">
        <v>6</v>
      </c>
      <c r="K47" s="11" t="s">
        <v>456</v>
      </c>
      <c r="L47" s="11" t="s">
        <v>3</v>
      </c>
      <c r="M47" s="11" t="s">
        <v>458</v>
      </c>
      <c r="N47" s="11" t="s">
        <v>490</v>
      </c>
      <c r="O47" s="11" t="s">
        <v>440</v>
      </c>
      <c r="P47" s="11" t="s">
        <v>3</v>
      </c>
      <c r="Q47" s="11" t="s">
        <v>415</v>
      </c>
      <c r="R47" s="11" t="s">
        <v>9</v>
      </c>
      <c r="S47" s="11" t="s">
        <v>84</v>
      </c>
      <c r="T47" s="11" t="s">
        <v>9</v>
      </c>
      <c r="U47" s="11" t="s">
        <v>428</v>
      </c>
      <c r="V47" s="11" t="s">
        <v>188</v>
      </c>
    </row>
    <row r="48" spans="1:22" x14ac:dyDescent="0.3">
      <c r="A48" s="10" t="s">
        <v>319</v>
      </c>
      <c r="B48" s="15" t="s">
        <v>537</v>
      </c>
      <c r="C48" s="15" t="s">
        <v>288</v>
      </c>
      <c r="D48" s="15" t="s">
        <v>327</v>
      </c>
      <c r="E48" s="15" t="s">
        <v>539</v>
      </c>
      <c r="F48" s="15" t="str">
        <f t="shared" si="1"/>
        <v>UDNR-Dam Safety: Dam Safety Database Information Viewer</v>
      </c>
      <c r="G48" s="15" t="str">
        <f>VLOOKUP($D48,orgNodes!$A$2:$D$46,3,FALSE)</f>
        <v>Department of Natural Resources</v>
      </c>
      <c r="H48" s="15">
        <f>VLOOKUP($D48,orgNodes!$A$2:$D$46,4,FALSE)</f>
        <v>6</v>
      </c>
      <c r="I48" s="25" t="s">
        <v>286</v>
      </c>
      <c r="J48" s="11" t="s">
        <v>137</v>
      </c>
      <c r="K48" s="11" t="s">
        <v>326</v>
      </c>
      <c r="L48" s="11" t="s">
        <v>3</v>
      </c>
      <c r="M48" s="11" t="s">
        <v>10</v>
      </c>
      <c r="N48" s="11" t="s">
        <v>82</v>
      </c>
      <c r="O48" s="11" t="s">
        <v>8</v>
      </c>
      <c r="P48" s="11" t="s">
        <v>3</v>
      </c>
      <c r="Q48" s="11" t="s">
        <v>8</v>
      </c>
      <c r="R48" s="11" t="s">
        <v>9</v>
      </c>
      <c r="S48" s="11" t="s">
        <v>472</v>
      </c>
      <c r="T48" s="11" t="s">
        <v>9</v>
      </c>
      <c r="U48" s="11" t="s">
        <v>428</v>
      </c>
      <c r="V48" s="11" t="s">
        <v>151</v>
      </c>
    </row>
    <row r="49" spans="1:22" x14ac:dyDescent="0.3">
      <c r="A49" s="15" t="s">
        <v>320</v>
      </c>
      <c r="B49" s="15" t="s">
        <v>176</v>
      </c>
      <c r="C49" s="15" t="s">
        <v>288</v>
      </c>
      <c r="D49" s="15" t="s">
        <v>327</v>
      </c>
      <c r="E49" s="15" t="s">
        <v>539</v>
      </c>
      <c r="F49" s="15" t="str">
        <f t="shared" si="1"/>
        <v>UDNR-Dam Safety: Reservoir Levels</v>
      </c>
      <c r="G49" s="15" t="str">
        <f>VLOOKUP($D49,orgNodes!$A$2:$D$46,3,FALSE)</f>
        <v>Department of Natural Resources</v>
      </c>
      <c r="H49" s="15">
        <f>VLOOKUP($D49,orgNodes!$A$2:$D$46,4,FALSE)</f>
        <v>6</v>
      </c>
      <c r="I49" s="26" t="s">
        <v>287</v>
      </c>
      <c r="J49" s="1" t="s">
        <v>6</v>
      </c>
      <c r="K49" s="1" t="s">
        <v>1</v>
      </c>
      <c r="L49" s="1" t="s">
        <v>3</v>
      </c>
      <c r="M49" s="1" t="s">
        <v>10</v>
      </c>
      <c r="N49" s="11" t="s">
        <v>82</v>
      </c>
      <c r="O49" s="1" t="s">
        <v>8</v>
      </c>
      <c r="P49" s="1" t="s">
        <v>9</v>
      </c>
      <c r="Q49" s="1" t="s">
        <v>9</v>
      </c>
      <c r="R49" s="1" t="s">
        <v>9</v>
      </c>
      <c r="S49" s="1" t="s">
        <v>9</v>
      </c>
      <c r="T49" s="1" t="s">
        <v>9</v>
      </c>
      <c r="U49" s="1" t="s">
        <v>428</v>
      </c>
      <c r="V49" s="1" t="s">
        <v>188</v>
      </c>
    </row>
    <row r="50" spans="1:22" x14ac:dyDescent="0.3">
      <c r="A50" s="15" t="s">
        <v>321</v>
      </c>
      <c r="B50" s="15" t="s">
        <v>541</v>
      </c>
      <c r="C50" s="15" t="s">
        <v>540</v>
      </c>
      <c r="D50" s="15" t="s">
        <v>331</v>
      </c>
      <c r="E50" s="15" t="s">
        <v>538</v>
      </c>
      <c r="F50" s="15" t="str">
        <f t="shared" si="1"/>
        <v>UDNR-Stream Alteration Program: Stream Alteration Permit Viewer</v>
      </c>
      <c r="G50" s="15" t="str">
        <f>VLOOKUP($D50,orgNodes!$A$2:$D$46,3,FALSE)</f>
        <v>Department of Natural Resources</v>
      </c>
      <c r="H50" s="15">
        <f>VLOOKUP($D50,orgNodes!$A$2:$D$46,4,FALSE)</f>
        <v>6</v>
      </c>
      <c r="I50" s="25" t="s">
        <v>296</v>
      </c>
      <c r="J50" s="11" t="s">
        <v>137</v>
      </c>
      <c r="K50" s="11" t="s">
        <v>326</v>
      </c>
      <c r="L50" s="11" t="s">
        <v>3</v>
      </c>
      <c r="M50" s="11" t="s">
        <v>449</v>
      </c>
      <c r="N50" s="11" t="s">
        <v>82</v>
      </c>
      <c r="O50" s="11" t="s">
        <v>342</v>
      </c>
      <c r="P50" s="11" t="s">
        <v>3</v>
      </c>
      <c r="Q50" s="11" t="s">
        <v>8</v>
      </c>
      <c r="R50" s="11" t="s">
        <v>9</v>
      </c>
      <c r="S50" s="11" t="s">
        <v>472</v>
      </c>
      <c r="T50" s="11" t="s">
        <v>9</v>
      </c>
      <c r="U50" s="11" t="s">
        <v>428</v>
      </c>
      <c r="V50" s="11" t="s">
        <v>188</v>
      </c>
    </row>
    <row r="51" spans="1:22" x14ac:dyDescent="0.3">
      <c r="A51" s="10" t="s">
        <v>508</v>
      </c>
      <c r="B51" s="15" t="s">
        <v>542</v>
      </c>
      <c r="C51" s="15" t="s">
        <v>377</v>
      </c>
      <c r="D51" s="15" t="s">
        <v>336</v>
      </c>
      <c r="E51" s="15" t="s">
        <v>543</v>
      </c>
      <c r="F51" s="15" t="str">
        <f t="shared" si="1"/>
        <v>UDNR-Adjudication Program: Adjudication Status</v>
      </c>
      <c r="G51" s="15" t="str">
        <f>VLOOKUP($D51,orgNodes!$A$2:$D$46,3,FALSE)</f>
        <v>Department of Natural Resources</v>
      </c>
      <c r="H51" s="15">
        <f>VLOOKUP($D51,orgNodes!$A$2:$D$46,4,FALSE)</f>
        <v>6</v>
      </c>
      <c r="I51" s="25" t="s">
        <v>301</v>
      </c>
      <c r="J51" s="11" t="s">
        <v>137</v>
      </c>
      <c r="K51" s="11" t="s">
        <v>1</v>
      </c>
      <c r="L51" s="11" t="s">
        <v>3</v>
      </c>
      <c r="M51" s="11" t="s">
        <v>449</v>
      </c>
      <c r="N51" s="11" t="s">
        <v>82</v>
      </c>
      <c r="O51" s="11" t="s">
        <v>342</v>
      </c>
      <c r="P51" s="11" t="s">
        <v>3</v>
      </c>
      <c r="Q51" s="11" t="s">
        <v>415</v>
      </c>
      <c r="R51" s="11" t="s">
        <v>9</v>
      </c>
      <c r="S51" s="11" t="s">
        <v>506</v>
      </c>
      <c r="T51" s="11" t="s">
        <v>9</v>
      </c>
      <c r="U51" s="11" t="s">
        <v>4</v>
      </c>
      <c r="V51" s="11" t="s">
        <v>188</v>
      </c>
    </row>
    <row r="52" spans="1:22" x14ac:dyDescent="0.3">
      <c r="A52" s="15" t="s">
        <v>408</v>
      </c>
      <c r="B52" s="15" t="s">
        <v>447</v>
      </c>
      <c r="C52" s="15" t="s">
        <v>376</v>
      </c>
      <c r="D52" s="15" t="s">
        <v>345</v>
      </c>
      <c r="E52" s="15" t="s">
        <v>544</v>
      </c>
      <c r="F52" s="15" t="str">
        <f t="shared" si="1"/>
        <v>UDNR-Enforcement Program: Regulation Database</v>
      </c>
      <c r="G52" s="15" t="str">
        <f>VLOOKUP($D52,orgNodes!$A$2:$D$46,3,FALSE)</f>
        <v>Department of Natural Resources</v>
      </c>
      <c r="H52" s="15">
        <f>VLOOKUP($D52,orgNodes!$A$2:$D$46,4,FALSE)</f>
        <v>6</v>
      </c>
      <c r="I52" s="26" t="s">
        <v>446</v>
      </c>
      <c r="J52" s="11" t="s">
        <v>137</v>
      </c>
      <c r="K52" s="11" t="s">
        <v>1</v>
      </c>
      <c r="L52" s="11" t="s">
        <v>3</v>
      </c>
      <c r="M52" s="11" t="s">
        <v>7</v>
      </c>
      <c r="N52" s="1" t="s">
        <v>82</v>
      </c>
      <c r="O52" s="11" t="s">
        <v>342</v>
      </c>
      <c r="P52" s="11" t="s">
        <v>9</v>
      </c>
      <c r="Q52" s="11" t="s">
        <v>9</v>
      </c>
      <c r="R52" s="11" t="s">
        <v>9</v>
      </c>
      <c r="S52" s="11" t="s">
        <v>9</v>
      </c>
      <c r="T52" s="11" t="s">
        <v>9</v>
      </c>
      <c r="U52" s="11" t="s">
        <v>4</v>
      </c>
      <c r="V52" s="11" t="s">
        <v>419</v>
      </c>
    </row>
    <row r="53" spans="1:22" x14ac:dyDescent="0.3">
      <c r="A53" s="10" t="s">
        <v>412</v>
      </c>
      <c r="B53" s="15" t="s">
        <v>310</v>
      </c>
      <c r="C53" s="15" t="s">
        <v>546</v>
      </c>
      <c r="D53" s="15" t="s">
        <v>365</v>
      </c>
      <c r="E53" s="15" t="s">
        <v>547</v>
      </c>
      <c r="F53" s="15" t="str">
        <f t="shared" si="1"/>
        <v>UDNR-UDOGM: Cumulative Hydrologic Impact Assessment</v>
      </c>
      <c r="G53" s="15" t="str">
        <f>VLOOKUP($D53,orgNodes!$A$2:$D$46,3,FALSE)</f>
        <v>Department of Natural Resources</v>
      </c>
      <c r="H53" s="15">
        <f>VLOOKUP($D53,orgNodes!$A$2:$D$46,4,FALSE)</f>
        <v>6</v>
      </c>
      <c r="I53" s="25" t="s">
        <v>311</v>
      </c>
      <c r="J53" s="11" t="s">
        <v>6</v>
      </c>
      <c r="K53" s="11" t="s">
        <v>1</v>
      </c>
      <c r="L53" s="15" t="s">
        <v>3</v>
      </c>
      <c r="M53" s="11" t="s">
        <v>340</v>
      </c>
      <c r="N53" s="11" t="s">
        <v>82</v>
      </c>
      <c r="O53" s="11" t="s">
        <v>342</v>
      </c>
      <c r="P53" s="11" t="s">
        <v>225</v>
      </c>
      <c r="Q53" s="11" t="s">
        <v>5</v>
      </c>
      <c r="R53" s="11" t="s">
        <v>3</v>
      </c>
      <c r="S53" s="11" t="s">
        <v>84</v>
      </c>
      <c r="T53" s="11" t="s">
        <v>9</v>
      </c>
      <c r="U53" s="11" t="s">
        <v>422</v>
      </c>
      <c r="V53" s="11" t="s">
        <v>188</v>
      </c>
    </row>
    <row r="54" spans="1:22" x14ac:dyDescent="0.3">
      <c r="A54" s="15" t="s">
        <v>429</v>
      </c>
      <c r="B54" s="15" t="s">
        <v>322</v>
      </c>
      <c r="C54" s="15" t="s">
        <v>546</v>
      </c>
      <c r="D54" s="15" t="s">
        <v>365</v>
      </c>
      <c r="E54" s="15" t="s">
        <v>547</v>
      </c>
      <c r="F54" s="15" t="str">
        <f t="shared" si="1"/>
        <v>UDNR-UDOGM: Data Explorer</v>
      </c>
      <c r="G54" s="15" t="str">
        <f>VLOOKUP($D54,orgNodes!$A$2:$D$46,3,FALSE)</f>
        <v>Department of Natural Resources</v>
      </c>
      <c r="H54" s="15">
        <f>VLOOKUP($D54,orgNodes!$A$2:$D$46,4,FALSE)</f>
        <v>6</v>
      </c>
      <c r="I54" s="25" t="s">
        <v>437</v>
      </c>
      <c r="J54" s="1" t="s">
        <v>144</v>
      </c>
      <c r="K54" s="1" t="s">
        <v>456</v>
      </c>
      <c r="L54" s="1" t="s">
        <v>3</v>
      </c>
      <c r="M54" s="1" t="s">
        <v>10</v>
      </c>
      <c r="N54" s="11" t="s">
        <v>82</v>
      </c>
      <c r="O54" s="11" t="s">
        <v>501</v>
      </c>
      <c r="P54" s="1" t="s">
        <v>3</v>
      </c>
      <c r="Q54" s="1" t="s">
        <v>8</v>
      </c>
      <c r="R54" s="1" t="s">
        <v>9</v>
      </c>
      <c r="S54" s="1" t="s">
        <v>509</v>
      </c>
      <c r="T54" s="1" t="s">
        <v>9</v>
      </c>
      <c r="U54" s="1" t="s">
        <v>428</v>
      </c>
      <c r="V54" s="1" t="s">
        <v>188</v>
      </c>
    </row>
    <row r="55" spans="1:22" x14ac:dyDescent="0.3">
      <c r="A55" s="15" t="s">
        <v>434</v>
      </c>
      <c r="B55" s="15" t="s">
        <v>439</v>
      </c>
      <c r="C55" s="15" t="s">
        <v>546</v>
      </c>
      <c r="D55" s="15" t="s">
        <v>365</v>
      </c>
      <c r="E55" s="15" t="s">
        <v>547</v>
      </c>
      <c r="F55" s="15" t="str">
        <f t="shared" si="1"/>
        <v>UDNR-UDOGM: Data Research Center</v>
      </c>
      <c r="G55" s="15" t="str">
        <f>VLOOKUP($D55,orgNodes!$A$2:$D$46,3,FALSE)</f>
        <v>Department of Natural Resources</v>
      </c>
      <c r="H55" s="15">
        <f>VLOOKUP($D55,orgNodes!$A$2:$D$46,4,FALSE)</f>
        <v>6</v>
      </c>
      <c r="I55" s="25" t="s">
        <v>438</v>
      </c>
      <c r="J55" s="1" t="s">
        <v>144</v>
      </c>
      <c r="K55" s="1" t="s">
        <v>1</v>
      </c>
      <c r="L55" s="1" t="s">
        <v>3</v>
      </c>
      <c r="M55" s="1" t="s">
        <v>450</v>
      </c>
      <c r="N55" s="11" t="s">
        <v>82</v>
      </c>
      <c r="O55" s="1" t="s">
        <v>440</v>
      </c>
      <c r="P55" s="1" t="s">
        <v>3</v>
      </c>
      <c r="Q55" s="1" t="s">
        <v>5</v>
      </c>
      <c r="R55" s="1" t="s">
        <v>3</v>
      </c>
      <c r="S55" s="1" t="s">
        <v>84</v>
      </c>
      <c r="T55" s="1" t="s">
        <v>9</v>
      </c>
      <c r="U55" s="1" t="s">
        <v>428</v>
      </c>
      <c r="V55" s="1" t="s">
        <v>188</v>
      </c>
    </row>
    <row r="56" spans="1:22" x14ac:dyDescent="0.3">
      <c r="A56" s="10" t="s">
        <v>406</v>
      </c>
      <c r="B56" s="15" t="s">
        <v>459</v>
      </c>
      <c r="C56" s="15" t="s">
        <v>463</v>
      </c>
      <c r="D56" s="15" t="s">
        <v>371</v>
      </c>
      <c r="E56" s="15" t="s">
        <v>548</v>
      </c>
      <c r="F56" s="15" t="str">
        <f t="shared" si="1"/>
        <v>UDNR-Geological Survey: Groundwater Monitoring Data Portal</v>
      </c>
      <c r="G56" s="15" t="str">
        <f>VLOOKUP($D56,orgNodes!$A$2:$D$46,3,FALSE)</f>
        <v>Department of Natural Resources</v>
      </c>
      <c r="H56" s="15">
        <f>VLOOKUP($D56,orgNodes!$A$2:$D$46,4,FALSE)</f>
        <v>6</v>
      </c>
      <c r="I56" s="25" t="s">
        <v>457</v>
      </c>
      <c r="J56" s="11" t="s">
        <v>137</v>
      </c>
      <c r="K56" s="11" t="s">
        <v>456</v>
      </c>
      <c r="L56" s="11" t="s">
        <v>3</v>
      </c>
      <c r="M56" s="11" t="s">
        <v>7</v>
      </c>
      <c r="N56" s="11" t="s">
        <v>82</v>
      </c>
      <c r="O56" s="11" t="s">
        <v>440</v>
      </c>
      <c r="P56" s="11" t="s">
        <v>3</v>
      </c>
      <c r="Q56" s="11" t="s">
        <v>415</v>
      </c>
      <c r="R56" s="11" t="s">
        <v>9</v>
      </c>
      <c r="S56" s="11" t="s">
        <v>187</v>
      </c>
      <c r="T56" s="11" t="s">
        <v>9</v>
      </c>
      <c r="U56" s="11" t="s">
        <v>428</v>
      </c>
      <c r="V56" s="11" t="s">
        <v>188</v>
      </c>
    </row>
    <row r="57" spans="1:22" x14ac:dyDescent="0.3">
      <c r="A57" s="15" t="s">
        <v>502</v>
      </c>
      <c r="B57" s="15" t="s">
        <v>462</v>
      </c>
      <c r="C57" s="15" t="s">
        <v>463</v>
      </c>
      <c r="D57" s="15" t="s">
        <v>371</v>
      </c>
      <c r="E57" s="15" t="s">
        <v>548</v>
      </c>
      <c r="F57" s="15" t="str">
        <f t="shared" si="1"/>
        <v>UDNR-Geological Survey: Geothermal Well &amp; Spring Database</v>
      </c>
      <c r="G57" s="15" t="str">
        <f>VLOOKUP($D57,orgNodes!$A$2:$D$46,3,FALSE)</f>
        <v>Department of Natural Resources</v>
      </c>
      <c r="H57" s="15">
        <f>VLOOKUP($D57,orgNodes!$A$2:$D$46,4,FALSE)</f>
        <v>6</v>
      </c>
      <c r="I57" s="25" t="s">
        <v>461</v>
      </c>
      <c r="J57" s="11" t="s">
        <v>137</v>
      </c>
      <c r="K57" s="11" t="s">
        <v>464</v>
      </c>
      <c r="L57" s="11" t="s">
        <v>3</v>
      </c>
      <c r="M57" s="11" t="s">
        <v>450</v>
      </c>
      <c r="N57" s="11" t="s">
        <v>82</v>
      </c>
      <c r="O57" s="11" t="s">
        <v>510</v>
      </c>
      <c r="P57" s="11" t="s">
        <v>3</v>
      </c>
      <c r="Q57" s="11" t="s">
        <v>5</v>
      </c>
      <c r="R57" s="11" t="s">
        <v>3</v>
      </c>
      <c r="S57" s="11" t="s">
        <v>187</v>
      </c>
      <c r="T57" s="11" t="s">
        <v>9</v>
      </c>
      <c r="U57" s="11" t="s">
        <v>407</v>
      </c>
      <c r="V57" s="11" t="s">
        <v>82</v>
      </c>
    </row>
    <row r="58" spans="1:22" x14ac:dyDescent="0.3">
      <c r="A58" s="15" t="s">
        <v>512</v>
      </c>
      <c r="B58" s="15" t="s">
        <v>465</v>
      </c>
      <c r="C58" s="15" t="s">
        <v>463</v>
      </c>
      <c r="D58" s="15" t="s">
        <v>371</v>
      </c>
      <c r="E58" s="15" t="s">
        <v>548</v>
      </c>
      <c r="F58" s="15" t="str">
        <f t="shared" si="1"/>
        <v xml:space="preserve">UDNR-Geological Survey: Groundwater Quality Publications </v>
      </c>
      <c r="G58" s="15" t="str">
        <f>VLOOKUP($D58,orgNodes!$A$2:$D$46,3,FALSE)</f>
        <v>Department of Natural Resources</v>
      </c>
      <c r="H58" s="15">
        <f>VLOOKUP($D58,orgNodes!$A$2:$D$46,4,FALSE)</f>
        <v>6</v>
      </c>
      <c r="I58" s="26" t="s">
        <v>466</v>
      </c>
      <c r="J58" s="11" t="s">
        <v>6</v>
      </c>
      <c r="K58" s="11" t="s">
        <v>1</v>
      </c>
      <c r="L58" s="11" t="s">
        <v>3</v>
      </c>
      <c r="M58" s="11" t="s">
        <v>450</v>
      </c>
      <c r="N58" s="11" t="s">
        <v>82</v>
      </c>
      <c r="O58" s="11" t="s">
        <v>511</v>
      </c>
      <c r="P58" s="11" t="s">
        <v>3</v>
      </c>
      <c r="Q58" s="11" t="s">
        <v>5</v>
      </c>
      <c r="R58" s="11" t="s">
        <v>9</v>
      </c>
      <c r="S58" s="11" t="s">
        <v>472</v>
      </c>
      <c r="T58" s="11" t="s">
        <v>9</v>
      </c>
      <c r="U58" s="11" t="s">
        <v>407</v>
      </c>
      <c r="V58" s="11" t="s">
        <v>82</v>
      </c>
    </row>
    <row r="59" spans="1:22" x14ac:dyDescent="0.3">
      <c r="A59" s="10" t="s">
        <v>513</v>
      </c>
      <c r="B59" s="15" t="s">
        <v>468</v>
      </c>
      <c r="C59" s="15" t="s">
        <v>463</v>
      </c>
      <c r="D59" s="15" t="s">
        <v>371</v>
      </c>
      <c r="E59" s="15" t="s">
        <v>548</v>
      </c>
      <c r="F59" s="15" t="str">
        <f t="shared" si="1"/>
        <v>UDNR-Geological Survey: Groundwater Recharge and Discharge Maps</v>
      </c>
      <c r="G59" s="15" t="str">
        <f>VLOOKUP($D59,orgNodes!$A$2:$D$46,3,FALSE)</f>
        <v>Department of Natural Resources</v>
      </c>
      <c r="H59" s="15">
        <f>VLOOKUP($D59,orgNodes!$A$2:$D$46,4,FALSE)</f>
        <v>6</v>
      </c>
      <c r="I59" s="26" t="s">
        <v>469</v>
      </c>
      <c r="J59" s="11" t="s">
        <v>6</v>
      </c>
      <c r="K59" s="11" t="s">
        <v>1</v>
      </c>
      <c r="L59" s="11" t="s">
        <v>3</v>
      </c>
      <c r="M59" s="11" t="s">
        <v>7</v>
      </c>
      <c r="N59" s="11" t="s">
        <v>82</v>
      </c>
      <c r="O59" s="11" t="s">
        <v>5</v>
      </c>
      <c r="P59" s="11" t="s">
        <v>3</v>
      </c>
      <c r="Q59" s="11" t="s">
        <v>415</v>
      </c>
      <c r="R59" s="11" t="s">
        <v>3</v>
      </c>
      <c r="S59" s="11" t="s">
        <v>187</v>
      </c>
      <c r="T59" s="11" t="s">
        <v>9</v>
      </c>
      <c r="U59" s="11" t="s">
        <v>407</v>
      </c>
      <c r="V59" s="11" t="s">
        <v>82</v>
      </c>
    </row>
    <row r="60" spans="1:22" x14ac:dyDescent="0.3">
      <c r="A60" s="15" t="s">
        <v>514</v>
      </c>
      <c r="B60" s="15" t="s">
        <v>470</v>
      </c>
      <c r="C60" s="15" t="s">
        <v>463</v>
      </c>
      <c r="D60" s="15" t="s">
        <v>371</v>
      </c>
      <c r="E60" s="15" t="s">
        <v>548</v>
      </c>
      <c r="F60" s="15" t="str">
        <f t="shared" si="1"/>
        <v>UDNR-Geological Survey: Utah Wetlands</v>
      </c>
      <c r="G60" s="15" t="str">
        <f>VLOOKUP($D60,orgNodes!$A$2:$D$46,3,FALSE)</f>
        <v>Department of Natural Resources</v>
      </c>
      <c r="H60" s="15">
        <f>VLOOKUP($D60,orgNodes!$A$2:$D$46,4,FALSE)</f>
        <v>6</v>
      </c>
      <c r="I60" s="25" t="s">
        <v>471</v>
      </c>
      <c r="J60" s="11" t="s">
        <v>137</v>
      </c>
      <c r="K60" s="11" t="s">
        <v>147</v>
      </c>
      <c r="L60" s="11" t="s">
        <v>3</v>
      </c>
      <c r="M60" s="11" t="s">
        <v>450</v>
      </c>
      <c r="N60" s="11" t="s">
        <v>82</v>
      </c>
      <c r="O60" s="11" t="s">
        <v>467</v>
      </c>
      <c r="P60" s="11" t="s">
        <v>3</v>
      </c>
      <c r="Q60" s="11" t="s">
        <v>8</v>
      </c>
      <c r="R60" s="11" t="s">
        <v>9</v>
      </c>
      <c r="S60" s="11" t="s">
        <v>472</v>
      </c>
      <c r="T60" s="11" t="s">
        <v>9</v>
      </c>
      <c r="U60" s="11" t="s">
        <v>4</v>
      </c>
      <c r="V60" s="11" t="s">
        <v>151</v>
      </c>
    </row>
    <row r="61" spans="1:22" x14ac:dyDescent="0.3">
      <c r="A61" s="15" t="s">
        <v>516</v>
      </c>
      <c r="B61" s="15" t="s">
        <v>474</v>
      </c>
      <c r="C61" s="15" t="s">
        <v>475</v>
      </c>
      <c r="D61" s="15" t="s">
        <v>374</v>
      </c>
      <c r="E61" s="15" t="s">
        <v>550</v>
      </c>
      <c r="F61" s="15" t="str">
        <f t="shared" si="1"/>
        <v>UDNR-FFSL: Comprehensive River plans</v>
      </c>
      <c r="G61" s="15" t="str">
        <f>VLOOKUP($D61,orgNodes!$A$2:$D$46,3,FALSE)</f>
        <v>Department of Natural Resources</v>
      </c>
      <c r="H61" s="15">
        <f>VLOOKUP($D61,orgNodes!$A$2:$D$46,4,FALSE)</f>
        <v>6</v>
      </c>
      <c r="I61" s="25" t="s">
        <v>473</v>
      </c>
      <c r="J61" s="11" t="s">
        <v>137</v>
      </c>
      <c r="K61" s="11" t="s">
        <v>147</v>
      </c>
      <c r="L61" s="15" t="s">
        <v>9</v>
      </c>
      <c r="M61" s="11" t="s">
        <v>140</v>
      </c>
      <c r="N61" s="11" t="s">
        <v>82</v>
      </c>
      <c r="O61" s="11" t="s">
        <v>4</v>
      </c>
      <c r="P61" s="11" t="s">
        <v>3</v>
      </c>
      <c r="Q61" s="11" t="s">
        <v>415</v>
      </c>
      <c r="R61" s="11" t="s">
        <v>3</v>
      </c>
      <c r="S61" s="11" t="s">
        <v>187</v>
      </c>
      <c r="T61" s="11" t="s">
        <v>9</v>
      </c>
      <c r="U61" s="11" t="s">
        <v>407</v>
      </c>
      <c r="V61" s="11" t="s">
        <v>151</v>
      </c>
    </row>
    <row r="62" spans="1:22" x14ac:dyDescent="0.3">
      <c r="A62" s="10" t="s">
        <v>518</v>
      </c>
      <c r="B62" s="15" t="s">
        <v>334</v>
      </c>
      <c r="C62" s="15" t="s">
        <v>332</v>
      </c>
      <c r="D62" s="15" t="s">
        <v>385</v>
      </c>
      <c r="E62" s="15" t="s">
        <v>549</v>
      </c>
      <c r="F62" s="15" t="str">
        <f t="shared" si="1"/>
        <v>UDPS-Emergency Management: Utah Disaster History</v>
      </c>
      <c r="G62" s="15" t="str">
        <f>VLOOKUP($D62,orgNodes!$A$2:$D$46,3,FALSE)</f>
        <v>Department of Public Safety</v>
      </c>
      <c r="H62" s="15">
        <f>VLOOKUP($D62,orgNodes!$A$2:$D$46,4,FALSE)</f>
        <v>7</v>
      </c>
      <c r="I62" s="25" t="s">
        <v>335</v>
      </c>
      <c r="J62" s="1" t="s">
        <v>6</v>
      </c>
      <c r="K62" s="1" t="s">
        <v>1</v>
      </c>
      <c r="L62" s="1" t="s">
        <v>3</v>
      </c>
      <c r="M62" s="1" t="s">
        <v>515</v>
      </c>
      <c r="N62" s="11" t="s">
        <v>490</v>
      </c>
      <c r="O62" s="11" t="s">
        <v>8</v>
      </c>
      <c r="P62" s="1" t="s">
        <v>9</v>
      </c>
      <c r="Q62" s="1" t="s">
        <v>9</v>
      </c>
      <c r="R62" s="1" t="s">
        <v>9</v>
      </c>
      <c r="S62" s="1" t="s">
        <v>9</v>
      </c>
      <c r="T62" s="1" t="s">
        <v>9</v>
      </c>
      <c r="U62" s="1" t="s">
        <v>422</v>
      </c>
      <c r="V62" s="1" t="s">
        <v>188</v>
      </c>
    </row>
    <row r="63" spans="1:22" x14ac:dyDescent="0.3">
      <c r="A63" s="10" t="s">
        <v>519</v>
      </c>
      <c r="B63" s="15" t="s">
        <v>500</v>
      </c>
      <c r="C63" s="15" t="s">
        <v>262</v>
      </c>
      <c r="D63" s="15" t="s">
        <v>551</v>
      </c>
      <c r="E63" s="15" t="s">
        <v>545</v>
      </c>
      <c r="F63" s="15" t="str">
        <f t="shared" si="1"/>
        <v>Climate Center: Cloud Seeding</v>
      </c>
      <c r="G63" s="15" t="str">
        <f>VLOOKUP($D63,orgNodes!$A$2:$D$46,3,FALSE)</f>
        <v>Utah State University</v>
      </c>
      <c r="H63" s="15">
        <f>VLOOKUP($D63,orgNodes!$A$2:$D$46,4,FALSE)</f>
        <v>10</v>
      </c>
      <c r="I63" s="25" t="s">
        <v>499</v>
      </c>
      <c r="J63" s="11" t="s">
        <v>6</v>
      </c>
      <c r="K63" s="11" t="s">
        <v>145</v>
      </c>
      <c r="L63" s="11" t="s">
        <v>3</v>
      </c>
      <c r="M63" s="11" t="s">
        <v>140</v>
      </c>
      <c r="N63" s="11" t="s">
        <v>82</v>
      </c>
      <c r="O63" s="11" t="s">
        <v>8</v>
      </c>
      <c r="P63" s="11" t="s">
        <v>9</v>
      </c>
      <c r="Q63" s="11" t="s">
        <v>9</v>
      </c>
      <c r="R63" s="11" t="s">
        <v>9</v>
      </c>
      <c r="S63" s="11" t="s">
        <v>9</v>
      </c>
      <c r="T63" s="11" t="s">
        <v>9</v>
      </c>
      <c r="U63" s="11" t="s">
        <v>428</v>
      </c>
      <c r="V63" s="11" t="s">
        <v>419</v>
      </c>
    </row>
    <row r="64" spans="1:22" x14ac:dyDescent="0.3">
      <c r="A64" s="15" t="s">
        <v>520</v>
      </c>
      <c r="B64" s="15" t="s">
        <v>497</v>
      </c>
      <c r="C64" s="15" t="s">
        <v>262</v>
      </c>
      <c r="D64" s="15" t="s">
        <v>551</v>
      </c>
      <c r="E64" s="15" t="s">
        <v>545</v>
      </c>
      <c r="F64" s="15" t="str">
        <f t="shared" si="1"/>
        <v>Climate Center: Agweather</v>
      </c>
      <c r="G64" s="15" t="str">
        <f>VLOOKUP($D64,orgNodes!$A$2:$D$46,3,FALSE)</f>
        <v>Utah State University</v>
      </c>
      <c r="H64" s="15">
        <f>VLOOKUP($D64,orgNodes!$A$2:$D$46,4,FALSE)</f>
        <v>10</v>
      </c>
      <c r="I64" s="25" t="s">
        <v>498</v>
      </c>
      <c r="J64" s="1" t="s">
        <v>144</v>
      </c>
      <c r="K64" s="1" t="s">
        <v>456</v>
      </c>
      <c r="L64" s="1" t="s">
        <v>3</v>
      </c>
      <c r="M64" s="1" t="s">
        <v>186</v>
      </c>
      <c r="N64" s="11" t="s">
        <v>82</v>
      </c>
      <c r="O64" s="1" t="s">
        <v>501</v>
      </c>
      <c r="P64" s="1" t="s">
        <v>3</v>
      </c>
      <c r="Q64" s="1" t="s">
        <v>415</v>
      </c>
      <c r="R64" s="1" t="s">
        <v>9</v>
      </c>
      <c r="S64" s="1" t="s">
        <v>472</v>
      </c>
      <c r="T64" s="1" t="s">
        <v>9</v>
      </c>
      <c r="U64" s="1" t="s">
        <v>428</v>
      </c>
      <c r="V64" s="1" t="s">
        <v>188</v>
      </c>
    </row>
    <row r="65" spans="1:22" x14ac:dyDescent="0.3">
      <c r="A65" s="15" t="s">
        <v>662</v>
      </c>
      <c r="B65" s="15" t="s">
        <v>663</v>
      </c>
      <c r="C65" s="15" t="s">
        <v>262</v>
      </c>
      <c r="D65" s="15" t="s">
        <v>551</v>
      </c>
      <c r="E65" s="15" t="s">
        <v>545</v>
      </c>
      <c r="F65" s="15" t="str">
        <f t="shared" si="1"/>
        <v>Climate Center: Climate Data</v>
      </c>
      <c r="G65" s="15" t="str">
        <f>VLOOKUP($D65,orgNodes!$A$2:$D$46,3,FALSE)</f>
        <v>Utah State University</v>
      </c>
      <c r="H65" s="23">
        <v>10</v>
      </c>
      <c r="I65" s="13" t="s">
        <v>664</v>
      </c>
      <c r="J65" s="11" t="s">
        <v>144</v>
      </c>
      <c r="K65" s="11" t="s">
        <v>456</v>
      </c>
      <c r="L65" s="11" t="s">
        <v>3</v>
      </c>
      <c r="M65" s="11" t="s">
        <v>668</v>
      </c>
      <c r="N65" s="11" t="s">
        <v>82</v>
      </c>
      <c r="O65" s="11" t="s">
        <v>460</v>
      </c>
      <c r="P65" s="11" t="s">
        <v>3</v>
      </c>
      <c r="Q65" s="11" t="s">
        <v>415</v>
      </c>
      <c r="R65" s="11" t="s">
        <v>9</v>
      </c>
      <c r="S65" s="11" t="s">
        <v>84</v>
      </c>
      <c r="T65" s="11" t="s">
        <v>9</v>
      </c>
      <c r="U65" s="11" t="s">
        <v>428</v>
      </c>
      <c r="V65" s="11" t="s">
        <v>188</v>
      </c>
    </row>
  </sheetData>
  <phoneticPr fontId="5" type="noConversion"/>
  <hyperlinks>
    <hyperlink ref="I6" r:id="rId1"/>
    <hyperlink ref="I4" r:id="rId2"/>
    <hyperlink ref="I10" r:id="rId3"/>
    <hyperlink ref="I12" r:id="rId4"/>
    <hyperlink ref="I23" r:id="rId5"/>
    <hyperlink ref="I24" r:id="rId6"/>
    <hyperlink ref="I26" r:id="rId7"/>
    <hyperlink ref="I9" r:id="rId8"/>
    <hyperlink ref="I7" r:id="rId9"/>
    <hyperlink ref="I22" r:id="rId10"/>
    <hyperlink ref="I11" r:id="rId11"/>
    <hyperlink ref="I30" r:id="rId12"/>
    <hyperlink ref="I32" r:id="rId13"/>
    <hyperlink ref="I33" r:id="rId14"/>
    <hyperlink ref="I17" r:id="rId15"/>
    <hyperlink ref="I35" r:id="rId16"/>
    <hyperlink ref="I37" r:id="rId17"/>
    <hyperlink ref="I38" r:id="rId18"/>
    <hyperlink ref="I39" r:id="rId19"/>
    <hyperlink ref="I40" r:id="rId20"/>
    <hyperlink ref="I53" r:id="rId21"/>
    <hyperlink ref="I62" r:id="rId22"/>
    <hyperlink ref="I14" r:id="rId23"/>
    <hyperlink ref="I15" r:id="rId24" location="individual" display="https://deq.utah.gov/water-quality/updes-permitting-program - individual"/>
    <hyperlink ref="I16" r:id="rId25"/>
    <hyperlink ref="I18" r:id="rId26"/>
    <hyperlink ref="I19" r:id="rId27"/>
    <hyperlink ref="I21" r:id="rId28"/>
    <hyperlink ref="I20" r:id="rId29"/>
    <hyperlink ref="I2" r:id="rId30"/>
    <hyperlink ref="I54" r:id="rId31"/>
    <hyperlink ref="I55" r:id="rId32" location="download" display="https://oilgas.ogm.utah.gov/oilgasweb/data-center/dc-main.xhtml - download"/>
    <hyperlink ref="I36" r:id="rId33"/>
    <hyperlink ref="I31" r:id="rId34"/>
    <hyperlink ref="I27" r:id="rId35"/>
    <hyperlink ref="I28" r:id="rId36"/>
    <hyperlink ref="I48" r:id="rId37"/>
    <hyperlink ref="I49" r:id="rId38"/>
    <hyperlink ref="I50" r:id="rId39"/>
    <hyperlink ref="I52" r:id="rId40"/>
    <hyperlink ref="I44" r:id="rId41"/>
    <hyperlink ref="I45" r:id="rId42"/>
    <hyperlink ref="I41" r:id="rId43"/>
    <hyperlink ref="I46" r:id="rId44"/>
    <hyperlink ref="I47" r:id="rId45"/>
    <hyperlink ref="I56" r:id="rId46"/>
    <hyperlink ref="I57" r:id="rId47"/>
    <hyperlink ref="I58" r:id="rId48"/>
    <hyperlink ref="I60" r:id="rId49"/>
    <hyperlink ref="I61" r:id="rId50"/>
    <hyperlink ref="I3" r:id="rId51" location="data" display="https://gis.utah.gov/ - data"/>
    <hyperlink ref="I29" r:id="rId52"/>
    <hyperlink ref="I8" r:id="rId53"/>
    <hyperlink ref="I13" r:id="rId54"/>
    <hyperlink ref="I25" r:id="rId55"/>
    <hyperlink ref="I64" r:id="rId56"/>
    <hyperlink ref="I63" r:id="rId57"/>
    <hyperlink ref="I42" r:id="rId58"/>
    <hyperlink ref="I43" r:id="rId59"/>
    <hyperlink ref="I51" r:id="rId60"/>
    <hyperlink ref="I5" r:id="rId61"/>
    <hyperlink ref="I34" r:id="rId62"/>
    <hyperlink ref="I59" r:id="rId63"/>
    <hyperlink ref="I65" r:id="rId64"/>
  </hyperlinks>
  <pageMargins left="0.7" right="0.7" top="0.75" bottom="0.75" header="0.3" footer="0.3"/>
  <pageSetup orientation="portrait" r:id="rId65"/>
  <legacyDrawing r:id="rId66"/>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169"/>
  <sheetViews>
    <sheetView zoomScale="80" zoomScaleNormal="80" workbookViewId="0">
      <pane ySplit="1" topLeftCell="A2" activePane="bottomLeft" state="frozen"/>
      <selection pane="bottomLeft" activeCell="A11" sqref="A11"/>
    </sheetView>
  </sheetViews>
  <sheetFormatPr defaultColWidth="8.69921875" defaultRowHeight="15.6" x14ac:dyDescent="0.3"/>
  <cols>
    <col min="1" max="1" width="5.5" style="32" bestFit="1" customWidth="1"/>
    <col min="2" max="2" width="25.69921875" style="32" customWidth="1"/>
    <col min="3" max="3" width="33.8984375" style="32" bestFit="1" customWidth="1"/>
    <col min="4" max="4" width="31.59765625" style="32" customWidth="1"/>
    <col min="5" max="5" width="47.8984375" style="32" customWidth="1"/>
    <col min="6" max="6" width="34.3984375" style="42" bestFit="1" customWidth="1"/>
    <col min="7" max="7" width="16.69921875" style="41" customWidth="1"/>
    <col min="8" max="8" width="13.5" style="42" bestFit="1" customWidth="1"/>
    <col min="9" max="9" width="9.5" style="32" bestFit="1" customWidth="1"/>
    <col min="10" max="10" width="8.69921875" style="32"/>
    <col min="11" max="12" width="8.69921875" style="1"/>
    <col min="13" max="13" width="16.69921875" style="1" customWidth="1"/>
    <col min="14" max="16384" width="8.69921875" style="1"/>
  </cols>
  <sheetData>
    <row r="1" spans="1:14" x14ac:dyDescent="0.3">
      <c r="A1" s="29" t="s">
        <v>92</v>
      </c>
      <c r="B1" s="36" t="s">
        <v>93</v>
      </c>
      <c r="C1" s="37" t="s">
        <v>88</v>
      </c>
      <c r="D1" s="37" t="s">
        <v>89</v>
      </c>
      <c r="E1" s="36" t="s">
        <v>14</v>
      </c>
      <c r="F1" s="39" t="s">
        <v>104</v>
      </c>
      <c r="G1" s="38" t="s">
        <v>106</v>
      </c>
      <c r="H1" s="39" t="s">
        <v>105</v>
      </c>
      <c r="I1" s="29" t="s">
        <v>107</v>
      </c>
      <c r="J1" s="37" t="s">
        <v>0</v>
      </c>
      <c r="M1" s="1" t="s">
        <v>109</v>
      </c>
      <c r="N1" s="1" t="s">
        <v>108</v>
      </c>
    </row>
    <row r="2" spans="1:14" s="32" customFormat="1" ht="14.4" x14ac:dyDescent="0.3">
      <c r="A2" s="30" t="s">
        <v>36</v>
      </c>
      <c r="B2" s="30" t="s">
        <v>435</v>
      </c>
      <c r="C2" s="30" t="s">
        <v>436</v>
      </c>
      <c r="D2" s="33" t="s">
        <v>436</v>
      </c>
      <c r="E2" s="31" t="s">
        <v>433</v>
      </c>
      <c r="F2" s="33" t="s">
        <v>563</v>
      </c>
      <c r="G2" s="34" t="s">
        <v>69</v>
      </c>
      <c r="H2" s="33" t="s">
        <v>56</v>
      </c>
      <c r="I2" s="32" t="str">
        <f>VLOOKUP(G2,$M$4:$N$21,2,FALSE)</f>
        <v>d02</v>
      </c>
      <c r="J2" s="35"/>
    </row>
    <row r="3" spans="1:14" s="32" customFormat="1" ht="14.4" x14ac:dyDescent="0.3">
      <c r="A3" s="30" t="s">
        <v>36</v>
      </c>
      <c r="B3" s="30" t="s">
        <v>435</v>
      </c>
      <c r="C3" s="30" t="s">
        <v>436</v>
      </c>
      <c r="D3" s="33" t="s">
        <v>436</v>
      </c>
      <c r="E3" s="31" t="s">
        <v>433</v>
      </c>
      <c r="F3" s="33" t="s">
        <v>557</v>
      </c>
      <c r="G3" s="34" t="s">
        <v>2</v>
      </c>
      <c r="H3" s="33" t="s">
        <v>72</v>
      </c>
      <c r="I3" s="32" t="str">
        <f t="shared" ref="I3:I66" si="0">VLOOKUP(G3,$M$4:$N$21,2,FALSE)</f>
        <v>d08</v>
      </c>
      <c r="J3" s="35"/>
    </row>
    <row r="4" spans="1:14" s="32" customFormat="1" x14ac:dyDescent="0.3">
      <c r="A4" s="30" t="s">
        <v>36</v>
      </c>
      <c r="B4" s="30" t="s">
        <v>435</v>
      </c>
      <c r="C4" s="30" t="s">
        <v>436</v>
      </c>
      <c r="D4" s="33" t="s">
        <v>436</v>
      </c>
      <c r="E4" s="31" t="s">
        <v>433</v>
      </c>
      <c r="F4" s="33" t="s">
        <v>558</v>
      </c>
      <c r="G4" s="34" t="s">
        <v>68</v>
      </c>
      <c r="H4" s="33" t="s">
        <v>56</v>
      </c>
      <c r="I4" s="32" t="str">
        <f t="shared" si="0"/>
        <v>d01</v>
      </c>
      <c r="J4" s="35"/>
      <c r="M4" s="5" t="str">
        <f>dataNodes!B2</f>
        <v>Built</v>
      </c>
      <c r="N4" s="3" t="str">
        <f>dataNodes!A2</f>
        <v>d01</v>
      </c>
    </row>
    <row r="5" spans="1:14" s="32" customFormat="1" x14ac:dyDescent="0.3">
      <c r="A5" s="30" t="s">
        <v>36</v>
      </c>
      <c r="B5" s="30" t="s">
        <v>435</v>
      </c>
      <c r="C5" s="30" t="s">
        <v>436</v>
      </c>
      <c r="D5" s="33" t="s">
        <v>436</v>
      </c>
      <c r="E5" s="31" t="s">
        <v>433</v>
      </c>
      <c r="F5" s="33" t="s">
        <v>555</v>
      </c>
      <c r="G5" s="34" t="s">
        <v>77</v>
      </c>
      <c r="H5" s="33" t="s">
        <v>77</v>
      </c>
      <c r="I5" s="32" t="str">
        <f t="shared" si="0"/>
        <v>d16</v>
      </c>
      <c r="J5" s="35"/>
      <c r="M5" s="5" t="str">
        <f>dataNodes!B3</f>
        <v>Natural</v>
      </c>
      <c r="N5" s="3" t="str">
        <f>dataNodes!A3</f>
        <v>d02</v>
      </c>
    </row>
    <row r="6" spans="1:14" s="32" customFormat="1" x14ac:dyDescent="0.3">
      <c r="A6" s="30" t="s">
        <v>36</v>
      </c>
      <c r="B6" s="30" t="s">
        <v>435</v>
      </c>
      <c r="C6" s="30" t="s">
        <v>436</v>
      </c>
      <c r="D6" s="33" t="s">
        <v>436</v>
      </c>
      <c r="E6" s="31" t="s">
        <v>433</v>
      </c>
      <c r="F6" s="33" t="s">
        <v>556</v>
      </c>
      <c r="G6" s="34" t="s">
        <v>79</v>
      </c>
      <c r="H6" s="33" t="s">
        <v>77</v>
      </c>
      <c r="I6" s="32" t="str">
        <f t="shared" si="0"/>
        <v>d15</v>
      </c>
      <c r="J6" s="35"/>
      <c r="M6" s="5" t="str">
        <f>dataNodes!B4</f>
        <v>Quality</v>
      </c>
      <c r="N6" s="3" t="str">
        <f>dataNodes!A4</f>
        <v>d03</v>
      </c>
    </row>
    <row r="7" spans="1:14" s="32" customFormat="1" x14ac:dyDescent="0.3">
      <c r="A7" s="30" t="s">
        <v>36</v>
      </c>
      <c r="B7" s="30" t="s">
        <v>435</v>
      </c>
      <c r="C7" s="30" t="s">
        <v>436</v>
      </c>
      <c r="D7" s="33" t="s">
        <v>436</v>
      </c>
      <c r="E7" s="31" t="s">
        <v>433</v>
      </c>
      <c r="F7" s="33" t="s">
        <v>561</v>
      </c>
      <c r="G7" s="34" t="s">
        <v>73</v>
      </c>
      <c r="H7" s="33" t="s">
        <v>72</v>
      </c>
      <c r="I7" s="32" t="str">
        <f t="shared" si="0"/>
        <v>d06</v>
      </c>
      <c r="J7" s="35"/>
      <c r="M7" s="5" t="str">
        <f>dataNodes!B5</f>
        <v>Regulatory</v>
      </c>
      <c r="N7" s="3" t="str">
        <f>dataNodes!A5</f>
        <v>d04</v>
      </c>
    </row>
    <row r="8" spans="1:14" s="32" customFormat="1" x14ac:dyDescent="0.3">
      <c r="A8" s="30" t="s">
        <v>36</v>
      </c>
      <c r="B8" s="30" t="s">
        <v>435</v>
      </c>
      <c r="C8" s="30" t="s">
        <v>436</v>
      </c>
      <c r="D8" s="33" t="s">
        <v>436</v>
      </c>
      <c r="E8" s="31" t="s">
        <v>433</v>
      </c>
      <c r="F8" s="33" t="s">
        <v>559</v>
      </c>
      <c r="G8" s="34" t="s">
        <v>560</v>
      </c>
      <c r="H8" s="33" t="s">
        <v>72</v>
      </c>
      <c r="I8" s="32" t="str">
        <f t="shared" si="0"/>
        <v>d11</v>
      </c>
      <c r="J8" s="35"/>
      <c r="M8" s="5" t="str">
        <f>dataNodes!B6</f>
        <v>Evapotranspiration</v>
      </c>
      <c r="N8" s="3" t="str">
        <f>dataNodes!A6</f>
        <v>d05</v>
      </c>
    </row>
    <row r="9" spans="1:14" s="32" customFormat="1" x14ac:dyDescent="0.3">
      <c r="A9" s="30" t="s">
        <v>36</v>
      </c>
      <c r="B9" s="30" t="s">
        <v>435</v>
      </c>
      <c r="C9" s="30" t="s">
        <v>436</v>
      </c>
      <c r="D9" s="33" t="s">
        <v>436</v>
      </c>
      <c r="E9" s="31" t="s">
        <v>433</v>
      </c>
      <c r="F9" s="33" t="s">
        <v>562</v>
      </c>
      <c r="G9" s="34" t="s">
        <v>70</v>
      </c>
      <c r="H9" s="33" t="s">
        <v>70</v>
      </c>
      <c r="I9" s="32" t="str">
        <f t="shared" si="0"/>
        <v>d03</v>
      </c>
      <c r="J9" s="35"/>
      <c r="M9" s="5" t="str">
        <f>dataNodes!B7</f>
        <v>Extreme Events</v>
      </c>
      <c r="N9" s="3" t="str">
        <f>dataNodes!A7</f>
        <v>d06</v>
      </c>
    </row>
    <row r="10" spans="1:14" s="32" customFormat="1" x14ac:dyDescent="0.3">
      <c r="A10" s="30" t="s">
        <v>37</v>
      </c>
      <c r="B10" s="30" t="s">
        <v>476</v>
      </c>
      <c r="C10" s="30" t="s">
        <v>436</v>
      </c>
      <c r="D10" s="33" t="s">
        <v>436</v>
      </c>
      <c r="E10" s="31" t="s">
        <v>477</v>
      </c>
      <c r="F10" s="33" t="s">
        <v>563</v>
      </c>
      <c r="G10" s="34" t="s">
        <v>69</v>
      </c>
      <c r="H10" s="33" t="s">
        <v>56</v>
      </c>
      <c r="I10" s="32" t="str">
        <f t="shared" si="0"/>
        <v>d02</v>
      </c>
      <c r="J10" s="35"/>
      <c r="M10" s="5" t="str">
        <f>dataNodes!B8</f>
        <v>Glacial and Snow</v>
      </c>
      <c r="N10" s="3" t="str">
        <f>dataNodes!A8</f>
        <v>d07</v>
      </c>
    </row>
    <row r="11" spans="1:14" s="32" customFormat="1" x14ac:dyDescent="0.3">
      <c r="A11" s="30" t="s">
        <v>37</v>
      </c>
      <c r="B11" s="30" t="s">
        <v>476</v>
      </c>
      <c r="C11" s="30" t="s">
        <v>436</v>
      </c>
      <c r="D11" s="33" t="s">
        <v>436</v>
      </c>
      <c r="E11" s="31" t="s">
        <v>477</v>
      </c>
      <c r="F11" s="33" t="s">
        <v>558</v>
      </c>
      <c r="G11" s="34" t="s">
        <v>68</v>
      </c>
      <c r="H11" s="33" t="s">
        <v>56</v>
      </c>
      <c r="I11" s="32" t="str">
        <f t="shared" si="0"/>
        <v>d01</v>
      </c>
      <c r="J11" s="35"/>
      <c r="M11" s="5" t="str">
        <f>dataNodes!B9</f>
        <v>Groundwater</v>
      </c>
      <c r="N11" s="3" t="str">
        <f>dataNodes!A9</f>
        <v>d08</v>
      </c>
    </row>
    <row r="12" spans="1:14" s="32" customFormat="1" x14ac:dyDescent="0.3">
      <c r="A12" s="30" t="s">
        <v>37</v>
      </c>
      <c r="B12" s="30" t="s">
        <v>476</v>
      </c>
      <c r="C12" s="30" t="s">
        <v>436</v>
      </c>
      <c r="D12" s="33" t="s">
        <v>436</v>
      </c>
      <c r="E12" s="31" t="s">
        <v>477</v>
      </c>
      <c r="F12" s="33" t="s">
        <v>555</v>
      </c>
      <c r="G12" s="34" t="s">
        <v>77</v>
      </c>
      <c r="H12" s="33" t="s">
        <v>77</v>
      </c>
      <c r="I12" s="32" t="str">
        <f t="shared" si="0"/>
        <v>d16</v>
      </c>
      <c r="J12" s="35"/>
      <c r="M12" s="5" t="str">
        <f>dataNodes!B10</f>
        <v>Meteorology</v>
      </c>
      <c r="N12" s="3" t="str">
        <f>dataNodes!A10</f>
        <v>d09</v>
      </c>
    </row>
    <row r="13" spans="1:14" s="32" customFormat="1" x14ac:dyDescent="0.3">
      <c r="A13" s="30" t="s">
        <v>37</v>
      </c>
      <c r="B13" s="30" t="s">
        <v>476</v>
      </c>
      <c r="C13" s="30" t="s">
        <v>436</v>
      </c>
      <c r="D13" s="33" t="s">
        <v>436</v>
      </c>
      <c r="E13" s="31" t="s">
        <v>477</v>
      </c>
      <c r="F13" s="33" t="s">
        <v>556</v>
      </c>
      <c r="G13" s="34" t="s">
        <v>79</v>
      </c>
      <c r="H13" s="33" t="s">
        <v>77</v>
      </c>
      <c r="I13" s="32" t="str">
        <f t="shared" si="0"/>
        <v>d15</v>
      </c>
      <c r="J13" s="35"/>
      <c r="M13" s="5" t="str">
        <f>dataNodes!B11</f>
        <v>Precipitation</v>
      </c>
      <c r="N13" s="3" t="str">
        <f>dataNodes!A11</f>
        <v>d10</v>
      </c>
    </row>
    <row r="14" spans="1:14" s="32" customFormat="1" x14ac:dyDescent="0.3">
      <c r="A14" s="30" t="s">
        <v>37</v>
      </c>
      <c r="B14" s="30" t="s">
        <v>476</v>
      </c>
      <c r="C14" s="30" t="s">
        <v>436</v>
      </c>
      <c r="D14" s="33" t="s">
        <v>436</v>
      </c>
      <c r="E14" s="31" t="s">
        <v>477</v>
      </c>
      <c r="F14" s="33" t="s">
        <v>561</v>
      </c>
      <c r="G14" s="34" t="s">
        <v>73</v>
      </c>
      <c r="H14" s="33" t="s">
        <v>72</v>
      </c>
      <c r="I14" s="32" t="str">
        <f t="shared" si="0"/>
        <v>d06</v>
      </c>
      <c r="J14" s="35"/>
      <c r="M14" s="5" t="str">
        <f>dataNodes!B12</f>
        <v>Reservoir</v>
      </c>
      <c r="N14" s="3" t="str">
        <f>dataNodes!A12</f>
        <v>d11</v>
      </c>
    </row>
    <row r="15" spans="1:14" s="32" customFormat="1" x14ac:dyDescent="0.3">
      <c r="A15" s="30" t="s">
        <v>37</v>
      </c>
      <c r="B15" s="30" t="s">
        <v>476</v>
      </c>
      <c r="C15" s="30" t="s">
        <v>436</v>
      </c>
      <c r="D15" s="33" t="s">
        <v>436</v>
      </c>
      <c r="E15" s="31" t="s">
        <v>477</v>
      </c>
      <c r="F15" s="33" t="s">
        <v>559</v>
      </c>
      <c r="G15" s="34" t="s">
        <v>560</v>
      </c>
      <c r="H15" s="33" t="s">
        <v>72</v>
      </c>
      <c r="I15" s="32" t="str">
        <f t="shared" si="0"/>
        <v>d11</v>
      </c>
      <c r="J15" s="35"/>
      <c r="M15" s="5" t="str">
        <f>dataNodes!B13</f>
        <v>Soil</v>
      </c>
      <c r="N15" s="3" t="str">
        <f>dataNodes!A13</f>
        <v>d12</v>
      </c>
    </row>
    <row r="16" spans="1:14" s="32" customFormat="1" x14ac:dyDescent="0.3">
      <c r="A16" s="30" t="s">
        <v>37</v>
      </c>
      <c r="B16" s="30" t="s">
        <v>476</v>
      </c>
      <c r="C16" s="30" t="s">
        <v>436</v>
      </c>
      <c r="D16" s="33" t="s">
        <v>436</v>
      </c>
      <c r="E16" s="31" t="s">
        <v>477</v>
      </c>
      <c r="F16" s="33" t="s">
        <v>562</v>
      </c>
      <c r="G16" s="34" t="s">
        <v>70</v>
      </c>
      <c r="H16" s="33" t="s">
        <v>70</v>
      </c>
      <c r="I16" s="32" t="str">
        <f t="shared" si="0"/>
        <v>d03</v>
      </c>
      <c r="J16" s="35"/>
      <c r="M16" s="5" t="str">
        <f>dataNodes!B14</f>
        <v>Surface Water</v>
      </c>
      <c r="N16" s="3" t="str">
        <f>dataNodes!A14</f>
        <v>d13</v>
      </c>
    </row>
    <row r="17" spans="1:14" s="32" customFormat="1" x14ac:dyDescent="0.3">
      <c r="A17" s="30" t="s">
        <v>37</v>
      </c>
      <c r="B17" s="30" t="s">
        <v>476</v>
      </c>
      <c r="C17" s="30" t="s">
        <v>436</v>
      </c>
      <c r="D17" s="30" t="str">
        <f ca="1">VLOOKUP($D17,orgNodes!$A$2:$D$46,3,FALSE)</f>
        <v>Department of Agriculture and Food</v>
      </c>
      <c r="E17" s="31" t="s">
        <v>135</v>
      </c>
      <c r="F17" s="42" t="s">
        <v>564</v>
      </c>
      <c r="G17" s="41" t="s">
        <v>79</v>
      </c>
      <c r="H17" s="42" t="s">
        <v>77</v>
      </c>
      <c r="I17" s="32" t="str">
        <f t="shared" si="0"/>
        <v>d15</v>
      </c>
      <c r="J17" s="35"/>
      <c r="M17" s="5" t="str">
        <f>dataNodes!B15</f>
        <v>Hydropower</v>
      </c>
      <c r="N17" s="3" t="str">
        <f>dataNodes!A15</f>
        <v>d14</v>
      </c>
    </row>
    <row r="18" spans="1:14" s="32" customFormat="1" x14ac:dyDescent="0.3">
      <c r="A18" s="40" t="s">
        <v>38</v>
      </c>
      <c r="B18" s="30" t="s">
        <v>131</v>
      </c>
      <c r="C18" s="30" t="s">
        <v>116</v>
      </c>
      <c r="D18" s="32" t="s">
        <v>116</v>
      </c>
      <c r="E18" s="43" t="s">
        <v>134</v>
      </c>
      <c r="F18" s="42" t="s">
        <v>136</v>
      </c>
      <c r="G18" s="41" t="s">
        <v>70</v>
      </c>
      <c r="H18" s="42" t="s">
        <v>70</v>
      </c>
      <c r="I18" s="32" t="str">
        <f t="shared" si="0"/>
        <v>d03</v>
      </c>
      <c r="J18" s="35"/>
      <c r="M18" s="5" t="str">
        <f>dataNodes!B16</f>
        <v>Irrigation</v>
      </c>
      <c r="N18" s="3" t="str">
        <f>dataNodes!A16</f>
        <v>d15</v>
      </c>
    </row>
    <row r="19" spans="1:14" s="32" customFormat="1" x14ac:dyDescent="0.3">
      <c r="A19" s="32" t="s">
        <v>39</v>
      </c>
      <c r="B19" s="32" t="str">
        <f>platformNodes!B5</f>
        <v>Salinity Control Forum</v>
      </c>
      <c r="C19" s="32" t="str">
        <f>platformNodes!C5</f>
        <v>Conservation Division</v>
      </c>
      <c r="D19" s="32" t="s">
        <v>116</v>
      </c>
      <c r="E19" s="43" t="s">
        <v>118</v>
      </c>
      <c r="F19" s="33" t="s">
        <v>565</v>
      </c>
      <c r="G19" s="34" t="s">
        <v>68</v>
      </c>
      <c r="H19" s="33" t="s">
        <v>56</v>
      </c>
      <c r="I19" s="32" t="str">
        <f t="shared" si="0"/>
        <v>d01</v>
      </c>
      <c r="J19" s="35"/>
      <c r="M19" s="5" t="str">
        <f>dataNodes!B17</f>
        <v>Use</v>
      </c>
      <c r="N19" s="3" t="str">
        <f>dataNodes!A17</f>
        <v>d16</v>
      </c>
    </row>
    <row r="20" spans="1:14" s="32" customFormat="1" x14ac:dyDescent="0.3">
      <c r="A20" s="15" t="s">
        <v>40</v>
      </c>
      <c r="B20" s="15" t="s">
        <v>133</v>
      </c>
      <c r="C20" s="15" t="s">
        <v>183</v>
      </c>
      <c r="D20" s="32" t="s">
        <v>116</v>
      </c>
      <c r="E20" s="43" t="s">
        <v>118</v>
      </c>
      <c r="F20" s="33" t="s">
        <v>566</v>
      </c>
      <c r="G20" s="34" t="s">
        <v>70</v>
      </c>
      <c r="H20" s="33" t="s">
        <v>70</v>
      </c>
      <c r="I20" s="32" t="str">
        <f t="shared" si="0"/>
        <v>d03</v>
      </c>
      <c r="J20" s="35"/>
      <c r="M20" s="5" t="str">
        <f>dataNodes!B18</f>
        <v>Utilities</v>
      </c>
      <c r="N20" s="3" t="str">
        <f>dataNodes!A18</f>
        <v>d17</v>
      </c>
    </row>
    <row r="21" spans="1:14" s="32" customFormat="1" x14ac:dyDescent="0.3">
      <c r="A21" s="10" t="s">
        <v>41</v>
      </c>
      <c r="B21" s="15" t="s">
        <v>195</v>
      </c>
      <c r="C21" s="15" t="s">
        <v>183</v>
      </c>
      <c r="D21" s="32" t="s">
        <v>116</v>
      </c>
      <c r="E21" s="43" t="s">
        <v>196</v>
      </c>
      <c r="F21" s="42" t="s">
        <v>228</v>
      </c>
      <c r="G21" s="41" t="s">
        <v>70</v>
      </c>
      <c r="H21" s="42" t="s">
        <v>70</v>
      </c>
      <c r="I21" s="32" t="str">
        <f t="shared" si="0"/>
        <v>d03</v>
      </c>
      <c r="J21" s="35"/>
      <c r="M21" s="5" t="str">
        <f>dataNodes!B19</f>
        <v>Management Plans</v>
      </c>
      <c r="N21" s="3" t="str">
        <f>dataNodes!A19</f>
        <v>d18</v>
      </c>
    </row>
    <row r="22" spans="1:14" s="32" customFormat="1" x14ac:dyDescent="0.3">
      <c r="A22" s="15" t="s">
        <v>42</v>
      </c>
      <c r="B22" s="15" t="s">
        <v>139</v>
      </c>
      <c r="C22" s="15" t="s">
        <v>120</v>
      </c>
      <c r="D22" s="32" t="s">
        <v>119</v>
      </c>
      <c r="E22" s="25" t="s">
        <v>480</v>
      </c>
      <c r="F22" s="33" t="s">
        <v>567</v>
      </c>
      <c r="G22" s="34" t="s">
        <v>68</v>
      </c>
      <c r="H22" s="33" t="s">
        <v>56</v>
      </c>
      <c r="I22" s="32" t="str">
        <f t="shared" si="0"/>
        <v>d01</v>
      </c>
      <c r="J22" s="35"/>
      <c r="M22" s="5"/>
      <c r="N22" s="3"/>
    </row>
    <row r="23" spans="1:14" s="32" customFormat="1" x14ac:dyDescent="0.3">
      <c r="A23" s="15" t="s">
        <v>43</v>
      </c>
      <c r="B23" s="15" t="s">
        <v>526</v>
      </c>
      <c r="C23" s="15" t="s">
        <v>120</v>
      </c>
      <c r="D23" s="32" t="s">
        <v>119</v>
      </c>
      <c r="E23" s="44" t="s">
        <v>194</v>
      </c>
      <c r="F23" s="32" t="s">
        <v>568</v>
      </c>
      <c r="G23" s="32" t="s">
        <v>35</v>
      </c>
      <c r="H23" s="32" t="s">
        <v>77</v>
      </c>
      <c r="I23" s="32" t="str">
        <f t="shared" si="0"/>
        <v>d17</v>
      </c>
      <c r="J23" s="35"/>
    </row>
    <row r="24" spans="1:14" s="32" customFormat="1" x14ac:dyDescent="0.3">
      <c r="A24" s="10" t="s">
        <v>44</v>
      </c>
      <c r="B24" s="15" t="s">
        <v>482</v>
      </c>
      <c r="C24" s="15" t="s">
        <v>114</v>
      </c>
      <c r="D24" s="32" t="s">
        <v>114</v>
      </c>
      <c r="E24" s="43" t="s">
        <v>141</v>
      </c>
      <c r="F24" s="32" t="s">
        <v>569</v>
      </c>
      <c r="G24" s="32" t="s">
        <v>69</v>
      </c>
      <c r="H24" s="32" t="s">
        <v>56</v>
      </c>
      <c r="I24" s="32" t="str">
        <f t="shared" si="0"/>
        <v>d02</v>
      </c>
      <c r="J24" s="35"/>
    </row>
    <row r="25" spans="1:14" s="32" customFormat="1" x14ac:dyDescent="0.3">
      <c r="A25" s="10" t="s">
        <v>44</v>
      </c>
      <c r="B25" s="15" t="s">
        <v>482</v>
      </c>
      <c r="C25" s="15" t="s">
        <v>114</v>
      </c>
      <c r="D25" s="32" t="s">
        <v>114</v>
      </c>
      <c r="E25" s="43" t="s">
        <v>141</v>
      </c>
      <c r="F25" s="32" t="s">
        <v>570</v>
      </c>
      <c r="G25" s="32" t="s">
        <v>68</v>
      </c>
      <c r="H25" s="32" t="s">
        <v>56</v>
      </c>
      <c r="I25" s="32" t="str">
        <f t="shared" si="0"/>
        <v>d01</v>
      </c>
      <c r="J25" s="35"/>
    </row>
    <row r="26" spans="1:14" s="32" customFormat="1" x14ac:dyDescent="0.3">
      <c r="A26" s="10" t="s">
        <v>44</v>
      </c>
      <c r="B26" s="15" t="s">
        <v>482</v>
      </c>
      <c r="C26" s="15" t="s">
        <v>114</v>
      </c>
      <c r="D26" s="32" t="s">
        <v>114</v>
      </c>
      <c r="E26" s="43" t="s">
        <v>141</v>
      </c>
      <c r="F26" s="32" t="s">
        <v>572</v>
      </c>
      <c r="G26" s="32" t="s">
        <v>62</v>
      </c>
      <c r="H26" s="32" t="s">
        <v>70</v>
      </c>
      <c r="I26" s="32" t="str">
        <f t="shared" si="0"/>
        <v>d04</v>
      </c>
      <c r="J26" s="35"/>
    </row>
    <row r="27" spans="1:14" s="32" customFormat="1" x14ac:dyDescent="0.3">
      <c r="A27" s="10" t="s">
        <v>44</v>
      </c>
      <c r="B27" s="15" t="s">
        <v>482</v>
      </c>
      <c r="C27" s="15" t="s">
        <v>114</v>
      </c>
      <c r="D27" s="32" t="s">
        <v>114</v>
      </c>
      <c r="E27" s="43" t="s">
        <v>141</v>
      </c>
      <c r="F27" s="33" t="s">
        <v>555</v>
      </c>
      <c r="G27" s="34" t="s">
        <v>77</v>
      </c>
      <c r="H27" s="33" t="s">
        <v>77</v>
      </c>
      <c r="I27" s="32" t="str">
        <f t="shared" si="0"/>
        <v>d16</v>
      </c>
      <c r="J27" s="35"/>
    </row>
    <row r="28" spans="1:14" s="32" customFormat="1" x14ac:dyDescent="0.3">
      <c r="A28" s="10" t="s">
        <v>44</v>
      </c>
      <c r="B28" s="15" t="s">
        <v>482</v>
      </c>
      <c r="C28" s="15" t="s">
        <v>114</v>
      </c>
      <c r="D28" s="32" t="s">
        <v>114</v>
      </c>
      <c r="E28" s="43" t="s">
        <v>141</v>
      </c>
      <c r="F28" s="33" t="s">
        <v>571</v>
      </c>
      <c r="G28" s="34" t="s">
        <v>70</v>
      </c>
      <c r="H28" s="33" t="s">
        <v>70</v>
      </c>
      <c r="I28" s="32" t="str">
        <f t="shared" si="0"/>
        <v>d03</v>
      </c>
      <c r="J28" s="35"/>
    </row>
    <row r="29" spans="1:14" s="32" customFormat="1" x14ac:dyDescent="0.3">
      <c r="A29" s="10" t="s">
        <v>44</v>
      </c>
      <c r="B29" s="15" t="s">
        <v>482</v>
      </c>
      <c r="C29" s="15" t="s">
        <v>114</v>
      </c>
      <c r="D29" s="32" t="s">
        <v>114</v>
      </c>
      <c r="E29" s="43" t="s">
        <v>141</v>
      </c>
      <c r="F29" s="33" t="s">
        <v>573</v>
      </c>
      <c r="G29" s="34" t="s">
        <v>2</v>
      </c>
      <c r="H29" s="33" t="s">
        <v>72</v>
      </c>
      <c r="I29" s="32" t="str">
        <f t="shared" si="0"/>
        <v>d08</v>
      </c>
      <c r="J29" s="35"/>
    </row>
    <row r="30" spans="1:14" s="32" customFormat="1" x14ac:dyDescent="0.3">
      <c r="A30" s="10" t="s">
        <v>44</v>
      </c>
      <c r="B30" s="15" t="s">
        <v>482</v>
      </c>
      <c r="C30" s="15" t="s">
        <v>114</v>
      </c>
      <c r="D30" s="32" t="s">
        <v>114</v>
      </c>
      <c r="E30" s="43" t="s">
        <v>141</v>
      </c>
      <c r="F30" s="33" t="s">
        <v>193</v>
      </c>
      <c r="G30" s="34" t="s">
        <v>35</v>
      </c>
      <c r="H30" s="33" t="s">
        <v>77</v>
      </c>
      <c r="I30" s="32" t="str">
        <f t="shared" si="0"/>
        <v>d17</v>
      </c>
      <c r="J30" s="35"/>
    </row>
    <row r="31" spans="1:14" s="32" customFormat="1" x14ac:dyDescent="0.3">
      <c r="A31" s="10" t="s">
        <v>44</v>
      </c>
      <c r="B31" s="15" t="s">
        <v>482</v>
      </c>
      <c r="C31" s="15" t="s">
        <v>114</v>
      </c>
      <c r="D31" s="32" t="s">
        <v>114</v>
      </c>
      <c r="E31" s="43" t="s">
        <v>141</v>
      </c>
      <c r="F31" s="33" t="s">
        <v>574</v>
      </c>
      <c r="G31" s="34" t="s">
        <v>79</v>
      </c>
      <c r="H31" s="33" t="s">
        <v>77</v>
      </c>
      <c r="I31" s="32" t="str">
        <f t="shared" si="0"/>
        <v>d15</v>
      </c>
      <c r="J31" s="35"/>
    </row>
    <row r="32" spans="1:14" s="32" customFormat="1" x14ac:dyDescent="0.3">
      <c r="A32" s="15" t="s">
        <v>45</v>
      </c>
      <c r="B32" s="15" t="s">
        <v>205</v>
      </c>
      <c r="C32" s="15" t="s">
        <v>114</v>
      </c>
      <c r="D32" s="32" t="s">
        <v>114</v>
      </c>
      <c r="E32" s="43" t="s">
        <v>202</v>
      </c>
      <c r="F32" s="42" t="s">
        <v>216</v>
      </c>
      <c r="G32" s="41" t="s">
        <v>62</v>
      </c>
      <c r="H32" s="42" t="s">
        <v>70</v>
      </c>
      <c r="I32" s="32" t="str">
        <f t="shared" si="0"/>
        <v>d04</v>
      </c>
      <c r="J32" s="35"/>
    </row>
    <row r="33" spans="1:10" s="32" customFormat="1" x14ac:dyDescent="0.3">
      <c r="A33" s="15" t="s">
        <v>46</v>
      </c>
      <c r="B33" s="15" t="s">
        <v>142</v>
      </c>
      <c r="C33" s="15" t="s">
        <v>126</v>
      </c>
      <c r="D33" s="32" t="s">
        <v>114</v>
      </c>
      <c r="E33" s="43" t="s">
        <v>143</v>
      </c>
      <c r="F33" s="33" t="s">
        <v>575</v>
      </c>
      <c r="G33" s="34" t="s">
        <v>62</v>
      </c>
      <c r="H33" s="33" t="s">
        <v>70</v>
      </c>
      <c r="I33" s="32" t="str">
        <f t="shared" si="0"/>
        <v>d04</v>
      </c>
      <c r="J33" s="35"/>
    </row>
    <row r="34" spans="1:10" s="32" customFormat="1" x14ac:dyDescent="0.3">
      <c r="A34" s="15" t="s">
        <v>46</v>
      </c>
      <c r="B34" s="15" t="s">
        <v>142</v>
      </c>
      <c r="C34" s="15" t="s">
        <v>126</v>
      </c>
      <c r="D34" s="32" t="s">
        <v>114</v>
      </c>
      <c r="E34" s="43" t="s">
        <v>143</v>
      </c>
      <c r="F34" s="33" t="s">
        <v>576</v>
      </c>
      <c r="G34" s="34" t="s">
        <v>35</v>
      </c>
      <c r="H34" s="33" t="s">
        <v>77</v>
      </c>
      <c r="I34" s="32" t="str">
        <f t="shared" si="0"/>
        <v>d17</v>
      </c>
      <c r="J34" s="35"/>
    </row>
    <row r="35" spans="1:10" s="32" customFormat="1" x14ac:dyDescent="0.3">
      <c r="A35" s="15" t="s">
        <v>46</v>
      </c>
      <c r="B35" s="15" t="s">
        <v>142</v>
      </c>
      <c r="C35" s="15" t="s">
        <v>126</v>
      </c>
      <c r="D35" s="32" t="s">
        <v>114</v>
      </c>
      <c r="E35" s="43" t="s">
        <v>143</v>
      </c>
      <c r="F35" s="33" t="s">
        <v>70</v>
      </c>
      <c r="G35" s="34" t="s">
        <v>62</v>
      </c>
      <c r="H35" s="33" t="s">
        <v>70</v>
      </c>
      <c r="I35" s="32" t="str">
        <f t="shared" si="0"/>
        <v>d04</v>
      </c>
      <c r="J35" s="35"/>
    </row>
    <row r="36" spans="1:10" s="32" customFormat="1" x14ac:dyDescent="0.3">
      <c r="A36" s="15" t="s">
        <v>157</v>
      </c>
      <c r="B36" s="15" t="s">
        <v>189</v>
      </c>
      <c r="C36" s="15" t="s">
        <v>128</v>
      </c>
      <c r="D36" s="32" t="s">
        <v>114</v>
      </c>
      <c r="E36" s="25" t="s">
        <v>484</v>
      </c>
      <c r="F36" s="33" t="s">
        <v>577</v>
      </c>
      <c r="G36" s="34" t="s">
        <v>70</v>
      </c>
      <c r="H36" s="33" t="s">
        <v>70</v>
      </c>
      <c r="I36" s="32" t="str">
        <f t="shared" si="0"/>
        <v>d03</v>
      </c>
      <c r="J36" s="35"/>
    </row>
    <row r="37" spans="1:10" s="32" customFormat="1" x14ac:dyDescent="0.3">
      <c r="A37" s="10" t="s">
        <v>207</v>
      </c>
      <c r="B37" s="15" t="s">
        <v>410</v>
      </c>
      <c r="C37" s="15" t="s">
        <v>128</v>
      </c>
      <c r="D37" s="32" t="s">
        <v>114</v>
      </c>
      <c r="E37" s="25" t="s">
        <v>411</v>
      </c>
      <c r="F37" s="33" t="s">
        <v>578</v>
      </c>
      <c r="G37" s="34" t="s">
        <v>62</v>
      </c>
      <c r="H37" s="33" t="s">
        <v>70</v>
      </c>
      <c r="I37" s="32" t="str">
        <f t="shared" si="0"/>
        <v>d04</v>
      </c>
      <c r="J37" s="35"/>
    </row>
    <row r="38" spans="1:10" s="32" customFormat="1" x14ac:dyDescent="0.3">
      <c r="A38" s="15" t="s">
        <v>208</v>
      </c>
      <c r="B38" s="15" t="s">
        <v>413</v>
      </c>
      <c r="C38" s="15" t="s">
        <v>128</v>
      </c>
      <c r="D38" s="32" t="s">
        <v>114</v>
      </c>
      <c r="E38" s="25" t="s">
        <v>414</v>
      </c>
      <c r="F38" s="33" t="s">
        <v>578</v>
      </c>
      <c r="G38" s="34" t="s">
        <v>62</v>
      </c>
      <c r="H38" s="33" t="s">
        <v>70</v>
      </c>
      <c r="I38" s="32" t="str">
        <f t="shared" si="0"/>
        <v>d04</v>
      </c>
      <c r="J38" s="35"/>
    </row>
    <row r="39" spans="1:10" s="11" customFormat="1" x14ac:dyDescent="0.3">
      <c r="A39" s="15" t="s">
        <v>209</v>
      </c>
      <c r="B39" s="15" t="s">
        <v>148</v>
      </c>
      <c r="C39" s="15" t="s">
        <v>128</v>
      </c>
      <c r="D39" s="32" t="s">
        <v>114</v>
      </c>
      <c r="E39" s="12" t="s">
        <v>146</v>
      </c>
      <c r="F39" s="33" t="s">
        <v>579</v>
      </c>
      <c r="G39" s="34" t="s">
        <v>62</v>
      </c>
      <c r="H39" s="33" t="s">
        <v>70</v>
      </c>
      <c r="I39" s="32" t="str">
        <f t="shared" si="0"/>
        <v>d04</v>
      </c>
      <c r="J39" s="37"/>
    </row>
    <row r="40" spans="1:10" x14ac:dyDescent="0.3">
      <c r="A40" s="15" t="s">
        <v>209</v>
      </c>
      <c r="B40" s="15" t="s">
        <v>148</v>
      </c>
      <c r="C40" s="15" t="s">
        <v>128</v>
      </c>
      <c r="D40" s="32" t="s">
        <v>114</v>
      </c>
      <c r="E40" s="12" t="s">
        <v>146</v>
      </c>
      <c r="F40" s="42" t="s">
        <v>580</v>
      </c>
      <c r="G40" s="32" t="s">
        <v>77</v>
      </c>
      <c r="H40" s="32" t="s">
        <v>77</v>
      </c>
      <c r="I40" s="32" t="str">
        <f t="shared" si="0"/>
        <v>d16</v>
      </c>
    </row>
    <row r="41" spans="1:10" s="11" customFormat="1" x14ac:dyDescent="0.3">
      <c r="A41" s="15" t="s">
        <v>209</v>
      </c>
      <c r="B41" s="15" t="s">
        <v>148</v>
      </c>
      <c r="C41" s="15" t="s">
        <v>128</v>
      </c>
      <c r="D41" s="32" t="s">
        <v>114</v>
      </c>
      <c r="E41" s="12" t="s">
        <v>146</v>
      </c>
      <c r="F41" s="11" t="s">
        <v>581</v>
      </c>
      <c r="G41" s="11" t="s">
        <v>70</v>
      </c>
      <c r="H41" s="11" t="s">
        <v>70</v>
      </c>
      <c r="I41" s="32" t="str">
        <f t="shared" si="0"/>
        <v>d03</v>
      </c>
      <c r="J41" s="32"/>
    </row>
    <row r="42" spans="1:10" s="11" customFormat="1" x14ac:dyDescent="0.3">
      <c r="A42" s="10" t="s">
        <v>210</v>
      </c>
      <c r="B42" s="15" t="s">
        <v>149</v>
      </c>
      <c r="C42" s="15" t="s">
        <v>128</v>
      </c>
      <c r="D42" s="32" t="s">
        <v>114</v>
      </c>
      <c r="E42" s="26" t="s">
        <v>150</v>
      </c>
      <c r="F42" s="11" t="s">
        <v>582</v>
      </c>
      <c r="G42" s="11" t="s">
        <v>62</v>
      </c>
      <c r="H42" s="11" t="s">
        <v>70</v>
      </c>
      <c r="I42" s="32" t="str">
        <f t="shared" si="0"/>
        <v>d04</v>
      </c>
      <c r="J42" s="32"/>
    </row>
    <row r="43" spans="1:10" x14ac:dyDescent="0.3">
      <c r="A43" s="10" t="s">
        <v>210</v>
      </c>
      <c r="B43" s="15" t="s">
        <v>149</v>
      </c>
      <c r="C43" s="15" t="s">
        <v>128</v>
      </c>
      <c r="D43" s="32" t="s">
        <v>114</v>
      </c>
      <c r="E43" s="26" t="s">
        <v>150</v>
      </c>
      <c r="F43" s="11" t="s">
        <v>582</v>
      </c>
      <c r="G43" s="41" t="s">
        <v>70</v>
      </c>
      <c r="H43" s="42" t="s">
        <v>70</v>
      </c>
      <c r="I43" s="32" t="str">
        <f t="shared" si="0"/>
        <v>d03</v>
      </c>
    </row>
    <row r="44" spans="1:10" x14ac:dyDescent="0.3">
      <c r="A44" s="15" t="s">
        <v>211</v>
      </c>
      <c r="B44" s="15" t="s">
        <v>420</v>
      </c>
      <c r="C44" s="15" t="s">
        <v>128</v>
      </c>
      <c r="D44" s="32" t="s">
        <v>114</v>
      </c>
      <c r="E44" s="25" t="s">
        <v>421</v>
      </c>
      <c r="F44" s="42" t="s">
        <v>583</v>
      </c>
      <c r="G44" s="41" t="s">
        <v>70</v>
      </c>
      <c r="H44" s="42" t="s">
        <v>70</v>
      </c>
      <c r="I44" s="32" t="str">
        <f t="shared" si="0"/>
        <v>d03</v>
      </c>
    </row>
    <row r="45" spans="1:10" x14ac:dyDescent="0.3">
      <c r="A45" s="15" t="s">
        <v>212</v>
      </c>
      <c r="B45" s="15" t="s">
        <v>423</v>
      </c>
      <c r="C45" s="15" t="s">
        <v>128</v>
      </c>
      <c r="D45" s="32" t="s">
        <v>114</v>
      </c>
      <c r="E45" s="25" t="s">
        <v>424</v>
      </c>
      <c r="F45" s="42" t="s">
        <v>584</v>
      </c>
      <c r="G45" s="41" t="s">
        <v>70</v>
      </c>
      <c r="H45" s="42" t="s">
        <v>70</v>
      </c>
      <c r="I45" s="32" t="str">
        <f t="shared" si="0"/>
        <v>d03</v>
      </c>
    </row>
    <row r="46" spans="1:10" x14ac:dyDescent="0.3">
      <c r="A46" s="10" t="s">
        <v>213</v>
      </c>
      <c r="B46" s="15" t="s">
        <v>195</v>
      </c>
      <c r="C46" s="15" t="s">
        <v>128</v>
      </c>
      <c r="D46" s="32" t="s">
        <v>114</v>
      </c>
      <c r="E46" s="25" t="s">
        <v>427</v>
      </c>
      <c r="F46" s="42" t="s">
        <v>228</v>
      </c>
      <c r="G46" s="41" t="s">
        <v>70</v>
      </c>
      <c r="H46" s="42" t="s">
        <v>70</v>
      </c>
      <c r="I46" s="32" t="str">
        <f t="shared" si="0"/>
        <v>d03</v>
      </c>
    </row>
    <row r="47" spans="1:10" x14ac:dyDescent="0.3">
      <c r="A47" s="15" t="s">
        <v>214</v>
      </c>
      <c r="B47" s="15" t="s">
        <v>426</v>
      </c>
      <c r="C47" s="15" t="s">
        <v>128</v>
      </c>
      <c r="D47" s="32" t="s">
        <v>114</v>
      </c>
      <c r="E47" s="25" t="s">
        <v>425</v>
      </c>
      <c r="F47" s="42" t="s">
        <v>585</v>
      </c>
      <c r="G47" s="41" t="s">
        <v>70</v>
      </c>
      <c r="H47" s="42" t="s">
        <v>70</v>
      </c>
      <c r="I47" s="32" t="str">
        <f t="shared" si="0"/>
        <v>d03</v>
      </c>
    </row>
    <row r="48" spans="1:10" x14ac:dyDescent="0.3">
      <c r="A48" s="15" t="s">
        <v>215</v>
      </c>
      <c r="B48" s="15" t="s">
        <v>200</v>
      </c>
      <c r="C48" s="15" t="s">
        <v>198</v>
      </c>
      <c r="D48" s="32" t="s">
        <v>114</v>
      </c>
      <c r="E48" s="25" t="s">
        <v>201</v>
      </c>
      <c r="F48" s="42" t="s">
        <v>217</v>
      </c>
      <c r="G48" s="41" t="s">
        <v>62</v>
      </c>
      <c r="H48" s="42" t="s">
        <v>70</v>
      </c>
      <c r="I48" s="32" t="str">
        <f t="shared" si="0"/>
        <v>d04</v>
      </c>
    </row>
    <row r="49" spans="1:10" x14ac:dyDescent="0.3">
      <c r="A49" s="15" t="s">
        <v>159</v>
      </c>
      <c r="B49" s="15" t="s">
        <v>193</v>
      </c>
      <c r="C49" s="15" t="s">
        <v>158</v>
      </c>
      <c r="D49" s="32" t="s">
        <v>152</v>
      </c>
      <c r="E49" s="26" t="s">
        <v>191</v>
      </c>
      <c r="F49" s="42" t="s">
        <v>586</v>
      </c>
      <c r="G49" s="41" t="s">
        <v>35</v>
      </c>
      <c r="H49" s="42" t="s">
        <v>77</v>
      </c>
      <c r="I49" s="32" t="str">
        <f t="shared" si="0"/>
        <v>d17</v>
      </c>
    </row>
    <row r="50" spans="1:10" x14ac:dyDescent="0.3">
      <c r="A50" s="15" t="s">
        <v>159</v>
      </c>
      <c r="B50" s="15" t="s">
        <v>193</v>
      </c>
      <c r="C50" s="15" t="s">
        <v>158</v>
      </c>
      <c r="D50" s="32" t="s">
        <v>152</v>
      </c>
      <c r="E50" s="26" t="s">
        <v>191</v>
      </c>
      <c r="F50" s="42" t="s">
        <v>586</v>
      </c>
      <c r="G50" s="41" t="s">
        <v>62</v>
      </c>
      <c r="H50" s="42" t="s">
        <v>70</v>
      </c>
      <c r="I50" s="32" t="str">
        <f t="shared" si="0"/>
        <v>d04</v>
      </c>
    </row>
    <row r="51" spans="1:10" x14ac:dyDescent="0.3">
      <c r="A51" s="10" t="s">
        <v>160</v>
      </c>
      <c r="B51" s="15" t="s">
        <v>161</v>
      </c>
      <c r="C51" s="15" t="s">
        <v>158</v>
      </c>
      <c r="D51" s="32" t="s">
        <v>152</v>
      </c>
      <c r="E51" s="32" t="s">
        <v>162</v>
      </c>
      <c r="F51" s="42" t="s">
        <v>163</v>
      </c>
      <c r="G51" s="41" t="s">
        <v>73</v>
      </c>
      <c r="H51" s="42" t="s">
        <v>72</v>
      </c>
      <c r="I51" s="32" t="str">
        <f t="shared" si="0"/>
        <v>d06</v>
      </c>
    </row>
    <row r="52" spans="1:10" x14ac:dyDescent="0.3">
      <c r="A52" s="15" t="s">
        <v>169</v>
      </c>
      <c r="B52" s="15" t="s">
        <v>487</v>
      </c>
      <c r="C52" s="15" t="s">
        <v>166</v>
      </c>
      <c r="D52" s="32" t="s">
        <v>164</v>
      </c>
      <c r="E52" s="26" t="s">
        <v>172</v>
      </c>
      <c r="F52" s="42" t="s">
        <v>587</v>
      </c>
      <c r="G52" s="41" t="s">
        <v>80</v>
      </c>
      <c r="H52" s="42" t="s">
        <v>77</v>
      </c>
      <c r="I52" s="32" t="str">
        <f t="shared" si="0"/>
        <v>d18</v>
      </c>
    </row>
    <row r="53" spans="1:10" s="11" customFormat="1" x14ac:dyDescent="0.3">
      <c r="A53" s="15" t="s">
        <v>169</v>
      </c>
      <c r="B53" s="15" t="s">
        <v>487</v>
      </c>
      <c r="C53" s="15" t="s">
        <v>166</v>
      </c>
      <c r="D53" s="32" t="s">
        <v>164</v>
      </c>
      <c r="E53" s="26" t="s">
        <v>172</v>
      </c>
      <c r="F53" s="11" t="s">
        <v>588</v>
      </c>
      <c r="G53" s="41" t="s">
        <v>77</v>
      </c>
      <c r="H53" s="42" t="s">
        <v>77</v>
      </c>
      <c r="I53" s="32" t="str">
        <f t="shared" si="0"/>
        <v>d16</v>
      </c>
      <c r="J53" s="32"/>
    </row>
    <row r="54" spans="1:10" x14ac:dyDescent="0.3">
      <c r="A54" s="15" t="s">
        <v>169</v>
      </c>
      <c r="B54" s="15" t="s">
        <v>487</v>
      </c>
      <c r="C54" s="15" t="s">
        <v>166</v>
      </c>
      <c r="D54" s="32" t="s">
        <v>164</v>
      </c>
      <c r="E54" s="26" t="s">
        <v>172</v>
      </c>
      <c r="F54" s="11" t="s">
        <v>592</v>
      </c>
      <c r="G54" s="41" t="s">
        <v>35</v>
      </c>
      <c r="H54" s="42" t="s">
        <v>77</v>
      </c>
      <c r="I54" s="32" t="str">
        <f t="shared" si="0"/>
        <v>d17</v>
      </c>
    </row>
    <row r="55" spans="1:10" x14ac:dyDescent="0.3">
      <c r="A55" s="15" t="s">
        <v>169</v>
      </c>
      <c r="B55" s="15" t="s">
        <v>487</v>
      </c>
      <c r="C55" s="15" t="s">
        <v>166</v>
      </c>
      <c r="D55" s="32" t="s">
        <v>164</v>
      </c>
      <c r="E55" s="26" t="s">
        <v>172</v>
      </c>
      <c r="F55" s="42" t="s">
        <v>589</v>
      </c>
      <c r="G55" s="41" t="s">
        <v>79</v>
      </c>
      <c r="H55" s="42" t="s">
        <v>77</v>
      </c>
      <c r="I55" s="32" t="str">
        <f t="shared" si="0"/>
        <v>d15</v>
      </c>
    </row>
    <row r="56" spans="1:10" x14ac:dyDescent="0.3">
      <c r="A56" s="15" t="s">
        <v>169</v>
      </c>
      <c r="B56" s="15" t="s">
        <v>487</v>
      </c>
      <c r="C56" s="15" t="s">
        <v>166</v>
      </c>
      <c r="D56" s="32" t="s">
        <v>164</v>
      </c>
      <c r="E56" s="26" t="s">
        <v>172</v>
      </c>
      <c r="F56" s="42" t="s">
        <v>591</v>
      </c>
      <c r="G56" s="41" t="s">
        <v>68</v>
      </c>
      <c r="H56" s="42" t="s">
        <v>56</v>
      </c>
      <c r="I56" s="32" t="str">
        <f t="shared" si="0"/>
        <v>d01</v>
      </c>
    </row>
    <row r="57" spans="1:10" x14ac:dyDescent="0.3">
      <c r="A57" s="15" t="s">
        <v>169</v>
      </c>
      <c r="B57" s="15" t="s">
        <v>487</v>
      </c>
      <c r="C57" s="15" t="s">
        <v>166</v>
      </c>
      <c r="D57" s="32" t="s">
        <v>164</v>
      </c>
      <c r="E57" s="26" t="s">
        <v>172</v>
      </c>
      <c r="F57" s="42" t="s">
        <v>563</v>
      </c>
      <c r="G57" s="41" t="s">
        <v>69</v>
      </c>
      <c r="H57" s="42" t="s">
        <v>56</v>
      </c>
      <c r="I57" s="32" t="str">
        <f t="shared" si="0"/>
        <v>d02</v>
      </c>
    </row>
    <row r="58" spans="1:10" x14ac:dyDescent="0.3">
      <c r="A58" s="15" t="s">
        <v>170</v>
      </c>
      <c r="B58" s="15" t="s">
        <v>177</v>
      </c>
      <c r="C58" s="15" t="s">
        <v>166</v>
      </c>
      <c r="D58" s="32" t="s">
        <v>164</v>
      </c>
      <c r="E58" s="32" t="s">
        <v>174</v>
      </c>
      <c r="F58" s="42" t="s">
        <v>593</v>
      </c>
      <c r="G58" s="41" t="s">
        <v>60</v>
      </c>
      <c r="H58" s="42" t="s">
        <v>72</v>
      </c>
      <c r="I58" s="32" t="str">
        <f t="shared" si="0"/>
        <v>d10</v>
      </c>
    </row>
    <row r="59" spans="1:10" x14ac:dyDescent="0.3">
      <c r="A59" s="10" t="s">
        <v>171</v>
      </c>
      <c r="B59" s="15" t="s">
        <v>176</v>
      </c>
      <c r="C59" s="15" t="s">
        <v>166</v>
      </c>
      <c r="D59" s="32" t="s">
        <v>164</v>
      </c>
      <c r="E59" s="32" t="s">
        <v>178</v>
      </c>
      <c r="F59" s="42" t="s">
        <v>179</v>
      </c>
      <c r="G59" s="41" t="s">
        <v>12</v>
      </c>
      <c r="H59" s="42" t="s">
        <v>72</v>
      </c>
      <c r="I59" s="32" t="str">
        <f t="shared" si="0"/>
        <v>d11</v>
      </c>
    </row>
    <row r="60" spans="1:10" x14ac:dyDescent="0.3">
      <c r="A60" s="15" t="s">
        <v>173</v>
      </c>
      <c r="B60" s="15" t="s">
        <v>431</v>
      </c>
      <c r="C60" s="15" t="s">
        <v>166</v>
      </c>
      <c r="D60" s="32" t="s">
        <v>164</v>
      </c>
      <c r="E60" s="26" t="s">
        <v>432</v>
      </c>
      <c r="F60" s="42" t="s">
        <v>80</v>
      </c>
      <c r="G60" s="41" t="s">
        <v>80</v>
      </c>
      <c r="H60" s="42" t="s">
        <v>77</v>
      </c>
      <c r="I60" s="32" t="str">
        <f t="shared" si="0"/>
        <v>d18</v>
      </c>
    </row>
    <row r="61" spans="1:10" x14ac:dyDescent="0.3">
      <c r="A61" s="15" t="s">
        <v>175</v>
      </c>
      <c r="B61" s="15" t="s">
        <v>478</v>
      </c>
      <c r="C61" s="15" t="s">
        <v>166</v>
      </c>
      <c r="D61" s="32" t="s">
        <v>164</v>
      </c>
      <c r="E61" s="27" t="s">
        <v>479</v>
      </c>
      <c r="F61" s="42" t="s">
        <v>80</v>
      </c>
      <c r="G61" s="41" t="s">
        <v>80</v>
      </c>
      <c r="H61" s="42" t="s">
        <v>77</v>
      </c>
      <c r="I61" s="32" t="str">
        <f t="shared" si="0"/>
        <v>d18</v>
      </c>
    </row>
    <row r="62" spans="1:10" x14ac:dyDescent="0.3">
      <c r="A62" s="10" t="s">
        <v>180</v>
      </c>
      <c r="B62" s="15" t="s">
        <v>204</v>
      </c>
      <c r="C62" s="15" t="s">
        <v>166</v>
      </c>
      <c r="D62" s="32" t="s">
        <v>164</v>
      </c>
      <c r="E62" s="43" t="s">
        <v>206</v>
      </c>
      <c r="F62" s="42" t="s">
        <v>218</v>
      </c>
      <c r="G62" s="41" t="s">
        <v>73</v>
      </c>
      <c r="H62" s="42" t="s">
        <v>72</v>
      </c>
      <c r="I62" s="32" t="str">
        <f t="shared" si="0"/>
        <v>d06</v>
      </c>
    </row>
    <row r="63" spans="1:10" x14ac:dyDescent="0.3">
      <c r="A63" s="15" t="s">
        <v>203</v>
      </c>
      <c r="B63" s="15" t="s">
        <v>443</v>
      </c>
      <c r="C63" s="15" t="s">
        <v>166</v>
      </c>
      <c r="D63" s="32" t="s">
        <v>164</v>
      </c>
      <c r="E63" s="25" t="s">
        <v>444</v>
      </c>
      <c r="F63" s="42" t="s">
        <v>594</v>
      </c>
      <c r="G63" s="41" t="s">
        <v>35</v>
      </c>
      <c r="H63" s="42" t="s">
        <v>77</v>
      </c>
      <c r="I63" s="32" t="str">
        <f t="shared" si="0"/>
        <v>d17</v>
      </c>
    </row>
    <row r="64" spans="1:10" s="11" customFormat="1" x14ac:dyDescent="0.3">
      <c r="A64" s="15" t="s">
        <v>203</v>
      </c>
      <c r="B64" s="15" t="s">
        <v>443</v>
      </c>
      <c r="C64" s="15" t="s">
        <v>166</v>
      </c>
      <c r="D64" s="32" t="s">
        <v>164</v>
      </c>
      <c r="E64" s="25" t="s">
        <v>444</v>
      </c>
      <c r="F64" s="42" t="s">
        <v>313</v>
      </c>
      <c r="G64" s="41" t="s">
        <v>11</v>
      </c>
      <c r="H64" s="42" t="s">
        <v>72</v>
      </c>
      <c r="I64" s="32" t="str">
        <f t="shared" si="0"/>
        <v>d13</v>
      </c>
      <c r="J64" s="32"/>
    </row>
    <row r="65" spans="1:10" x14ac:dyDescent="0.3">
      <c r="A65" s="15" t="s">
        <v>203</v>
      </c>
      <c r="B65" s="15" t="s">
        <v>443</v>
      </c>
      <c r="C65" s="15" t="s">
        <v>166</v>
      </c>
      <c r="D65" s="32" t="s">
        <v>164</v>
      </c>
      <c r="E65" s="25" t="s">
        <v>444</v>
      </c>
      <c r="F65" s="1" t="s">
        <v>2</v>
      </c>
      <c r="G65" s="1" t="s">
        <v>2</v>
      </c>
      <c r="H65" s="1" t="s">
        <v>72</v>
      </c>
      <c r="I65" s="32" t="str">
        <f t="shared" si="0"/>
        <v>d08</v>
      </c>
    </row>
    <row r="66" spans="1:10" x14ac:dyDescent="0.3">
      <c r="A66" s="15" t="s">
        <v>203</v>
      </c>
      <c r="B66" s="15" t="s">
        <v>443</v>
      </c>
      <c r="C66" s="15" t="s">
        <v>166</v>
      </c>
      <c r="D66" s="32" t="s">
        <v>164</v>
      </c>
      <c r="E66" s="25" t="s">
        <v>444</v>
      </c>
      <c r="F66" s="42" t="s">
        <v>49</v>
      </c>
      <c r="G66" s="41" t="s">
        <v>49</v>
      </c>
      <c r="H66" s="11" t="s">
        <v>72</v>
      </c>
      <c r="I66" s="32" t="str">
        <f t="shared" si="0"/>
        <v>d05</v>
      </c>
    </row>
    <row r="67" spans="1:10" x14ac:dyDescent="0.3">
      <c r="A67" s="15" t="s">
        <v>203</v>
      </c>
      <c r="B67" s="15" t="s">
        <v>443</v>
      </c>
      <c r="C67" s="15" t="s">
        <v>166</v>
      </c>
      <c r="D67" s="32" t="s">
        <v>164</v>
      </c>
      <c r="E67" s="25" t="s">
        <v>444</v>
      </c>
      <c r="F67" s="42" t="s">
        <v>595</v>
      </c>
      <c r="G67" s="41" t="s">
        <v>74</v>
      </c>
      <c r="H67" s="42" t="s">
        <v>72</v>
      </c>
      <c r="I67" s="32" t="str">
        <f t="shared" ref="I67:I86" si="1">VLOOKUP(G67,$M$4:$N$21,2,FALSE)</f>
        <v>d07</v>
      </c>
    </row>
    <row r="68" spans="1:10" x14ac:dyDescent="0.3">
      <c r="A68" s="15" t="s">
        <v>203</v>
      </c>
      <c r="B68" s="15" t="s">
        <v>443</v>
      </c>
      <c r="C68" s="15" t="s">
        <v>166</v>
      </c>
      <c r="D68" s="32" t="s">
        <v>164</v>
      </c>
      <c r="E68" s="25" t="s">
        <v>444</v>
      </c>
      <c r="F68" s="42" t="s">
        <v>596</v>
      </c>
      <c r="G68" s="41" t="s">
        <v>58</v>
      </c>
      <c r="H68" s="42" t="s">
        <v>72</v>
      </c>
      <c r="I68" s="32" t="str">
        <f t="shared" si="1"/>
        <v>d09</v>
      </c>
    </row>
    <row r="69" spans="1:10" x14ac:dyDescent="0.3">
      <c r="A69" s="15" t="s">
        <v>203</v>
      </c>
      <c r="B69" s="15" t="s">
        <v>443</v>
      </c>
      <c r="C69" s="15" t="s">
        <v>166</v>
      </c>
      <c r="D69" s="32" t="s">
        <v>164</v>
      </c>
      <c r="E69" s="25" t="s">
        <v>444</v>
      </c>
      <c r="F69" s="42" t="s">
        <v>60</v>
      </c>
      <c r="G69" s="41" t="s">
        <v>60</v>
      </c>
      <c r="H69" s="42" t="s">
        <v>72</v>
      </c>
      <c r="I69" s="32" t="str">
        <f t="shared" si="1"/>
        <v>d10</v>
      </c>
    </row>
    <row r="70" spans="1:10" s="11" customFormat="1" x14ac:dyDescent="0.3">
      <c r="A70" s="15" t="s">
        <v>227</v>
      </c>
      <c r="B70" s="15" t="s">
        <v>231</v>
      </c>
      <c r="C70" s="15" t="s">
        <v>229</v>
      </c>
      <c r="D70" s="32" t="s">
        <v>164</v>
      </c>
      <c r="E70" s="25" t="s">
        <v>230</v>
      </c>
      <c r="F70" s="42" t="s">
        <v>232</v>
      </c>
      <c r="G70" s="41" t="s">
        <v>49</v>
      </c>
      <c r="H70" s="42" t="s">
        <v>72</v>
      </c>
      <c r="I70" s="32" t="str">
        <f t="shared" si="1"/>
        <v>d05</v>
      </c>
      <c r="J70" s="32"/>
    </row>
    <row r="71" spans="1:10" s="11" customFormat="1" x14ac:dyDescent="0.3">
      <c r="A71" s="15" t="s">
        <v>227</v>
      </c>
      <c r="B71" s="15" t="s">
        <v>231</v>
      </c>
      <c r="C71" s="15" t="s">
        <v>229</v>
      </c>
      <c r="D71" s="32" t="s">
        <v>164</v>
      </c>
      <c r="E71" s="25" t="s">
        <v>230</v>
      </c>
      <c r="F71" s="42" t="s">
        <v>233</v>
      </c>
      <c r="G71" s="41" t="s">
        <v>60</v>
      </c>
      <c r="H71" s="42" t="s">
        <v>72</v>
      </c>
      <c r="I71" s="32" t="str">
        <f t="shared" si="1"/>
        <v>d10</v>
      </c>
      <c r="J71" s="32"/>
    </row>
    <row r="72" spans="1:10" s="11" customFormat="1" x14ac:dyDescent="0.3">
      <c r="A72" s="15" t="s">
        <v>227</v>
      </c>
      <c r="B72" s="15" t="s">
        <v>231</v>
      </c>
      <c r="C72" s="15" t="s">
        <v>229</v>
      </c>
      <c r="D72" s="32" t="s">
        <v>164</v>
      </c>
      <c r="E72" s="25" t="s">
        <v>230</v>
      </c>
      <c r="F72" s="42" t="s">
        <v>234</v>
      </c>
      <c r="G72" s="41" t="s">
        <v>79</v>
      </c>
      <c r="H72" s="42" t="s">
        <v>77</v>
      </c>
      <c r="I72" s="32" t="str">
        <f t="shared" si="1"/>
        <v>d15</v>
      </c>
      <c r="J72" s="32"/>
    </row>
    <row r="73" spans="1:10" s="11" customFormat="1" x14ac:dyDescent="0.3">
      <c r="A73" s="15" t="s">
        <v>227</v>
      </c>
      <c r="B73" s="15" t="s">
        <v>231</v>
      </c>
      <c r="C73" s="15" t="s">
        <v>229</v>
      </c>
      <c r="D73" s="32" t="s">
        <v>164</v>
      </c>
      <c r="E73" s="25" t="s">
        <v>230</v>
      </c>
      <c r="F73" s="42" t="s">
        <v>597</v>
      </c>
      <c r="G73" s="41" t="s">
        <v>58</v>
      </c>
      <c r="H73" s="42" t="s">
        <v>72</v>
      </c>
      <c r="I73" s="32" t="str">
        <f t="shared" si="1"/>
        <v>d09</v>
      </c>
      <c r="J73" s="32"/>
    </row>
    <row r="74" spans="1:10" s="11" customFormat="1" x14ac:dyDescent="0.3">
      <c r="A74" s="10" t="s">
        <v>248</v>
      </c>
      <c r="B74" s="15" t="s">
        <v>235</v>
      </c>
      <c r="C74" s="15" t="s">
        <v>352</v>
      </c>
      <c r="D74" s="32" t="s">
        <v>164</v>
      </c>
      <c r="E74" s="43" t="s">
        <v>236</v>
      </c>
      <c r="F74" s="42" t="s">
        <v>246</v>
      </c>
      <c r="G74" s="41" t="s">
        <v>68</v>
      </c>
      <c r="H74" s="42" t="s">
        <v>56</v>
      </c>
      <c r="I74" s="32" t="str">
        <f t="shared" si="1"/>
        <v>d01</v>
      </c>
      <c r="J74" s="32"/>
    </row>
    <row r="75" spans="1:10" x14ac:dyDescent="0.3">
      <c r="A75" s="15" t="s">
        <v>251</v>
      </c>
      <c r="B75" s="15" t="s">
        <v>244</v>
      </c>
      <c r="C75" s="15" t="s">
        <v>243</v>
      </c>
      <c r="D75" s="32" t="s">
        <v>164</v>
      </c>
      <c r="E75" s="13" t="s">
        <v>245</v>
      </c>
      <c r="F75" s="42" t="s">
        <v>598</v>
      </c>
      <c r="G75" s="41" t="s">
        <v>68</v>
      </c>
      <c r="H75" s="42" t="s">
        <v>56</v>
      </c>
      <c r="I75" s="32" t="str">
        <f t="shared" si="1"/>
        <v>d01</v>
      </c>
    </row>
    <row r="76" spans="1:10" x14ac:dyDescent="0.3">
      <c r="A76" s="15" t="s">
        <v>251</v>
      </c>
      <c r="B76" s="15" t="s">
        <v>244</v>
      </c>
      <c r="C76" s="15" t="s">
        <v>243</v>
      </c>
      <c r="D76" s="32" t="s">
        <v>164</v>
      </c>
      <c r="E76" s="13" t="s">
        <v>245</v>
      </c>
      <c r="F76" s="42" t="s">
        <v>599</v>
      </c>
      <c r="G76" s="41" t="s">
        <v>79</v>
      </c>
      <c r="H76" s="42" t="s">
        <v>77</v>
      </c>
      <c r="I76" s="32" t="str">
        <f t="shared" si="1"/>
        <v>d15</v>
      </c>
    </row>
    <row r="77" spans="1:10" x14ac:dyDescent="0.3">
      <c r="A77" s="15" t="s">
        <v>251</v>
      </c>
      <c r="B77" s="15" t="s">
        <v>244</v>
      </c>
      <c r="C77" s="15" t="s">
        <v>243</v>
      </c>
      <c r="D77" s="32" t="s">
        <v>164</v>
      </c>
      <c r="E77" s="13" t="s">
        <v>245</v>
      </c>
      <c r="F77" s="42" t="s">
        <v>600</v>
      </c>
      <c r="G77" s="41" t="s">
        <v>2</v>
      </c>
      <c r="H77" s="42" t="s">
        <v>72</v>
      </c>
      <c r="I77" s="32" t="str">
        <f t="shared" si="1"/>
        <v>d08</v>
      </c>
    </row>
    <row r="78" spans="1:10" x14ac:dyDescent="0.3">
      <c r="A78" s="15" t="s">
        <v>251</v>
      </c>
      <c r="B78" s="15" t="s">
        <v>244</v>
      </c>
      <c r="C78" s="15" t="s">
        <v>243</v>
      </c>
      <c r="D78" s="32" t="s">
        <v>164</v>
      </c>
      <c r="E78" s="13" t="s">
        <v>245</v>
      </c>
      <c r="F78" s="42" t="s">
        <v>601</v>
      </c>
      <c r="G78" s="41" t="s">
        <v>69</v>
      </c>
      <c r="H78" s="42" t="s">
        <v>56</v>
      </c>
      <c r="I78" s="32" t="str">
        <f t="shared" si="1"/>
        <v>d02</v>
      </c>
    </row>
    <row r="79" spans="1:10" x14ac:dyDescent="0.3">
      <c r="A79" s="15" t="s">
        <v>251</v>
      </c>
      <c r="B79" s="15" t="s">
        <v>244</v>
      </c>
      <c r="C79" s="15" t="s">
        <v>243</v>
      </c>
      <c r="D79" s="32" t="s">
        <v>164</v>
      </c>
      <c r="E79" s="13" t="s">
        <v>245</v>
      </c>
      <c r="F79" s="1" t="s">
        <v>602</v>
      </c>
      <c r="G79" s="1" t="s">
        <v>80</v>
      </c>
      <c r="H79" s="1" t="s">
        <v>77</v>
      </c>
      <c r="I79" s="32" t="str">
        <f t="shared" si="1"/>
        <v>d18</v>
      </c>
    </row>
    <row r="80" spans="1:10" x14ac:dyDescent="0.3">
      <c r="A80" s="15" t="s">
        <v>251</v>
      </c>
      <c r="B80" s="15" t="s">
        <v>244</v>
      </c>
      <c r="C80" s="15" t="s">
        <v>243</v>
      </c>
      <c r="D80" s="32" t="s">
        <v>164</v>
      </c>
      <c r="E80" s="13" t="s">
        <v>245</v>
      </c>
      <c r="F80" s="42" t="s">
        <v>603</v>
      </c>
      <c r="G80" s="41" t="s">
        <v>77</v>
      </c>
      <c r="H80" s="42" t="s">
        <v>77</v>
      </c>
      <c r="I80" s="32" t="str">
        <f t="shared" si="1"/>
        <v>d16</v>
      </c>
    </row>
    <row r="81" spans="1:9" x14ac:dyDescent="0.3">
      <c r="A81" s="15" t="s">
        <v>251</v>
      </c>
      <c r="B81" s="15" t="s">
        <v>244</v>
      </c>
      <c r="C81" s="15" t="s">
        <v>243</v>
      </c>
      <c r="D81" s="32" t="s">
        <v>164</v>
      </c>
      <c r="E81" s="13" t="s">
        <v>245</v>
      </c>
      <c r="F81" s="42" t="s">
        <v>603</v>
      </c>
      <c r="G81" s="41" t="s">
        <v>62</v>
      </c>
      <c r="H81" s="42" t="s">
        <v>70</v>
      </c>
      <c r="I81" s="32" t="str">
        <f t="shared" si="1"/>
        <v>d04</v>
      </c>
    </row>
    <row r="82" spans="1:9" x14ac:dyDescent="0.3">
      <c r="A82" s="15" t="s">
        <v>256</v>
      </c>
      <c r="B82" s="15" t="s">
        <v>250</v>
      </c>
      <c r="C82" s="15" t="s">
        <v>369</v>
      </c>
      <c r="D82" s="32" t="s">
        <v>164</v>
      </c>
      <c r="E82" s="25" t="s">
        <v>249</v>
      </c>
      <c r="F82" s="42" t="s">
        <v>604</v>
      </c>
      <c r="G82" s="41" t="s">
        <v>62</v>
      </c>
      <c r="H82" s="42" t="s">
        <v>70</v>
      </c>
      <c r="I82" s="32" t="str">
        <f t="shared" si="1"/>
        <v>d04</v>
      </c>
    </row>
    <row r="83" spans="1:9" x14ac:dyDescent="0.3">
      <c r="A83" s="15" t="s">
        <v>256</v>
      </c>
      <c r="B83" s="15" t="s">
        <v>250</v>
      </c>
      <c r="C83" s="15" t="s">
        <v>369</v>
      </c>
      <c r="D83" s="32" t="s">
        <v>164</v>
      </c>
      <c r="E83" s="25" t="s">
        <v>249</v>
      </c>
      <c r="F83" s="42" t="s">
        <v>605</v>
      </c>
      <c r="G83" s="41" t="s">
        <v>77</v>
      </c>
      <c r="H83" s="42" t="s">
        <v>77</v>
      </c>
      <c r="I83" s="32" t="str">
        <f t="shared" si="1"/>
        <v>d16</v>
      </c>
    </row>
    <row r="84" spans="1:9" x14ac:dyDescent="0.3">
      <c r="A84" s="15" t="s">
        <v>256</v>
      </c>
      <c r="B84" s="15" t="s">
        <v>250</v>
      </c>
      <c r="C84" s="15" t="s">
        <v>369</v>
      </c>
      <c r="D84" s="32" t="s">
        <v>164</v>
      </c>
      <c r="E84" s="25" t="s">
        <v>249</v>
      </c>
      <c r="F84" s="42" t="s">
        <v>606</v>
      </c>
      <c r="G84" s="41" t="s">
        <v>11</v>
      </c>
      <c r="H84" s="42" t="s">
        <v>72</v>
      </c>
      <c r="I84" s="32" t="str">
        <f t="shared" si="1"/>
        <v>d13</v>
      </c>
    </row>
    <row r="85" spans="1:9" x14ac:dyDescent="0.3">
      <c r="A85" s="15" t="s">
        <v>256</v>
      </c>
      <c r="B85" s="15" t="s">
        <v>250</v>
      </c>
      <c r="C85" s="15" t="s">
        <v>369</v>
      </c>
      <c r="D85" s="32" t="s">
        <v>164</v>
      </c>
      <c r="E85" s="25" t="s">
        <v>249</v>
      </c>
      <c r="F85" s="42" t="s">
        <v>607</v>
      </c>
      <c r="G85" s="41" t="s">
        <v>80</v>
      </c>
      <c r="H85" s="42" t="s">
        <v>77</v>
      </c>
      <c r="I85" s="32" t="str">
        <f t="shared" si="1"/>
        <v>d18</v>
      </c>
    </row>
    <row r="86" spans="1:9" x14ac:dyDescent="0.3">
      <c r="A86" s="32" t="s">
        <v>258</v>
      </c>
      <c r="B86" s="15" t="s">
        <v>252</v>
      </c>
      <c r="C86" s="15" t="s">
        <v>369</v>
      </c>
      <c r="D86" s="32" t="s">
        <v>164</v>
      </c>
      <c r="E86" s="25" t="s">
        <v>441</v>
      </c>
      <c r="F86" s="42" t="s">
        <v>608</v>
      </c>
      <c r="G86" s="41" t="s">
        <v>35</v>
      </c>
      <c r="H86" s="42" t="s">
        <v>77</v>
      </c>
      <c r="I86" s="32" t="str">
        <f t="shared" si="1"/>
        <v>d17</v>
      </c>
    </row>
    <row r="87" spans="1:9" x14ac:dyDescent="0.3">
      <c r="A87" s="32" t="s">
        <v>258</v>
      </c>
      <c r="B87" s="15" t="s">
        <v>252</v>
      </c>
      <c r="C87" s="15" t="s">
        <v>369</v>
      </c>
      <c r="D87" s="32" t="s">
        <v>164</v>
      </c>
      <c r="E87" s="25" t="s">
        <v>441</v>
      </c>
      <c r="F87" s="42" t="s">
        <v>608</v>
      </c>
      <c r="G87" s="41" t="s">
        <v>77</v>
      </c>
      <c r="H87" s="42" t="s">
        <v>77</v>
      </c>
      <c r="I87" s="32" t="str">
        <f t="shared" ref="I87:I89" si="2">VLOOKUP(G87,$M$4:$N$21,2,FALSE)</f>
        <v>d16</v>
      </c>
    </row>
    <row r="88" spans="1:9" x14ac:dyDescent="0.3">
      <c r="A88" s="15" t="s">
        <v>261</v>
      </c>
      <c r="B88" s="15" t="s">
        <v>253</v>
      </c>
      <c r="C88" s="15" t="s">
        <v>369</v>
      </c>
      <c r="D88" s="32" t="s">
        <v>164</v>
      </c>
      <c r="E88" s="25" t="s">
        <v>254</v>
      </c>
      <c r="F88" s="42" t="s">
        <v>609</v>
      </c>
      <c r="G88" s="41" t="s">
        <v>77</v>
      </c>
      <c r="H88" s="42" t="s">
        <v>77</v>
      </c>
      <c r="I88" s="32" t="str">
        <f t="shared" si="2"/>
        <v>d16</v>
      </c>
    </row>
    <row r="89" spans="1:9" x14ac:dyDescent="0.3">
      <c r="A89" s="15" t="s">
        <v>264</v>
      </c>
      <c r="B89" s="15" t="s">
        <v>442</v>
      </c>
      <c r="C89" s="15" t="s">
        <v>369</v>
      </c>
      <c r="D89" s="32" t="s">
        <v>164</v>
      </c>
      <c r="E89" s="25" t="s">
        <v>255</v>
      </c>
      <c r="F89" s="42" t="s">
        <v>610</v>
      </c>
      <c r="G89" s="41" t="s">
        <v>11</v>
      </c>
      <c r="H89" s="42" t="s">
        <v>72</v>
      </c>
      <c r="I89" s="32" t="str">
        <f t="shared" si="2"/>
        <v>d13</v>
      </c>
    </row>
    <row r="90" spans="1:9" x14ac:dyDescent="0.3">
      <c r="A90" s="15" t="s">
        <v>264</v>
      </c>
      <c r="B90" s="15" t="s">
        <v>442</v>
      </c>
      <c r="C90" s="15" t="s">
        <v>369</v>
      </c>
      <c r="D90" s="32" t="s">
        <v>164</v>
      </c>
      <c r="E90" s="25" t="s">
        <v>255</v>
      </c>
      <c r="F90" s="42" t="s">
        <v>611</v>
      </c>
      <c r="G90" s="41" t="s">
        <v>12</v>
      </c>
      <c r="H90" s="42" t="s">
        <v>72</v>
      </c>
      <c r="I90" s="32" t="str">
        <f t="shared" ref="I90:I103" si="3">VLOOKUP(G90,$M$4:$N$21,2,FALSE)</f>
        <v>d11</v>
      </c>
    </row>
    <row r="91" spans="1:9" x14ac:dyDescent="0.3">
      <c r="A91" s="15" t="s">
        <v>264</v>
      </c>
      <c r="B91" s="15" t="s">
        <v>442</v>
      </c>
      <c r="C91" s="15" t="s">
        <v>369</v>
      </c>
      <c r="D91" s="32" t="s">
        <v>164</v>
      </c>
      <c r="E91" s="25" t="s">
        <v>255</v>
      </c>
      <c r="F91" s="42" t="s">
        <v>612</v>
      </c>
      <c r="G91" s="41" t="s">
        <v>74</v>
      </c>
      <c r="H91" s="42" t="s">
        <v>72</v>
      </c>
      <c r="I91" s="32" t="str">
        <f t="shared" si="3"/>
        <v>d07</v>
      </c>
    </row>
    <row r="92" spans="1:9" x14ac:dyDescent="0.3">
      <c r="A92" s="15" t="s">
        <v>264</v>
      </c>
      <c r="B92" s="15" t="s">
        <v>442</v>
      </c>
      <c r="C92" s="15" t="s">
        <v>369</v>
      </c>
      <c r="D92" s="32" t="s">
        <v>164</v>
      </c>
      <c r="E92" s="25" t="s">
        <v>255</v>
      </c>
      <c r="F92" s="42" t="s">
        <v>60</v>
      </c>
      <c r="G92" s="41" t="s">
        <v>60</v>
      </c>
      <c r="H92" s="42" t="s">
        <v>72</v>
      </c>
      <c r="I92" s="32" t="str">
        <f t="shared" si="3"/>
        <v>d10</v>
      </c>
    </row>
    <row r="93" spans="1:9" x14ac:dyDescent="0.3">
      <c r="A93" s="15" t="s">
        <v>264</v>
      </c>
      <c r="B93" s="15" t="s">
        <v>442</v>
      </c>
      <c r="C93" s="15" t="s">
        <v>369</v>
      </c>
      <c r="D93" s="32" t="s">
        <v>164</v>
      </c>
      <c r="E93" s="25" t="s">
        <v>255</v>
      </c>
      <c r="F93" s="42" t="s">
        <v>226</v>
      </c>
      <c r="G93" s="41" t="s">
        <v>58</v>
      </c>
      <c r="H93" s="42" t="s">
        <v>72</v>
      </c>
      <c r="I93" s="32" t="str">
        <f t="shared" si="3"/>
        <v>d09</v>
      </c>
    </row>
    <row r="94" spans="1:9" x14ac:dyDescent="0.3">
      <c r="A94" s="10" t="s">
        <v>267</v>
      </c>
      <c r="B94" s="15" t="s">
        <v>260</v>
      </c>
      <c r="C94" s="15" t="s">
        <v>369</v>
      </c>
      <c r="D94" s="32" t="s">
        <v>164</v>
      </c>
      <c r="E94" s="25" t="s">
        <v>259</v>
      </c>
      <c r="F94" s="42" t="s">
        <v>613</v>
      </c>
      <c r="G94" s="41" t="s">
        <v>11</v>
      </c>
      <c r="H94" s="42" t="s">
        <v>72</v>
      </c>
      <c r="I94" s="32" t="str">
        <f t="shared" si="3"/>
        <v>d13</v>
      </c>
    </row>
    <row r="95" spans="1:9" x14ac:dyDescent="0.3">
      <c r="A95" s="15" t="s">
        <v>270</v>
      </c>
      <c r="B95" s="15" t="s">
        <v>265</v>
      </c>
      <c r="C95" s="15" t="s">
        <v>369</v>
      </c>
      <c r="D95" s="32" t="s">
        <v>164</v>
      </c>
      <c r="E95" s="25" t="s">
        <v>266</v>
      </c>
      <c r="F95" s="42" t="s">
        <v>614</v>
      </c>
      <c r="G95" s="41" t="s">
        <v>12</v>
      </c>
      <c r="H95" s="42" t="s">
        <v>72</v>
      </c>
      <c r="I95" s="32" t="str">
        <f t="shared" si="3"/>
        <v>d11</v>
      </c>
    </row>
    <row r="96" spans="1:9" x14ac:dyDescent="0.3">
      <c r="A96" s="15" t="s">
        <v>270</v>
      </c>
      <c r="B96" s="15" t="s">
        <v>265</v>
      </c>
      <c r="C96" s="15" t="s">
        <v>369</v>
      </c>
      <c r="D96" s="32" t="s">
        <v>164</v>
      </c>
      <c r="E96" s="25" t="s">
        <v>266</v>
      </c>
      <c r="F96" s="42" t="s">
        <v>615</v>
      </c>
      <c r="G96" s="41" t="s">
        <v>58</v>
      </c>
      <c r="H96" s="42" t="s">
        <v>72</v>
      </c>
      <c r="I96" s="32" t="str">
        <f t="shared" si="3"/>
        <v>d09</v>
      </c>
    </row>
    <row r="97" spans="1:9" x14ac:dyDescent="0.3">
      <c r="A97" s="15" t="s">
        <v>270</v>
      </c>
      <c r="B97" s="15" t="s">
        <v>265</v>
      </c>
      <c r="C97" s="15" t="s">
        <v>369</v>
      </c>
      <c r="D97" s="32" t="s">
        <v>164</v>
      </c>
      <c r="E97" s="25" t="s">
        <v>266</v>
      </c>
      <c r="F97" s="42" t="s">
        <v>616</v>
      </c>
      <c r="G97" s="41" t="s">
        <v>73</v>
      </c>
      <c r="H97" s="42" t="s">
        <v>72</v>
      </c>
      <c r="I97" s="32" t="str">
        <f t="shared" si="3"/>
        <v>d06</v>
      </c>
    </row>
    <row r="98" spans="1:9" x14ac:dyDescent="0.3">
      <c r="A98" s="15" t="s">
        <v>279</v>
      </c>
      <c r="B98" s="15" t="s">
        <v>453</v>
      </c>
      <c r="C98" s="15" t="s">
        <v>370</v>
      </c>
      <c r="D98" s="32" t="s">
        <v>164</v>
      </c>
      <c r="E98" s="26" t="s">
        <v>269</v>
      </c>
      <c r="F98" s="42" t="s">
        <v>268</v>
      </c>
      <c r="G98" s="41" t="s">
        <v>80</v>
      </c>
      <c r="H98" s="42" t="s">
        <v>77</v>
      </c>
      <c r="I98" s="32" t="str">
        <f t="shared" si="3"/>
        <v>d18</v>
      </c>
    </row>
    <row r="99" spans="1:9" x14ac:dyDescent="0.3">
      <c r="A99" s="15" t="s">
        <v>279</v>
      </c>
      <c r="B99" s="15" t="s">
        <v>453</v>
      </c>
      <c r="C99" s="15" t="s">
        <v>370</v>
      </c>
      <c r="D99" s="32" t="s">
        <v>164</v>
      </c>
      <c r="E99" s="26" t="s">
        <v>269</v>
      </c>
      <c r="F99" s="42" t="s">
        <v>312</v>
      </c>
      <c r="G99" s="41" t="s">
        <v>2</v>
      </c>
      <c r="H99" s="42" t="s">
        <v>72</v>
      </c>
      <c r="I99" s="32" t="str">
        <f t="shared" si="3"/>
        <v>d08</v>
      </c>
    </row>
    <row r="100" spans="1:9" x14ac:dyDescent="0.3">
      <c r="A100" s="15" t="s">
        <v>279</v>
      </c>
      <c r="B100" s="15" t="s">
        <v>453</v>
      </c>
      <c r="C100" s="15" t="s">
        <v>370</v>
      </c>
      <c r="D100" s="32" t="s">
        <v>164</v>
      </c>
      <c r="E100" s="26" t="s">
        <v>269</v>
      </c>
      <c r="F100" s="42" t="s">
        <v>312</v>
      </c>
      <c r="G100" s="41" t="s">
        <v>77</v>
      </c>
      <c r="H100" s="42" t="s">
        <v>77</v>
      </c>
      <c r="I100" s="32" t="str">
        <f t="shared" si="3"/>
        <v>d16</v>
      </c>
    </row>
    <row r="101" spans="1:9" x14ac:dyDescent="0.3">
      <c r="A101" s="10" t="s">
        <v>289</v>
      </c>
      <c r="B101" s="15" t="s">
        <v>271</v>
      </c>
      <c r="C101" s="15" t="s">
        <v>370</v>
      </c>
      <c r="D101" s="32" t="s">
        <v>164</v>
      </c>
      <c r="E101" s="25" t="s">
        <v>272</v>
      </c>
      <c r="F101" s="42" t="s">
        <v>617</v>
      </c>
      <c r="G101" s="41" t="s">
        <v>2</v>
      </c>
      <c r="H101" s="42" t="s">
        <v>72</v>
      </c>
      <c r="I101" s="32" t="str">
        <f t="shared" si="3"/>
        <v>d08</v>
      </c>
    </row>
    <row r="102" spans="1:9" x14ac:dyDescent="0.3">
      <c r="A102" s="15" t="s">
        <v>295</v>
      </c>
      <c r="B102" s="15" t="s">
        <v>280</v>
      </c>
      <c r="C102" s="15" t="s">
        <v>370</v>
      </c>
      <c r="D102" s="32" t="s">
        <v>164</v>
      </c>
      <c r="E102" s="25" t="s">
        <v>283</v>
      </c>
      <c r="F102" s="42" t="s">
        <v>618</v>
      </c>
      <c r="G102" s="41" t="s">
        <v>68</v>
      </c>
      <c r="H102" s="42" t="s">
        <v>56</v>
      </c>
      <c r="I102" s="32" t="str">
        <f t="shared" si="3"/>
        <v>d01</v>
      </c>
    </row>
    <row r="103" spans="1:9" x14ac:dyDescent="0.3">
      <c r="A103" s="15" t="s">
        <v>295</v>
      </c>
      <c r="B103" s="15" t="s">
        <v>280</v>
      </c>
      <c r="C103" s="15" t="s">
        <v>370</v>
      </c>
      <c r="D103" s="32" t="s">
        <v>164</v>
      </c>
      <c r="E103" s="25" t="s">
        <v>283</v>
      </c>
      <c r="F103" s="42" t="s">
        <v>620</v>
      </c>
      <c r="G103" s="41" t="s">
        <v>2</v>
      </c>
      <c r="H103" s="42" t="s">
        <v>72</v>
      </c>
      <c r="I103" s="32" t="str">
        <f t="shared" si="3"/>
        <v>d08</v>
      </c>
    </row>
    <row r="104" spans="1:9" ht="13.8" customHeight="1" x14ac:dyDescent="0.3">
      <c r="A104" s="15" t="s">
        <v>295</v>
      </c>
      <c r="B104" s="15" t="s">
        <v>280</v>
      </c>
      <c r="C104" s="15" t="s">
        <v>370</v>
      </c>
      <c r="D104" s="32" t="s">
        <v>164</v>
      </c>
      <c r="E104" s="25" t="s">
        <v>283</v>
      </c>
      <c r="F104" s="42" t="s">
        <v>619</v>
      </c>
      <c r="G104" s="41" t="s">
        <v>62</v>
      </c>
      <c r="H104" s="42" t="s">
        <v>72</v>
      </c>
      <c r="I104" s="32" t="str">
        <f t="shared" ref="I104:I109" si="4">VLOOKUP(G104,$M$4:$N$21,2,FALSE)</f>
        <v>d04</v>
      </c>
    </row>
    <row r="105" spans="1:9" x14ac:dyDescent="0.3">
      <c r="A105" s="15" t="s">
        <v>295</v>
      </c>
      <c r="B105" s="15" t="s">
        <v>280</v>
      </c>
      <c r="C105" s="15" t="s">
        <v>370</v>
      </c>
      <c r="D105" s="32" t="s">
        <v>164</v>
      </c>
      <c r="E105" s="25" t="s">
        <v>283</v>
      </c>
      <c r="F105" s="42" t="s">
        <v>621</v>
      </c>
      <c r="G105" s="41" t="s">
        <v>70</v>
      </c>
      <c r="H105" s="42" t="s">
        <v>70</v>
      </c>
      <c r="I105" s="32" t="str">
        <f t="shared" si="4"/>
        <v>d03</v>
      </c>
    </row>
    <row r="106" spans="1:9" x14ac:dyDescent="0.3">
      <c r="A106" s="15" t="s">
        <v>295</v>
      </c>
      <c r="B106" s="15" t="s">
        <v>280</v>
      </c>
      <c r="C106" s="15" t="s">
        <v>370</v>
      </c>
      <c r="D106" s="32" t="s">
        <v>164</v>
      </c>
      <c r="E106" s="25" t="s">
        <v>283</v>
      </c>
      <c r="F106" s="42" t="s">
        <v>622</v>
      </c>
      <c r="G106" s="41" t="s">
        <v>77</v>
      </c>
      <c r="H106" s="42" t="s">
        <v>77</v>
      </c>
      <c r="I106" s="32" t="str">
        <f t="shared" si="4"/>
        <v>d16</v>
      </c>
    </row>
    <row r="107" spans="1:9" x14ac:dyDescent="0.3">
      <c r="A107" s="15" t="s">
        <v>300</v>
      </c>
      <c r="B107" s="15" t="s">
        <v>448</v>
      </c>
      <c r="C107" s="15" t="s">
        <v>370</v>
      </c>
      <c r="D107" s="32" t="s">
        <v>164</v>
      </c>
      <c r="E107" s="26" t="s">
        <v>282</v>
      </c>
      <c r="F107" s="42" t="s">
        <v>623</v>
      </c>
      <c r="G107" s="41" t="s">
        <v>68</v>
      </c>
      <c r="H107" s="42" t="s">
        <v>56</v>
      </c>
      <c r="I107" s="32" t="str">
        <f t="shared" si="4"/>
        <v>d01</v>
      </c>
    </row>
    <row r="108" spans="1:9" x14ac:dyDescent="0.3">
      <c r="A108" s="10" t="s">
        <v>309</v>
      </c>
      <c r="B108" s="15" t="s">
        <v>451</v>
      </c>
      <c r="C108" s="15" t="s">
        <v>370</v>
      </c>
      <c r="D108" s="32" t="s">
        <v>164</v>
      </c>
      <c r="E108" s="26" t="s">
        <v>285</v>
      </c>
      <c r="F108" s="42" t="s">
        <v>618</v>
      </c>
      <c r="G108" s="41" t="s">
        <v>68</v>
      </c>
      <c r="H108" s="42" t="s">
        <v>56</v>
      </c>
      <c r="I108" s="32" t="str">
        <f t="shared" si="4"/>
        <v>d01</v>
      </c>
    </row>
    <row r="109" spans="1:9" x14ac:dyDescent="0.3">
      <c r="A109" s="10" t="s">
        <v>309</v>
      </c>
      <c r="B109" s="15" t="s">
        <v>451</v>
      </c>
      <c r="C109" s="15" t="s">
        <v>370</v>
      </c>
      <c r="D109" s="32" t="s">
        <v>164</v>
      </c>
      <c r="E109" s="26" t="s">
        <v>285</v>
      </c>
      <c r="F109" s="42" t="s">
        <v>620</v>
      </c>
      <c r="G109" s="41" t="s">
        <v>2</v>
      </c>
      <c r="H109" s="42" t="s">
        <v>72</v>
      </c>
      <c r="I109" s="32" t="str">
        <f t="shared" si="4"/>
        <v>d08</v>
      </c>
    </row>
    <row r="110" spans="1:9" x14ac:dyDescent="0.3">
      <c r="A110" s="10" t="s">
        <v>309</v>
      </c>
      <c r="B110" s="15" t="s">
        <v>451</v>
      </c>
      <c r="C110" s="15" t="s">
        <v>370</v>
      </c>
      <c r="D110" s="32" t="s">
        <v>164</v>
      </c>
      <c r="E110" s="26" t="s">
        <v>285</v>
      </c>
      <c r="F110" s="42" t="s">
        <v>619</v>
      </c>
      <c r="G110" s="41" t="s">
        <v>62</v>
      </c>
      <c r="H110" s="42" t="s">
        <v>72</v>
      </c>
      <c r="I110" s="32" t="str">
        <f t="shared" ref="I110:I161" si="5">VLOOKUP(G110,$M$4:$N$21,2,FALSE)</f>
        <v>d04</v>
      </c>
    </row>
    <row r="111" spans="1:9" x14ac:dyDescent="0.3">
      <c r="A111" s="10" t="s">
        <v>309</v>
      </c>
      <c r="B111" s="15" t="s">
        <v>451</v>
      </c>
      <c r="C111" s="15" t="s">
        <v>370</v>
      </c>
      <c r="D111" s="32" t="s">
        <v>164</v>
      </c>
      <c r="E111" s="26" t="s">
        <v>285</v>
      </c>
      <c r="F111" s="42" t="s">
        <v>621</v>
      </c>
      <c r="G111" s="41" t="s">
        <v>70</v>
      </c>
      <c r="H111" s="42" t="s">
        <v>70</v>
      </c>
      <c r="I111" s="32" t="str">
        <f t="shared" si="5"/>
        <v>d03</v>
      </c>
    </row>
    <row r="112" spans="1:9" x14ac:dyDescent="0.3">
      <c r="A112" s="10" t="s">
        <v>309</v>
      </c>
      <c r="B112" s="15" t="s">
        <v>451</v>
      </c>
      <c r="C112" s="15" t="s">
        <v>370</v>
      </c>
      <c r="D112" s="32" t="s">
        <v>164</v>
      </c>
      <c r="E112" s="26" t="s">
        <v>285</v>
      </c>
      <c r="F112" s="42" t="s">
        <v>622</v>
      </c>
      <c r="G112" s="41" t="s">
        <v>77</v>
      </c>
      <c r="H112" s="42" t="s">
        <v>77</v>
      </c>
      <c r="I112" s="32" t="str">
        <f t="shared" si="5"/>
        <v>d16</v>
      </c>
    </row>
    <row r="113" spans="1:9" x14ac:dyDescent="0.3">
      <c r="A113" s="10" t="s">
        <v>309</v>
      </c>
      <c r="B113" s="15" t="s">
        <v>451</v>
      </c>
      <c r="C113" s="15" t="s">
        <v>370</v>
      </c>
      <c r="D113" s="32" t="s">
        <v>164</v>
      </c>
      <c r="E113" s="26" t="s">
        <v>285</v>
      </c>
      <c r="F113" s="42" t="s">
        <v>623</v>
      </c>
      <c r="G113" s="41" t="s">
        <v>68</v>
      </c>
      <c r="H113" s="42" t="s">
        <v>56</v>
      </c>
      <c r="I113" s="32" t="str">
        <f t="shared" si="5"/>
        <v>d01</v>
      </c>
    </row>
    <row r="114" spans="1:9" x14ac:dyDescent="0.3">
      <c r="A114" s="15" t="s">
        <v>317</v>
      </c>
      <c r="B114" s="15" t="s">
        <v>452</v>
      </c>
      <c r="C114" s="15" t="s">
        <v>370</v>
      </c>
      <c r="D114" s="32" t="s">
        <v>164</v>
      </c>
      <c r="E114" s="26" t="s">
        <v>284</v>
      </c>
      <c r="F114" s="42" t="s">
        <v>624</v>
      </c>
      <c r="G114" s="41" t="s">
        <v>68</v>
      </c>
      <c r="H114" s="42" t="s">
        <v>56</v>
      </c>
      <c r="I114" s="32" t="str">
        <f t="shared" si="5"/>
        <v>d01</v>
      </c>
    </row>
    <row r="115" spans="1:9" x14ac:dyDescent="0.3">
      <c r="A115" s="15" t="s">
        <v>317</v>
      </c>
      <c r="B115" s="15" t="s">
        <v>452</v>
      </c>
      <c r="C115" s="15" t="s">
        <v>370</v>
      </c>
      <c r="D115" s="32" t="s">
        <v>164</v>
      </c>
      <c r="E115" s="26" t="s">
        <v>284</v>
      </c>
      <c r="F115" s="42" t="s">
        <v>624</v>
      </c>
      <c r="G115" s="41" t="s">
        <v>2</v>
      </c>
      <c r="H115" s="42" t="s">
        <v>72</v>
      </c>
      <c r="I115" s="32" t="str">
        <f t="shared" si="5"/>
        <v>d08</v>
      </c>
    </row>
    <row r="116" spans="1:9" x14ac:dyDescent="0.3">
      <c r="A116" s="15" t="s">
        <v>318</v>
      </c>
      <c r="B116" s="15" t="s">
        <v>454</v>
      </c>
      <c r="C116" s="15" t="s">
        <v>370</v>
      </c>
      <c r="D116" s="32" t="s">
        <v>164</v>
      </c>
      <c r="E116" s="26" t="s">
        <v>455</v>
      </c>
      <c r="F116" s="42" t="s">
        <v>625</v>
      </c>
      <c r="G116" s="41" t="s">
        <v>2</v>
      </c>
      <c r="H116" s="42" t="s">
        <v>72</v>
      </c>
      <c r="I116" s="32" t="str">
        <f t="shared" si="5"/>
        <v>d08</v>
      </c>
    </row>
    <row r="117" spans="1:9" x14ac:dyDescent="0.3">
      <c r="A117" s="10" t="s">
        <v>319</v>
      </c>
      <c r="B117" s="15" t="s">
        <v>537</v>
      </c>
      <c r="C117" s="15" t="s">
        <v>288</v>
      </c>
      <c r="D117" s="32" t="s">
        <v>164</v>
      </c>
      <c r="E117" s="25" t="s">
        <v>286</v>
      </c>
      <c r="F117" s="42" t="s">
        <v>626</v>
      </c>
      <c r="G117" s="41" t="s">
        <v>68</v>
      </c>
      <c r="H117" s="42" t="s">
        <v>56</v>
      </c>
      <c r="I117" s="32" t="str">
        <f t="shared" si="5"/>
        <v>d01</v>
      </c>
    </row>
    <row r="118" spans="1:9" x14ac:dyDescent="0.3">
      <c r="A118" s="10" t="s">
        <v>319</v>
      </c>
      <c r="B118" s="15" t="s">
        <v>537</v>
      </c>
      <c r="C118" s="15" t="s">
        <v>288</v>
      </c>
      <c r="D118" s="32" t="s">
        <v>164</v>
      </c>
      <c r="E118" s="25" t="s">
        <v>286</v>
      </c>
      <c r="F118" s="42" t="s">
        <v>627</v>
      </c>
      <c r="G118" s="41" t="s">
        <v>12</v>
      </c>
      <c r="H118" s="42" t="s">
        <v>72</v>
      </c>
      <c r="I118" s="32" t="str">
        <f t="shared" si="5"/>
        <v>d11</v>
      </c>
    </row>
    <row r="119" spans="1:9" x14ac:dyDescent="0.3">
      <c r="A119" s="10" t="s">
        <v>319</v>
      </c>
      <c r="B119" s="15" t="s">
        <v>537</v>
      </c>
      <c r="C119" s="15" t="s">
        <v>288</v>
      </c>
      <c r="D119" s="32" t="s">
        <v>164</v>
      </c>
      <c r="E119" s="25" t="s">
        <v>286</v>
      </c>
      <c r="F119" s="42" t="s">
        <v>628</v>
      </c>
      <c r="G119" s="41" t="s">
        <v>77</v>
      </c>
      <c r="H119" s="42" t="s">
        <v>77</v>
      </c>
      <c r="I119" s="32" t="str">
        <f t="shared" si="5"/>
        <v>d16</v>
      </c>
    </row>
    <row r="120" spans="1:9" x14ac:dyDescent="0.3">
      <c r="A120" s="15" t="s">
        <v>320</v>
      </c>
      <c r="B120" s="15" t="s">
        <v>176</v>
      </c>
      <c r="C120" s="15" t="s">
        <v>288</v>
      </c>
      <c r="D120" s="32" t="s">
        <v>164</v>
      </c>
      <c r="E120" s="13" t="s">
        <v>287</v>
      </c>
      <c r="F120" s="42" t="s">
        <v>629</v>
      </c>
      <c r="G120" s="41" t="s">
        <v>12</v>
      </c>
      <c r="H120" s="42" t="s">
        <v>72</v>
      </c>
      <c r="I120" s="32" t="str">
        <f t="shared" si="5"/>
        <v>d11</v>
      </c>
    </row>
    <row r="121" spans="1:9" x14ac:dyDescent="0.3">
      <c r="A121" s="15" t="s">
        <v>321</v>
      </c>
      <c r="B121" s="15" t="s">
        <v>541</v>
      </c>
      <c r="C121" s="15" t="s">
        <v>540</v>
      </c>
      <c r="D121" s="32" t="s">
        <v>164</v>
      </c>
      <c r="E121" s="25" t="s">
        <v>296</v>
      </c>
      <c r="F121" s="42" t="s">
        <v>630</v>
      </c>
      <c r="G121" s="41" t="s">
        <v>62</v>
      </c>
      <c r="H121" s="42" t="s">
        <v>70</v>
      </c>
      <c r="I121" s="32" t="str">
        <f t="shared" si="5"/>
        <v>d04</v>
      </c>
    </row>
    <row r="122" spans="1:9" x14ac:dyDescent="0.3">
      <c r="A122" s="10" t="s">
        <v>508</v>
      </c>
      <c r="B122" s="15" t="s">
        <v>542</v>
      </c>
      <c r="C122" s="15" t="s">
        <v>377</v>
      </c>
      <c r="D122" s="32" t="s">
        <v>164</v>
      </c>
      <c r="E122" s="25" t="s">
        <v>301</v>
      </c>
      <c r="F122" s="42" t="s">
        <v>631</v>
      </c>
      <c r="G122" s="41" t="s">
        <v>62</v>
      </c>
      <c r="H122" s="42" t="s">
        <v>70</v>
      </c>
      <c r="I122" s="32" t="str">
        <f t="shared" si="5"/>
        <v>d04</v>
      </c>
    </row>
    <row r="123" spans="1:9" x14ac:dyDescent="0.3">
      <c r="A123" s="10" t="s">
        <v>508</v>
      </c>
      <c r="B123" s="15" t="s">
        <v>542</v>
      </c>
      <c r="C123" s="15" t="s">
        <v>377</v>
      </c>
      <c r="D123" s="32" t="s">
        <v>164</v>
      </c>
      <c r="E123" s="25" t="s">
        <v>301</v>
      </c>
      <c r="F123" s="42" t="s">
        <v>632</v>
      </c>
      <c r="G123" s="41" t="s">
        <v>77</v>
      </c>
      <c r="H123" s="42" t="s">
        <v>77</v>
      </c>
      <c r="I123" s="32" t="str">
        <f t="shared" si="5"/>
        <v>d16</v>
      </c>
    </row>
    <row r="124" spans="1:9" x14ac:dyDescent="0.3">
      <c r="A124" s="10" t="s">
        <v>508</v>
      </c>
      <c r="B124" s="15" t="s">
        <v>542</v>
      </c>
      <c r="C124" s="15" t="s">
        <v>377</v>
      </c>
      <c r="D124" s="32" t="s">
        <v>164</v>
      </c>
      <c r="E124" s="25" t="s">
        <v>301</v>
      </c>
      <c r="F124" s="42" t="s">
        <v>633</v>
      </c>
      <c r="G124" s="41" t="s">
        <v>80</v>
      </c>
      <c r="H124" s="42" t="s">
        <v>77</v>
      </c>
      <c r="I124" s="32" t="str">
        <f t="shared" si="5"/>
        <v>d18</v>
      </c>
    </row>
    <row r="125" spans="1:9" x14ac:dyDescent="0.3">
      <c r="A125" s="15" t="s">
        <v>408</v>
      </c>
      <c r="B125" s="15" t="s">
        <v>447</v>
      </c>
      <c r="C125" s="15" t="s">
        <v>376</v>
      </c>
      <c r="D125" s="32" t="s">
        <v>164</v>
      </c>
      <c r="E125" s="26" t="s">
        <v>446</v>
      </c>
      <c r="F125" s="42" t="s">
        <v>634</v>
      </c>
      <c r="G125" s="41" t="s">
        <v>62</v>
      </c>
      <c r="H125" s="42" t="s">
        <v>70</v>
      </c>
      <c r="I125" s="32" t="str">
        <f t="shared" si="5"/>
        <v>d04</v>
      </c>
    </row>
    <row r="126" spans="1:9" x14ac:dyDescent="0.3">
      <c r="A126" s="10" t="s">
        <v>412</v>
      </c>
      <c r="B126" s="15" t="s">
        <v>310</v>
      </c>
      <c r="C126" s="15" t="s">
        <v>546</v>
      </c>
      <c r="D126" s="32" t="s">
        <v>164</v>
      </c>
      <c r="E126" s="43" t="s">
        <v>311</v>
      </c>
      <c r="F126" s="42" t="s">
        <v>635</v>
      </c>
      <c r="G126" s="41" t="s">
        <v>68</v>
      </c>
      <c r="H126" s="42" t="s">
        <v>56</v>
      </c>
      <c r="I126" s="32" t="str">
        <f t="shared" si="5"/>
        <v>d01</v>
      </c>
    </row>
    <row r="127" spans="1:9" x14ac:dyDescent="0.3">
      <c r="A127" s="10" t="s">
        <v>412</v>
      </c>
      <c r="B127" s="15" t="s">
        <v>310</v>
      </c>
      <c r="C127" s="15" t="s">
        <v>546</v>
      </c>
      <c r="D127" s="32" t="s">
        <v>164</v>
      </c>
      <c r="E127" s="43" t="s">
        <v>311</v>
      </c>
      <c r="F127" s="42" t="s">
        <v>636</v>
      </c>
      <c r="G127" s="41" t="s">
        <v>11</v>
      </c>
      <c r="H127" s="42" t="s">
        <v>72</v>
      </c>
      <c r="I127" s="32" t="str">
        <f t="shared" si="5"/>
        <v>d13</v>
      </c>
    </row>
    <row r="128" spans="1:9" x14ac:dyDescent="0.3">
      <c r="A128" s="10" t="s">
        <v>412</v>
      </c>
      <c r="B128" s="15" t="s">
        <v>310</v>
      </c>
      <c r="C128" s="15" t="s">
        <v>546</v>
      </c>
      <c r="D128" s="32" t="s">
        <v>164</v>
      </c>
      <c r="E128" s="43" t="s">
        <v>311</v>
      </c>
      <c r="F128" s="42" t="s">
        <v>637</v>
      </c>
      <c r="G128" s="41" t="s">
        <v>70</v>
      </c>
      <c r="H128" s="42" t="s">
        <v>70</v>
      </c>
      <c r="I128" s="32" t="str">
        <f t="shared" si="5"/>
        <v>d03</v>
      </c>
    </row>
    <row r="129" spans="1:9" x14ac:dyDescent="0.3">
      <c r="A129" s="10" t="s">
        <v>412</v>
      </c>
      <c r="B129" s="15" t="s">
        <v>310</v>
      </c>
      <c r="C129" s="15" t="s">
        <v>546</v>
      </c>
      <c r="D129" s="32" t="s">
        <v>164</v>
      </c>
      <c r="E129" s="43" t="s">
        <v>311</v>
      </c>
      <c r="F129" s="42" t="s">
        <v>638</v>
      </c>
      <c r="G129" s="41" t="s">
        <v>2</v>
      </c>
      <c r="H129" s="42" t="s">
        <v>72</v>
      </c>
      <c r="I129" s="32" t="str">
        <f t="shared" si="5"/>
        <v>d08</v>
      </c>
    </row>
    <row r="130" spans="1:9" x14ac:dyDescent="0.3">
      <c r="A130" s="15" t="s">
        <v>429</v>
      </c>
      <c r="B130" s="15" t="s">
        <v>322</v>
      </c>
      <c r="C130" s="15" t="s">
        <v>546</v>
      </c>
      <c r="D130" s="32" t="s">
        <v>164</v>
      </c>
      <c r="E130" s="25" t="s">
        <v>437</v>
      </c>
      <c r="F130" s="42" t="s">
        <v>639</v>
      </c>
      <c r="G130" s="41" t="s">
        <v>68</v>
      </c>
      <c r="H130" s="42" t="s">
        <v>56</v>
      </c>
      <c r="I130" s="32" t="str">
        <f t="shared" si="5"/>
        <v>d01</v>
      </c>
    </row>
    <row r="131" spans="1:9" x14ac:dyDescent="0.3">
      <c r="A131" s="15" t="s">
        <v>429</v>
      </c>
      <c r="B131" s="15" t="s">
        <v>322</v>
      </c>
      <c r="C131" s="15" t="s">
        <v>546</v>
      </c>
      <c r="D131" s="32" t="s">
        <v>164</v>
      </c>
      <c r="E131" s="25" t="s">
        <v>437</v>
      </c>
      <c r="F131" s="42" t="s">
        <v>630</v>
      </c>
      <c r="G131" s="41" t="s">
        <v>62</v>
      </c>
      <c r="H131" s="42" t="s">
        <v>70</v>
      </c>
      <c r="I131" s="32" t="str">
        <f t="shared" si="5"/>
        <v>d04</v>
      </c>
    </row>
    <row r="132" spans="1:9" x14ac:dyDescent="0.3">
      <c r="A132" s="15" t="s">
        <v>429</v>
      </c>
      <c r="B132" s="15" t="s">
        <v>322</v>
      </c>
      <c r="C132" s="15" t="s">
        <v>546</v>
      </c>
      <c r="D132" s="32" t="s">
        <v>164</v>
      </c>
      <c r="E132" s="25" t="s">
        <v>437</v>
      </c>
      <c r="F132" s="42" t="s">
        <v>640</v>
      </c>
      <c r="G132" s="41" t="s">
        <v>80</v>
      </c>
      <c r="H132" s="42" t="s">
        <v>77</v>
      </c>
      <c r="I132" s="32" t="str">
        <f t="shared" si="5"/>
        <v>d18</v>
      </c>
    </row>
    <row r="133" spans="1:9" x14ac:dyDescent="0.3">
      <c r="A133" s="15" t="s">
        <v>429</v>
      </c>
      <c r="B133" s="15" t="s">
        <v>322</v>
      </c>
      <c r="C133" s="15" t="s">
        <v>546</v>
      </c>
      <c r="D133" s="32" t="s">
        <v>164</v>
      </c>
      <c r="E133" s="25" t="s">
        <v>437</v>
      </c>
      <c r="F133" s="42" t="s">
        <v>641</v>
      </c>
      <c r="G133" s="41" t="s">
        <v>69</v>
      </c>
      <c r="H133" s="42" t="s">
        <v>56</v>
      </c>
      <c r="I133" s="32" t="str">
        <f t="shared" si="5"/>
        <v>d02</v>
      </c>
    </row>
    <row r="134" spans="1:9" x14ac:dyDescent="0.3">
      <c r="A134" s="15" t="s">
        <v>434</v>
      </c>
      <c r="B134" s="15" t="s">
        <v>439</v>
      </c>
      <c r="C134" s="15" t="s">
        <v>546</v>
      </c>
      <c r="D134" s="32" t="s">
        <v>164</v>
      </c>
      <c r="E134" s="25" t="s">
        <v>438</v>
      </c>
      <c r="F134" s="42" t="s">
        <v>642</v>
      </c>
      <c r="G134" s="41" t="s">
        <v>68</v>
      </c>
      <c r="H134" s="42" t="s">
        <v>56</v>
      </c>
      <c r="I134" s="32" t="str">
        <f t="shared" si="5"/>
        <v>d01</v>
      </c>
    </row>
    <row r="135" spans="1:9" x14ac:dyDescent="0.3">
      <c r="A135" s="15" t="s">
        <v>434</v>
      </c>
      <c r="B135" s="15" t="s">
        <v>439</v>
      </c>
      <c r="C135" s="15" t="s">
        <v>546</v>
      </c>
      <c r="D135" s="32" t="s">
        <v>164</v>
      </c>
      <c r="E135" s="25" t="s">
        <v>438</v>
      </c>
      <c r="F135" s="42" t="s">
        <v>643</v>
      </c>
      <c r="G135" s="41" t="s">
        <v>2</v>
      </c>
      <c r="H135" s="42" t="s">
        <v>72</v>
      </c>
      <c r="I135" s="32" t="str">
        <f t="shared" si="5"/>
        <v>d08</v>
      </c>
    </row>
    <row r="136" spans="1:9" x14ac:dyDescent="0.3">
      <c r="A136" s="10" t="s">
        <v>406</v>
      </c>
      <c r="B136" s="15" t="s">
        <v>459</v>
      </c>
      <c r="C136" s="15" t="s">
        <v>463</v>
      </c>
      <c r="D136" s="32" t="s">
        <v>164</v>
      </c>
      <c r="E136" s="25" t="s">
        <v>457</v>
      </c>
      <c r="F136" s="42" t="s">
        <v>644</v>
      </c>
      <c r="G136" s="41" t="s">
        <v>2</v>
      </c>
      <c r="H136" s="42" t="s">
        <v>72</v>
      </c>
      <c r="I136" s="32" t="str">
        <f t="shared" si="5"/>
        <v>d08</v>
      </c>
    </row>
    <row r="137" spans="1:9" x14ac:dyDescent="0.3">
      <c r="A137" s="10" t="s">
        <v>406</v>
      </c>
      <c r="B137" s="15" t="s">
        <v>459</v>
      </c>
      <c r="C137" s="15" t="s">
        <v>463</v>
      </c>
      <c r="D137" s="32" t="s">
        <v>164</v>
      </c>
      <c r="E137" s="25" t="s">
        <v>457</v>
      </c>
      <c r="F137" s="42" t="s">
        <v>645</v>
      </c>
      <c r="G137" s="41" t="s">
        <v>70</v>
      </c>
      <c r="H137" s="42" t="s">
        <v>70</v>
      </c>
      <c r="I137" s="32" t="str">
        <f t="shared" si="5"/>
        <v>d03</v>
      </c>
    </row>
    <row r="138" spans="1:9" x14ac:dyDescent="0.3">
      <c r="A138" s="15" t="s">
        <v>502</v>
      </c>
      <c r="B138" s="15" t="s">
        <v>462</v>
      </c>
      <c r="C138" s="15" t="s">
        <v>463</v>
      </c>
      <c r="D138" s="32" t="s">
        <v>164</v>
      </c>
      <c r="E138" s="25" t="s">
        <v>461</v>
      </c>
      <c r="F138" s="42" t="s">
        <v>618</v>
      </c>
      <c r="G138" s="41" t="s">
        <v>68</v>
      </c>
      <c r="H138" s="42" t="s">
        <v>56</v>
      </c>
      <c r="I138" s="32" t="str">
        <f t="shared" si="5"/>
        <v>d01</v>
      </c>
    </row>
    <row r="139" spans="1:9" x14ac:dyDescent="0.3">
      <c r="A139" s="15" t="s">
        <v>502</v>
      </c>
      <c r="B139" s="15" t="s">
        <v>462</v>
      </c>
      <c r="C139" s="15" t="s">
        <v>463</v>
      </c>
      <c r="D139" s="32" t="s">
        <v>164</v>
      </c>
      <c r="E139" s="25" t="s">
        <v>461</v>
      </c>
      <c r="F139" s="42" t="s">
        <v>646</v>
      </c>
      <c r="G139" s="41" t="s">
        <v>70</v>
      </c>
      <c r="H139" s="42" t="s">
        <v>70</v>
      </c>
      <c r="I139" s="32" t="str">
        <f t="shared" si="5"/>
        <v>d03</v>
      </c>
    </row>
    <row r="140" spans="1:9" x14ac:dyDescent="0.3">
      <c r="A140" s="15" t="s">
        <v>502</v>
      </c>
      <c r="B140" s="15" t="s">
        <v>462</v>
      </c>
      <c r="C140" s="15" t="s">
        <v>463</v>
      </c>
      <c r="D140" s="32" t="s">
        <v>164</v>
      </c>
      <c r="E140" s="25" t="s">
        <v>461</v>
      </c>
      <c r="F140" s="42" t="s">
        <v>647</v>
      </c>
      <c r="G140" s="41" t="s">
        <v>2</v>
      </c>
      <c r="H140" s="42" t="s">
        <v>72</v>
      </c>
      <c r="I140" s="32" t="str">
        <f t="shared" si="5"/>
        <v>d08</v>
      </c>
    </row>
    <row r="141" spans="1:9" x14ac:dyDescent="0.3">
      <c r="A141" s="15" t="s">
        <v>502</v>
      </c>
      <c r="B141" s="15" t="s">
        <v>462</v>
      </c>
      <c r="C141" s="15" t="s">
        <v>463</v>
      </c>
      <c r="D141" s="32" t="s">
        <v>164</v>
      </c>
      <c r="E141" s="25" t="s">
        <v>461</v>
      </c>
      <c r="F141" s="42" t="s">
        <v>648</v>
      </c>
      <c r="G141" s="41" t="s">
        <v>11</v>
      </c>
      <c r="H141" s="42" t="s">
        <v>72</v>
      </c>
      <c r="I141" s="32" t="str">
        <f t="shared" si="5"/>
        <v>d13</v>
      </c>
    </row>
    <row r="142" spans="1:9" x14ac:dyDescent="0.3">
      <c r="A142" s="15" t="s">
        <v>512</v>
      </c>
      <c r="B142" s="15" t="s">
        <v>465</v>
      </c>
      <c r="C142" s="15" t="s">
        <v>463</v>
      </c>
      <c r="D142" s="32" t="s">
        <v>164</v>
      </c>
      <c r="E142" s="26" t="s">
        <v>466</v>
      </c>
      <c r="F142" s="42" t="s">
        <v>649</v>
      </c>
      <c r="G142" s="41" t="s">
        <v>2</v>
      </c>
      <c r="H142" s="42" t="s">
        <v>72</v>
      </c>
      <c r="I142" s="32" t="str">
        <f t="shared" si="5"/>
        <v>d08</v>
      </c>
    </row>
    <row r="143" spans="1:9" x14ac:dyDescent="0.3">
      <c r="A143" s="15" t="s">
        <v>512</v>
      </c>
      <c r="B143" s="15" t="s">
        <v>465</v>
      </c>
      <c r="C143" s="15" t="s">
        <v>463</v>
      </c>
      <c r="D143" s="32" t="s">
        <v>164</v>
      </c>
      <c r="E143" s="26" t="s">
        <v>466</v>
      </c>
      <c r="F143" s="42" t="s">
        <v>649</v>
      </c>
      <c r="G143" s="41" t="s">
        <v>70</v>
      </c>
      <c r="H143" s="42" t="s">
        <v>70</v>
      </c>
      <c r="I143" s="32" t="str">
        <f t="shared" si="5"/>
        <v>d03</v>
      </c>
    </row>
    <row r="144" spans="1:9" x14ac:dyDescent="0.3">
      <c r="A144" s="10" t="s">
        <v>513</v>
      </c>
      <c r="B144" s="15" t="s">
        <v>468</v>
      </c>
      <c r="C144" s="15" t="s">
        <v>463</v>
      </c>
      <c r="D144" s="32" t="s">
        <v>164</v>
      </c>
      <c r="E144" s="26" t="s">
        <v>469</v>
      </c>
      <c r="F144" s="11" t="s">
        <v>650</v>
      </c>
      <c r="G144" s="41" t="s">
        <v>2</v>
      </c>
      <c r="H144" s="42" t="s">
        <v>72</v>
      </c>
      <c r="I144" s="32" t="str">
        <f t="shared" si="5"/>
        <v>d08</v>
      </c>
    </row>
    <row r="145" spans="1:9" x14ac:dyDescent="0.3">
      <c r="A145" s="10" t="s">
        <v>513</v>
      </c>
      <c r="B145" s="15" t="s">
        <v>468</v>
      </c>
      <c r="C145" s="15" t="s">
        <v>463</v>
      </c>
      <c r="D145" s="32" t="s">
        <v>164</v>
      </c>
      <c r="E145" s="26" t="s">
        <v>469</v>
      </c>
      <c r="F145" s="42" t="s">
        <v>268</v>
      </c>
      <c r="G145" s="41" t="s">
        <v>80</v>
      </c>
      <c r="H145" s="42" t="s">
        <v>77</v>
      </c>
      <c r="I145" s="32" t="str">
        <f t="shared" si="5"/>
        <v>d18</v>
      </c>
    </row>
    <row r="146" spans="1:9" x14ac:dyDescent="0.3">
      <c r="A146" s="15" t="s">
        <v>514</v>
      </c>
      <c r="B146" s="15" t="s">
        <v>470</v>
      </c>
      <c r="C146" s="15" t="s">
        <v>463</v>
      </c>
      <c r="D146" s="32" t="s">
        <v>164</v>
      </c>
      <c r="E146" s="25" t="s">
        <v>471</v>
      </c>
      <c r="F146" s="42" t="s">
        <v>651</v>
      </c>
      <c r="G146" s="41" t="s">
        <v>69</v>
      </c>
      <c r="H146" s="42" t="s">
        <v>56</v>
      </c>
      <c r="I146" s="32" t="str">
        <f t="shared" si="5"/>
        <v>d02</v>
      </c>
    </row>
    <row r="147" spans="1:9" x14ac:dyDescent="0.3">
      <c r="A147" s="15" t="s">
        <v>514</v>
      </c>
      <c r="B147" s="15" t="s">
        <v>470</v>
      </c>
      <c r="C147" s="15" t="s">
        <v>463</v>
      </c>
      <c r="D147" s="32" t="s">
        <v>164</v>
      </c>
      <c r="E147" s="25" t="s">
        <v>471</v>
      </c>
      <c r="F147" s="42" t="s">
        <v>652</v>
      </c>
      <c r="G147" s="41" t="s">
        <v>65</v>
      </c>
      <c r="H147" s="42" t="s">
        <v>72</v>
      </c>
      <c r="I147" s="32" t="str">
        <f t="shared" si="5"/>
        <v>d12</v>
      </c>
    </row>
    <row r="148" spans="1:9" x14ac:dyDescent="0.3">
      <c r="A148" s="15" t="s">
        <v>514</v>
      </c>
      <c r="B148" s="15" t="s">
        <v>470</v>
      </c>
      <c r="C148" s="15" t="s">
        <v>463</v>
      </c>
      <c r="D148" s="32" t="s">
        <v>164</v>
      </c>
      <c r="E148" s="25" t="s">
        <v>471</v>
      </c>
      <c r="F148" s="42" t="s">
        <v>653</v>
      </c>
      <c r="G148" s="41" t="s">
        <v>70</v>
      </c>
      <c r="H148" s="42" t="s">
        <v>70</v>
      </c>
      <c r="I148" s="32" t="str">
        <f t="shared" si="5"/>
        <v>d03</v>
      </c>
    </row>
    <row r="149" spans="1:9" x14ac:dyDescent="0.3">
      <c r="A149" s="15" t="s">
        <v>516</v>
      </c>
      <c r="B149" s="15" t="s">
        <v>474</v>
      </c>
      <c r="C149" s="15" t="s">
        <v>475</v>
      </c>
      <c r="D149" s="32" t="s">
        <v>164</v>
      </c>
      <c r="E149" s="25" t="s">
        <v>473</v>
      </c>
      <c r="F149" s="42" t="s">
        <v>80</v>
      </c>
      <c r="G149" s="41" t="s">
        <v>80</v>
      </c>
      <c r="H149" s="42" t="s">
        <v>77</v>
      </c>
      <c r="I149" s="32" t="str">
        <f t="shared" si="5"/>
        <v>d18</v>
      </c>
    </row>
    <row r="150" spans="1:9" x14ac:dyDescent="0.3">
      <c r="A150" s="15" t="s">
        <v>516</v>
      </c>
      <c r="B150" s="15" t="s">
        <v>474</v>
      </c>
      <c r="C150" s="15" t="s">
        <v>475</v>
      </c>
      <c r="D150" s="32" t="s">
        <v>164</v>
      </c>
      <c r="E150" s="25" t="s">
        <v>473</v>
      </c>
      <c r="F150" s="42" t="s">
        <v>654</v>
      </c>
      <c r="G150" s="41" t="s">
        <v>77</v>
      </c>
      <c r="H150" s="42" t="s">
        <v>77</v>
      </c>
      <c r="I150" s="32" t="str">
        <f t="shared" si="5"/>
        <v>d16</v>
      </c>
    </row>
    <row r="151" spans="1:9" x14ac:dyDescent="0.3">
      <c r="A151" s="15" t="s">
        <v>516</v>
      </c>
      <c r="B151" s="15" t="s">
        <v>474</v>
      </c>
      <c r="C151" s="15" t="s">
        <v>475</v>
      </c>
      <c r="D151" s="32" t="s">
        <v>164</v>
      </c>
      <c r="E151" s="25" t="s">
        <v>473</v>
      </c>
      <c r="F151" s="42" t="s">
        <v>655</v>
      </c>
      <c r="G151" s="41" t="s">
        <v>68</v>
      </c>
      <c r="H151" s="42" t="s">
        <v>56</v>
      </c>
      <c r="I151" s="32" t="str">
        <f t="shared" si="5"/>
        <v>d01</v>
      </c>
    </row>
    <row r="152" spans="1:9" x14ac:dyDescent="0.3">
      <c r="A152" s="15" t="s">
        <v>516</v>
      </c>
      <c r="B152" s="15" t="s">
        <v>474</v>
      </c>
      <c r="C152" s="15" t="s">
        <v>475</v>
      </c>
      <c r="D152" s="32" t="s">
        <v>164</v>
      </c>
      <c r="E152" s="25" t="s">
        <v>473</v>
      </c>
      <c r="F152" s="42" t="s">
        <v>656</v>
      </c>
      <c r="G152" s="41" t="s">
        <v>69</v>
      </c>
      <c r="H152" s="42" t="s">
        <v>56</v>
      </c>
      <c r="I152" s="32" t="str">
        <f t="shared" si="5"/>
        <v>d02</v>
      </c>
    </row>
    <row r="153" spans="1:9" x14ac:dyDescent="0.3">
      <c r="A153" s="10" t="s">
        <v>518</v>
      </c>
      <c r="B153" s="15" t="s">
        <v>334</v>
      </c>
      <c r="C153" s="15" t="s">
        <v>332</v>
      </c>
      <c r="D153" s="32" t="s">
        <v>328</v>
      </c>
      <c r="E153" s="43" t="s">
        <v>335</v>
      </c>
      <c r="F153" s="42" t="s">
        <v>657</v>
      </c>
      <c r="G153" s="41" t="s">
        <v>73</v>
      </c>
      <c r="H153" s="42" t="s">
        <v>72</v>
      </c>
      <c r="I153" s="32" t="str">
        <f t="shared" si="5"/>
        <v>d06</v>
      </c>
    </row>
    <row r="154" spans="1:9" x14ac:dyDescent="0.3">
      <c r="A154" s="10" t="s">
        <v>519</v>
      </c>
      <c r="B154" s="15" t="s">
        <v>500</v>
      </c>
      <c r="C154" s="15" t="s">
        <v>262</v>
      </c>
      <c r="D154" s="32" t="s">
        <v>491</v>
      </c>
      <c r="E154" s="25" t="s">
        <v>499</v>
      </c>
      <c r="F154" s="42" t="s">
        <v>659</v>
      </c>
      <c r="G154" s="41" t="s">
        <v>58</v>
      </c>
      <c r="H154" s="42" t="s">
        <v>72</v>
      </c>
      <c r="I154" s="32" t="str">
        <f t="shared" si="5"/>
        <v>d09</v>
      </c>
    </row>
    <row r="155" spans="1:9" x14ac:dyDescent="0.3">
      <c r="A155" s="32" t="s">
        <v>520</v>
      </c>
      <c r="B155" s="32" t="s">
        <v>658</v>
      </c>
      <c r="C155" s="15" t="s">
        <v>262</v>
      </c>
      <c r="D155" s="32" t="s">
        <v>491</v>
      </c>
      <c r="E155" s="25" t="s">
        <v>498</v>
      </c>
      <c r="F155" s="42" t="s">
        <v>49</v>
      </c>
      <c r="G155" s="41" t="s">
        <v>49</v>
      </c>
      <c r="H155" s="42" t="s">
        <v>72</v>
      </c>
      <c r="I155" s="32" t="str">
        <f t="shared" si="5"/>
        <v>d05</v>
      </c>
    </row>
    <row r="156" spans="1:9" x14ac:dyDescent="0.3">
      <c r="A156" s="32" t="s">
        <v>520</v>
      </c>
      <c r="B156" s="32" t="s">
        <v>658</v>
      </c>
      <c r="C156" s="15" t="s">
        <v>262</v>
      </c>
      <c r="D156" s="32" t="s">
        <v>491</v>
      </c>
      <c r="E156" s="25" t="s">
        <v>498</v>
      </c>
      <c r="F156" s="42" t="s">
        <v>660</v>
      </c>
      <c r="G156" s="41" t="s">
        <v>58</v>
      </c>
      <c r="H156" s="42" t="s">
        <v>72</v>
      </c>
      <c r="I156" s="32" t="str">
        <f t="shared" si="5"/>
        <v>d09</v>
      </c>
    </row>
    <row r="157" spans="1:9" x14ac:dyDescent="0.3">
      <c r="A157" s="32" t="s">
        <v>520</v>
      </c>
      <c r="B157" s="32" t="s">
        <v>658</v>
      </c>
      <c r="C157" s="15" t="s">
        <v>262</v>
      </c>
      <c r="D157" s="32" t="s">
        <v>491</v>
      </c>
      <c r="E157" s="25" t="s">
        <v>498</v>
      </c>
      <c r="F157" s="42" t="s">
        <v>661</v>
      </c>
      <c r="G157" s="41" t="s">
        <v>60</v>
      </c>
      <c r="H157" s="42" t="s">
        <v>72</v>
      </c>
      <c r="I157" s="32" t="str">
        <f t="shared" si="5"/>
        <v>d10</v>
      </c>
    </row>
    <row r="158" spans="1:9" x14ac:dyDescent="0.3">
      <c r="A158" s="32" t="s">
        <v>662</v>
      </c>
      <c r="B158" s="32" t="s">
        <v>663</v>
      </c>
      <c r="C158" s="15" t="s">
        <v>262</v>
      </c>
      <c r="D158" s="32" t="s">
        <v>491</v>
      </c>
      <c r="E158" s="13" t="s">
        <v>664</v>
      </c>
      <c r="F158" s="42" t="s">
        <v>665</v>
      </c>
      <c r="G158" s="41" t="s">
        <v>74</v>
      </c>
      <c r="H158" s="42" t="s">
        <v>72</v>
      </c>
      <c r="I158" s="32" t="str">
        <f t="shared" si="5"/>
        <v>d07</v>
      </c>
    </row>
    <row r="159" spans="1:9" x14ac:dyDescent="0.3">
      <c r="A159" s="32" t="s">
        <v>662</v>
      </c>
      <c r="B159" s="32" t="s">
        <v>663</v>
      </c>
      <c r="C159" s="15" t="s">
        <v>262</v>
      </c>
      <c r="D159" s="32" t="s">
        <v>491</v>
      </c>
      <c r="E159" s="13" t="s">
        <v>664</v>
      </c>
      <c r="F159" s="42" t="s">
        <v>666</v>
      </c>
      <c r="G159" s="41" t="s">
        <v>49</v>
      </c>
      <c r="H159" s="42" t="s">
        <v>72</v>
      </c>
      <c r="I159" s="32" t="str">
        <f t="shared" si="5"/>
        <v>d05</v>
      </c>
    </row>
    <row r="160" spans="1:9" x14ac:dyDescent="0.3">
      <c r="A160" s="32" t="s">
        <v>662</v>
      </c>
      <c r="B160" s="32" t="s">
        <v>663</v>
      </c>
      <c r="C160" s="15" t="s">
        <v>262</v>
      </c>
      <c r="D160" s="32" t="s">
        <v>491</v>
      </c>
      <c r="E160" s="13" t="s">
        <v>664</v>
      </c>
      <c r="F160" s="42" t="s">
        <v>667</v>
      </c>
      <c r="G160" s="41" t="s">
        <v>58</v>
      </c>
      <c r="H160" s="42" t="s">
        <v>72</v>
      </c>
      <c r="I160" s="32" t="str">
        <f t="shared" si="5"/>
        <v>d09</v>
      </c>
    </row>
    <row r="161" spans="1:9" x14ac:dyDescent="0.3">
      <c r="A161" s="32" t="s">
        <v>662</v>
      </c>
      <c r="B161" s="32" t="s">
        <v>663</v>
      </c>
      <c r="C161" s="15" t="s">
        <v>262</v>
      </c>
      <c r="D161" s="32" t="s">
        <v>491</v>
      </c>
      <c r="E161" s="13" t="s">
        <v>664</v>
      </c>
      <c r="F161" s="42" t="s">
        <v>661</v>
      </c>
      <c r="G161" s="41" t="s">
        <v>60</v>
      </c>
      <c r="H161" s="42" t="s">
        <v>72</v>
      </c>
      <c r="I161" s="32" t="str">
        <f t="shared" si="5"/>
        <v>d10</v>
      </c>
    </row>
    <row r="162" spans="1:9" x14ac:dyDescent="0.3">
      <c r="E162" s="43"/>
    </row>
    <row r="163" spans="1:9" x14ac:dyDescent="0.3">
      <c r="E163" s="43"/>
    </row>
    <row r="164" spans="1:9" x14ac:dyDescent="0.3">
      <c r="E164" s="43"/>
    </row>
    <row r="165" spans="1:9" x14ac:dyDescent="0.3">
      <c r="E165" s="43"/>
    </row>
    <row r="166" spans="1:9" x14ac:dyDescent="0.3">
      <c r="E166" s="43"/>
    </row>
    <row r="167" spans="1:9" x14ac:dyDescent="0.3">
      <c r="E167" s="43"/>
    </row>
    <row r="168" spans="1:9" x14ac:dyDescent="0.3">
      <c r="E168" s="44"/>
    </row>
    <row r="169" spans="1:9" x14ac:dyDescent="0.3">
      <c r="E169" s="43"/>
    </row>
  </sheetData>
  <phoneticPr fontId="5" type="noConversion"/>
  <hyperlinks>
    <hyperlink ref="E18" r:id="rId1"/>
    <hyperlink ref="E24" r:id="rId2"/>
    <hyperlink ref="E33" r:id="rId3"/>
    <hyperlink ref="E21" r:id="rId4"/>
    <hyperlink ref="E23" r:id="rId5"/>
    <hyperlink ref="E32" r:id="rId6"/>
    <hyperlink ref="E2" r:id="rId7"/>
    <hyperlink ref="E3" r:id="rId8"/>
    <hyperlink ref="E4" r:id="rId9"/>
    <hyperlink ref="E5" r:id="rId10"/>
    <hyperlink ref="E6" r:id="rId11"/>
    <hyperlink ref="E7" r:id="rId12"/>
    <hyperlink ref="E8" r:id="rId13"/>
    <hyperlink ref="E9" r:id="rId14"/>
    <hyperlink ref="E16" r:id="rId15" location="data" display="https://gis.utah.gov/ - data"/>
    <hyperlink ref="E15" r:id="rId16" location="data" display="https://gis.utah.gov/ - data"/>
    <hyperlink ref="E14" r:id="rId17" location="data" display="https://gis.utah.gov/ - data"/>
    <hyperlink ref="E13" r:id="rId18" location="data" display="https://gis.utah.gov/ - data"/>
    <hyperlink ref="E12" r:id="rId19" location="data" display="https://gis.utah.gov/ - data"/>
    <hyperlink ref="E11" r:id="rId20" location="data" display="https://gis.utah.gov/ - data"/>
    <hyperlink ref="E17" r:id="rId21"/>
    <hyperlink ref="E19" r:id="rId22"/>
    <hyperlink ref="E20" r:id="rId23"/>
    <hyperlink ref="E22" r:id="rId24"/>
    <hyperlink ref="E25" r:id="rId25"/>
    <hyperlink ref="E26" r:id="rId26"/>
    <hyperlink ref="E27" r:id="rId27"/>
    <hyperlink ref="E28" r:id="rId28"/>
    <hyperlink ref="E29" r:id="rId29"/>
    <hyperlink ref="E30" r:id="rId30"/>
    <hyperlink ref="E31" r:id="rId31"/>
    <hyperlink ref="E34" r:id="rId32"/>
    <hyperlink ref="E35" r:id="rId33"/>
    <hyperlink ref="E36" r:id="rId34"/>
    <hyperlink ref="E37" r:id="rId35"/>
    <hyperlink ref="E38" r:id="rId36" location="individual" display="https://deq.utah.gov/water-quality/updes-permitting-program - individual"/>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2" r:id="rId49"/>
    <hyperlink ref="E53" r:id="rId50"/>
    <hyperlink ref="E54" r:id="rId51"/>
    <hyperlink ref="E55" r:id="rId52"/>
    <hyperlink ref="E56" r:id="rId53"/>
    <hyperlink ref="E57" r:id="rId54"/>
    <hyperlink ref="E60" r:id="rId55"/>
    <hyperlink ref="E61" r:id="rId56"/>
    <hyperlink ref="E62" r:id="rId57"/>
    <hyperlink ref="E63" r:id="rId58"/>
    <hyperlink ref="E64" r:id="rId59"/>
    <hyperlink ref="E65" r:id="rId60"/>
    <hyperlink ref="E66" r:id="rId61"/>
    <hyperlink ref="E67" r:id="rId62"/>
    <hyperlink ref="E68" r:id="rId63"/>
    <hyperlink ref="E69" r:id="rId64"/>
    <hyperlink ref="E70" r:id="rId65"/>
    <hyperlink ref="E71" r:id="rId66"/>
    <hyperlink ref="E72" r:id="rId67"/>
    <hyperlink ref="E73" r:id="rId68"/>
    <hyperlink ref="E74" r:id="rId69"/>
    <hyperlink ref="E75" r:id="rId70"/>
    <hyperlink ref="E76" r:id="rId71"/>
    <hyperlink ref="E77" r:id="rId72"/>
    <hyperlink ref="E78" r:id="rId73"/>
    <hyperlink ref="E79" r:id="rId74"/>
    <hyperlink ref="E80" r:id="rId75"/>
    <hyperlink ref="E81" r:id="rId76"/>
    <hyperlink ref="E82" r:id="rId77"/>
    <hyperlink ref="E83" r:id="rId78"/>
    <hyperlink ref="E84" r:id="rId79"/>
    <hyperlink ref="E85" r:id="rId80"/>
    <hyperlink ref="E86" r:id="rId81"/>
    <hyperlink ref="E87" r:id="rId82"/>
    <hyperlink ref="E88" r:id="rId83"/>
    <hyperlink ref="E89" r:id="rId84"/>
    <hyperlink ref="E90" r:id="rId85"/>
    <hyperlink ref="E91" r:id="rId86"/>
    <hyperlink ref="E92" r:id="rId87"/>
    <hyperlink ref="E93" r:id="rId88"/>
    <hyperlink ref="E94" r:id="rId89"/>
    <hyperlink ref="E95" r:id="rId90"/>
    <hyperlink ref="E96" r:id="rId91"/>
    <hyperlink ref="E97" r:id="rId92"/>
    <hyperlink ref="E98" r:id="rId93"/>
    <hyperlink ref="E99" r:id="rId94"/>
    <hyperlink ref="E100" r:id="rId95"/>
    <hyperlink ref="E101" r:id="rId96"/>
    <hyperlink ref="E102" r:id="rId97"/>
    <hyperlink ref="E103" r:id="rId98"/>
    <hyperlink ref="E104" r:id="rId99"/>
    <hyperlink ref="E105" r:id="rId100"/>
    <hyperlink ref="E106" r:id="rId101"/>
    <hyperlink ref="E107" r:id="rId102"/>
    <hyperlink ref="E108" r:id="rId103"/>
    <hyperlink ref="E109" r:id="rId104"/>
    <hyperlink ref="E110" r:id="rId105"/>
    <hyperlink ref="E111" r:id="rId106"/>
    <hyperlink ref="E112" r:id="rId107"/>
    <hyperlink ref="E113" r:id="rId108"/>
    <hyperlink ref="E114" r:id="rId109"/>
    <hyperlink ref="E115" r:id="rId110"/>
    <hyperlink ref="E116" r:id="rId111"/>
    <hyperlink ref="E117" r:id="rId112"/>
    <hyperlink ref="E118" r:id="rId113"/>
    <hyperlink ref="E119" r:id="rId114"/>
    <hyperlink ref="E120" r:id="rId115"/>
    <hyperlink ref="E121" r:id="rId116"/>
    <hyperlink ref="E122" r:id="rId117"/>
    <hyperlink ref="E123" r:id="rId118"/>
    <hyperlink ref="E124" r:id="rId119"/>
    <hyperlink ref="E125" r:id="rId120"/>
    <hyperlink ref="E126" r:id="rId121"/>
    <hyperlink ref="E127" r:id="rId122"/>
    <hyperlink ref="E128" r:id="rId123"/>
    <hyperlink ref="E129" r:id="rId124"/>
    <hyperlink ref="E130" r:id="rId125"/>
    <hyperlink ref="E131" r:id="rId126"/>
    <hyperlink ref="E132" r:id="rId127"/>
    <hyperlink ref="E133" r:id="rId128"/>
    <hyperlink ref="E134" r:id="rId129" location="download" display="https://oilgas.ogm.utah.gov/oilgasweb/data-center/dc-main.xhtml - download"/>
    <hyperlink ref="E135" r:id="rId130" location="download" display="https://oilgas.ogm.utah.gov/oilgasweb/data-center/dc-main.xhtml - download"/>
    <hyperlink ref="E136" r:id="rId131"/>
    <hyperlink ref="E137" r:id="rId132"/>
    <hyperlink ref="E138" r:id="rId133"/>
    <hyperlink ref="E139" r:id="rId134"/>
    <hyperlink ref="E140" r:id="rId135"/>
    <hyperlink ref="E141" r:id="rId136"/>
    <hyperlink ref="E142" r:id="rId137"/>
    <hyperlink ref="E143" r:id="rId138"/>
    <hyperlink ref="E144" r:id="rId139"/>
    <hyperlink ref="E145" r:id="rId140"/>
    <hyperlink ref="E146" r:id="rId141"/>
    <hyperlink ref="E147" r:id="rId142"/>
    <hyperlink ref="E148" r:id="rId143"/>
    <hyperlink ref="E149" r:id="rId144"/>
    <hyperlink ref="E150" r:id="rId145"/>
    <hyperlink ref="E151" r:id="rId146"/>
    <hyperlink ref="E152" r:id="rId147"/>
    <hyperlink ref="E153" r:id="rId148"/>
    <hyperlink ref="E155" r:id="rId149"/>
    <hyperlink ref="E154" r:id="rId150"/>
    <hyperlink ref="E156" r:id="rId151"/>
    <hyperlink ref="E157" r:id="rId152"/>
    <hyperlink ref="E158" r:id="rId153"/>
    <hyperlink ref="E159" r:id="rId154"/>
    <hyperlink ref="E160" r:id="rId155"/>
    <hyperlink ref="E161" r:id="rId156"/>
    <hyperlink ref="E10" r:id="rId157" location="data" display="https://gis.utah.gov/ - data"/>
  </hyperlinks>
  <pageMargins left="0.7" right="0.7" top="0.75" bottom="0.75" header="0.3" footer="0.3"/>
  <pageSetup orientation="portrait" r:id="rId158"/>
  <legacyDrawing r:id="rId15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2"/>
  <sheetViews>
    <sheetView tabSelected="1" workbookViewId="0">
      <selection activeCell="A11" sqref="A11"/>
    </sheetView>
  </sheetViews>
  <sheetFormatPr defaultColWidth="8.69921875" defaultRowHeight="15.6" x14ac:dyDescent="0.3"/>
  <cols>
    <col min="1" max="16384" width="8.69921875" style="1"/>
  </cols>
  <sheetData>
    <row r="1" spans="1:2" x14ac:dyDescent="0.3">
      <c r="A1" s="4" t="s">
        <v>33</v>
      </c>
      <c r="B1" s="4" t="s">
        <v>34</v>
      </c>
    </row>
    <row r="2" spans="1:2" x14ac:dyDescent="0.3">
      <c r="A2" s="30" t="s">
        <v>36</v>
      </c>
      <c r="B2" s="1" t="s">
        <v>48</v>
      </c>
    </row>
    <row r="3" spans="1:2" x14ac:dyDescent="0.3">
      <c r="A3" s="30" t="s">
        <v>36</v>
      </c>
      <c r="B3" s="1" t="s">
        <v>55</v>
      </c>
    </row>
    <row r="4" spans="1:2" x14ac:dyDescent="0.3">
      <c r="A4" s="30" t="s">
        <v>36</v>
      </c>
      <c r="B4" s="1" t="s">
        <v>47</v>
      </c>
    </row>
    <row r="5" spans="1:2" x14ac:dyDescent="0.3">
      <c r="A5" s="30" t="s">
        <v>36</v>
      </c>
      <c r="B5" s="1" t="s">
        <v>64</v>
      </c>
    </row>
    <row r="6" spans="1:2" x14ac:dyDescent="0.3">
      <c r="A6" s="30" t="s">
        <v>36</v>
      </c>
      <c r="B6" s="1" t="s">
        <v>78</v>
      </c>
    </row>
    <row r="7" spans="1:2" x14ac:dyDescent="0.3">
      <c r="A7" s="30" t="s">
        <v>36</v>
      </c>
      <c r="B7" s="1" t="s">
        <v>52</v>
      </c>
    </row>
    <row r="8" spans="1:2" x14ac:dyDescent="0.3">
      <c r="A8" s="30" t="s">
        <v>36</v>
      </c>
      <c r="B8" s="1" t="s">
        <v>59</v>
      </c>
    </row>
    <row r="9" spans="1:2" x14ac:dyDescent="0.3">
      <c r="A9" s="30" t="s">
        <v>36</v>
      </c>
      <c r="B9" s="1" t="s">
        <v>50</v>
      </c>
    </row>
    <row r="10" spans="1:2" s="11" customFormat="1" x14ac:dyDescent="0.3">
      <c r="A10" s="30" t="s">
        <v>37</v>
      </c>
      <c r="B10" s="11" t="s">
        <v>48</v>
      </c>
    </row>
    <row r="11" spans="1:2" x14ac:dyDescent="0.3">
      <c r="A11" s="30" t="s">
        <v>37</v>
      </c>
      <c r="B11" s="1" t="s">
        <v>47</v>
      </c>
    </row>
    <row r="12" spans="1:2" x14ac:dyDescent="0.3">
      <c r="A12" s="30" t="s">
        <v>37</v>
      </c>
      <c r="B12" s="1" t="s">
        <v>64</v>
      </c>
    </row>
    <row r="13" spans="1:2" x14ac:dyDescent="0.3">
      <c r="A13" s="30" t="s">
        <v>37</v>
      </c>
      <c r="B13" s="1" t="s">
        <v>78</v>
      </c>
    </row>
    <row r="14" spans="1:2" x14ac:dyDescent="0.3">
      <c r="A14" s="30" t="s">
        <v>37</v>
      </c>
      <c r="B14" s="1" t="s">
        <v>52</v>
      </c>
    </row>
    <row r="15" spans="1:2" x14ac:dyDescent="0.3">
      <c r="A15" s="30" t="s">
        <v>37</v>
      </c>
      <c r="B15" s="1" t="s">
        <v>59</v>
      </c>
    </row>
    <row r="16" spans="1:2" x14ac:dyDescent="0.3">
      <c r="A16" s="30" t="s">
        <v>37</v>
      </c>
      <c r="B16" s="1" t="s">
        <v>50</v>
      </c>
    </row>
    <row r="17" spans="1:2" x14ac:dyDescent="0.3">
      <c r="A17" s="40" t="s">
        <v>38</v>
      </c>
      <c r="B17" s="1" t="s">
        <v>50</v>
      </c>
    </row>
    <row r="18" spans="1:2" x14ac:dyDescent="0.3">
      <c r="A18" s="32" t="s">
        <v>39</v>
      </c>
      <c r="B18" s="1" t="s">
        <v>47</v>
      </c>
    </row>
    <row r="19" spans="1:2" x14ac:dyDescent="0.3">
      <c r="A19" s="15" t="s">
        <v>40</v>
      </c>
      <c r="B19" s="1" t="s">
        <v>50</v>
      </c>
    </row>
    <row r="20" spans="1:2" x14ac:dyDescent="0.3">
      <c r="A20" s="10" t="s">
        <v>41</v>
      </c>
      <c r="B20" s="1" t="s">
        <v>50</v>
      </c>
    </row>
    <row r="21" spans="1:2" x14ac:dyDescent="0.3">
      <c r="A21" s="15" t="s">
        <v>42</v>
      </c>
      <c r="B21" s="1" t="s">
        <v>47</v>
      </c>
    </row>
    <row r="22" spans="1:2" x14ac:dyDescent="0.3">
      <c r="A22" s="15" t="s">
        <v>43</v>
      </c>
      <c r="B22" s="1" t="s">
        <v>66</v>
      </c>
    </row>
    <row r="23" spans="1:2" x14ac:dyDescent="0.3">
      <c r="A23" s="10" t="s">
        <v>44</v>
      </c>
      <c r="B23" s="1" t="s">
        <v>48</v>
      </c>
    </row>
    <row r="24" spans="1:2" x14ac:dyDescent="0.3">
      <c r="A24" s="10" t="s">
        <v>44</v>
      </c>
      <c r="B24" s="1" t="s">
        <v>47</v>
      </c>
    </row>
    <row r="25" spans="1:2" x14ac:dyDescent="0.3">
      <c r="A25" s="10" t="s">
        <v>44</v>
      </c>
      <c r="B25" s="1" t="s">
        <v>71</v>
      </c>
    </row>
    <row r="26" spans="1:2" x14ac:dyDescent="0.3">
      <c r="A26" s="10" t="s">
        <v>44</v>
      </c>
      <c r="B26" s="1" t="s">
        <v>64</v>
      </c>
    </row>
    <row r="27" spans="1:2" x14ac:dyDescent="0.3">
      <c r="A27" s="10" t="s">
        <v>44</v>
      </c>
      <c r="B27" s="1" t="s">
        <v>50</v>
      </c>
    </row>
    <row r="28" spans="1:2" x14ac:dyDescent="0.3">
      <c r="A28" s="10" t="s">
        <v>44</v>
      </c>
      <c r="B28" s="1" t="s">
        <v>55</v>
      </c>
    </row>
    <row r="29" spans="1:2" x14ac:dyDescent="0.3">
      <c r="A29" s="10" t="s">
        <v>44</v>
      </c>
      <c r="B29" s="1" t="s">
        <v>66</v>
      </c>
    </row>
    <row r="30" spans="1:2" x14ac:dyDescent="0.3">
      <c r="A30" s="10" t="s">
        <v>44</v>
      </c>
      <c r="B30" s="1" t="s">
        <v>78</v>
      </c>
    </row>
    <row r="31" spans="1:2" x14ac:dyDescent="0.3">
      <c r="A31" s="15" t="s">
        <v>45</v>
      </c>
      <c r="B31" s="1" t="s">
        <v>71</v>
      </c>
    </row>
    <row r="32" spans="1:2" x14ac:dyDescent="0.3">
      <c r="A32" s="15" t="s">
        <v>46</v>
      </c>
      <c r="B32" s="1" t="s">
        <v>71</v>
      </c>
    </row>
    <row r="33" spans="1:2" x14ac:dyDescent="0.3">
      <c r="A33" s="15" t="s">
        <v>46</v>
      </c>
      <c r="B33" s="1" t="s">
        <v>66</v>
      </c>
    </row>
    <row r="34" spans="1:2" x14ac:dyDescent="0.3">
      <c r="A34" s="15" t="s">
        <v>157</v>
      </c>
      <c r="B34" s="1" t="s">
        <v>50</v>
      </c>
    </row>
    <row r="35" spans="1:2" x14ac:dyDescent="0.3">
      <c r="A35" s="10" t="s">
        <v>207</v>
      </c>
      <c r="B35" s="1" t="s">
        <v>71</v>
      </c>
    </row>
    <row r="36" spans="1:2" x14ac:dyDescent="0.3">
      <c r="A36" s="15" t="s">
        <v>208</v>
      </c>
      <c r="B36" s="1" t="s">
        <v>71</v>
      </c>
    </row>
    <row r="37" spans="1:2" x14ac:dyDescent="0.3">
      <c r="A37" s="15" t="s">
        <v>209</v>
      </c>
      <c r="B37" s="1" t="s">
        <v>71</v>
      </c>
    </row>
    <row r="38" spans="1:2" x14ac:dyDescent="0.3">
      <c r="A38" s="15" t="s">
        <v>209</v>
      </c>
      <c r="B38" s="1" t="s">
        <v>64</v>
      </c>
    </row>
    <row r="39" spans="1:2" x14ac:dyDescent="0.3">
      <c r="A39" s="15" t="s">
        <v>209</v>
      </c>
      <c r="B39" s="1" t="s">
        <v>50</v>
      </c>
    </row>
    <row r="40" spans="1:2" x14ac:dyDescent="0.3">
      <c r="A40" s="10" t="s">
        <v>210</v>
      </c>
      <c r="B40" s="1" t="s">
        <v>71</v>
      </c>
    </row>
    <row r="41" spans="1:2" x14ac:dyDescent="0.3">
      <c r="A41" s="10" t="s">
        <v>210</v>
      </c>
      <c r="B41" s="1" t="s">
        <v>50</v>
      </c>
    </row>
    <row r="42" spans="1:2" x14ac:dyDescent="0.3">
      <c r="A42" s="15" t="s">
        <v>211</v>
      </c>
      <c r="B42" s="1" t="s">
        <v>50</v>
      </c>
    </row>
    <row r="43" spans="1:2" x14ac:dyDescent="0.3">
      <c r="A43" s="15" t="s">
        <v>212</v>
      </c>
      <c r="B43" s="1" t="s">
        <v>50</v>
      </c>
    </row>
    <row r="44" spans="1:2" x14ac:dyDescent="0.3">
      <c r="A44" s="10" t="s">
        <v>213</v>
      </c>
      <c r="B44" s="1" t="s">
        <v>50</v>
      </c>
    </row>
    <row r="45" spans="1:2" x14ac:dyDescent="0.3">
      <c r="A45" s="15" t="s">
        <v>214</v>
      </c>
      <c r="B45" s="1" t="s">
        <v>50</v>
      </c>
    </row>
    <row r="46" spans="1:2" x14ac:dyDescent="0.3">
      <c r="A46" s="15" t="s">
        <v>215</v>
      </c>
      <c r="B46" s="1" t="s">
        <v>71</v>
      </c>
    </row>
    <row r="47" spans="1:2" x14ac:dyDescent="0.3">
      <c r="A47" s="15" t="s">
        <v>159</v>
      </c>
      <c r="B47" s="1" t="s">
        <v>66</v>
      </c>
    </row>
    <row r="48" spans="1:2" x14ac:dyDescent="0.3">
      <c r="A48" s="15" t="s">
        <v>159</v>
      </c>
      <c r="B48" s="1" t="s">
        <v>71</v>
      </c>
    </row>
    <row r="49" spans="1:2" x14ac:dyDescent="0.3">
      <c r="A49" s="10" t="s">
        <v>160</v>
      </c>
      <c r="B49" s="1" t="s">
        <v>52</v>
      </c>
    </row>
    <row r="50" spans="1:2" x14ac:dyDescent="0.3">
      <c r="A50" s="15" t="s">
        <v>169</v>
      </c>
      <c r="B50" s="1" t="s">
        <v>67</v>
      </c>
    </row>
    <row r="51" spans="1:2" x14ac:dyDescent="0.3">
      <c r="A51" s="15" t="s">
        <v>169</v>
      </c>
      <c r="B51" s="1" t="s">
        <v>64</v>
      </c>
    </row>
    <row r="52" spans="1:2" x14ac:dyDescent="0.3">
      <c r="A52" s="15" t="s">
        <v>169</v>
      </c>
      <c r="B52" s="1" t="s">
        <v>66</v>
      </c>
    </row>
    <row r="53" spans="1:2" x14ac:dyDescent="0.3">
      <c r="A53" s="15" t="s">
        <v>169</v>
      </c>
      <c r="B53" s="1" t="s">
        <v>78</v>
      </c>
    </row>
    <row r="54" spans="1:2" x14ac:dyDescent="0.3">
      <c r="A54" s="15" t="s">
        <v>169</v>
      </c>
      <c r="B54" s="1" t="s">
        <v>47</v>
      </c>
    </row>
    <row r="55" spans="1:2" x14ac:dyDescent="0.3">
      <c r="A55" s="15" t="s">
        <v>169</v>
      </c>
      <c r="B55" s="1" t="s">
        <v>48</v>
      </c>
    </row>
    <row r="56" spans="1:2" x14ac:dyDescent="0.3">
      <c r="A56" s="15" t="s">
        <v>170</v>
      </c>
      <c r="B56" s="1" t="s">
        <v>57</v>
      </c>
    </row>
    <row r="57" spans="1:2" x14ac:dyDescent="0.3">
      <c r="A57" s="10" t="s">
        <v>171</v>
      </c>
      <c r="B57" s="1" t="s">
        <v>59</v>
      </c>
    </row>
    <row r="58" spans="1:2" x14ac:dyDescent="0.3">
      <c r="A58" s="15" t="s">
        <v>173</v>
      </c>
      <c r="B58" s="1" t="s">
        <v>67</v>
      </c>
    </row>
    <row r="59" spans="1:2" x14ac:dyDescent="0.3">
      <c r="A59" s="15" t="s">
        <v>175</v>
      </c>
      <c r="B59" s="1" t="s">
        <v>67</v>
      </c>
    </row>
    <row r="60" spans="1:2" x14ac:dyDescent="0.3">
      <c r="A60" s="10" t="s">
        <v>180</v>
      </c>
      <c r="B60" s="1" t="s">
        <v>52</v>
      </c>
    </row>
    <row r="61" spans="1:2" x14ac:dyDescent="0.3">
      <c r="A61" s="15" t="s">
        <v>203</v>
      </c>
      <c r="B61" s="1" t="s">
        <v>66</v>
      </c>
    </row>
    <row r="62" spans="1:2" x14ac:dyDescent="0.3">
      <c r="A62" s="15" t="s">
        <v>203</v>
      </c>
      <c r="B62" s="1" t="s">
        <v>63</v>
      </c>
    </row>
    <row r="63" spans="1:2" x14ac:dyDescent="0.3">
      <c r="A63" s="15" t="s">
        <v>203</v>
      </c>
      <c r="B63" s="1" t="s">
        <v>55</v>
      </c>
    </row>
    <row r="64" spans="1:2" x14ac:dyDescent="0.3">
      <c r="A64" s="15" t="s">
        <v>203</v>
      </c>
      <c r="B64" s="1" t="s">
        <v>51</v>
      </c>
    </row>
    <row r="65" spans="1:2" x14ac:dyDescent="0.3">
      <c r="A65" s="15" t="s">
        <v>203</v>
      </c>
      <c r="B65" s="1" t="s">
        <v>53</v>
      </c>
    </row>
    <row r="66" spans="1:2" x14ac:dyDescent="0.3">
      <c r="A66" s="15" t="s">
        <v>203</v>
      </c>
      <c r="B66" s="1" t="s">
        <v>75</v>
      </c>
    </row>
    <row r="67" spans="1:2" x14ac:dyDescent="0.3">
      <c r="A67" s="15" t="s">
        <v>203</v>
      </c>
      <c r="B67" s="1" t="s">
        <v>57</v>
      </c>
    </row>
    <row r="68" spans="1:2" x14ac:dyDescent="0.3">
      <c r="A68" s="15" t="s">
        <v>227</v>
      </c>
      <c r="B68" s="1" t="s">
        <v>51</v>
      </c>
    </row>
    <row r="69" spans="1:2" x14ac:dyDescent="0.3">
      <c r="A69" s="15" t="s">
        <v>227</v>
      </c>
      <c r="B69" s="1" t="s">
        <v>57</v>
      </c>
    </row>
    <row r="70" spans="1:2" x14ac:dyDescent="0.3">
      <c r="A70" s="15" t="s">
        <v>227</v>
      </c>
      <c r="B70" s="1" t="s">
        <v>78</v>
      </c>
    </row>
    <row r="71" spans="1:2" x14ac:dyDescent="0.3">
      <c r="A71" s="15" t="s">
        <v>227</v>
      </c>
      <c r="B71" s="1" t="s">
        <v>75</v>
      </c>
    </row>
    <row r="72" spans="1:2" x14ac:dyDescent="0.3">
      <c r="A72" s="10" t="s">
        <v>248</v>
      </c>
      <c r="B72" s="1" t="s">
        <v>47</v>
      </c>
    </row>
    <row r="73" spans="1:2" x14ac:dyDescent="0.3">
      <c r="A73" s="15" t="s">
        <v>251</v>
      </c>
      <c r="B73" s="1" t="s">
        <v>47</v>
      </c>
    </row>
    <row r="74" spans="1:2" x14ac:dyDescent="0.3">
      <c r="A74" s="15" t="s">
        <v>251</v>
      </c>
      <c r="B74" s="1" t="s">
        <v>78</v>
      </c>
    </row>
    <row r="75" spans="1:2" x14ac:dyDescent="0.3">
      <c r="A75" s="15" t="s">
        <v>251</v>
      </c>
      <c r="B75" s="1" t="s">
        <v>55</v>
      </c>
    </row>
    <row r="76" spans="1:2" x14ac:dyDescent="0.3">
      <c r="A76" s="15" t="s">
        <v>251</v>
      </c>
      <c r="B76" s="1" t="s">
        <v>48</v>
      </c>
    </row>
    <row r="77" spans="1:2" x14ac:dyDescent="0.3">
      <c r="A77" s="15" t="s">
        <v>251</v>
      </c>
      <c r="B77" s="1" t="s">
        <v>67</v>
      </c>
    </row>
    <row r="78" spans="1:2" x14ac:dyDescent="0.3">
      <c r="A78" s="15" t="s">
        <v>251</v>
      </c>
      <c r="B78" s="1" t="s">
        <v>64</v>
      </c>
    </row>
    <row r="79" spans="1:2" x14ac:dyDescent="0.3">
      <c r="A79" s="15" t="s">
        <v>251</v>
      </c>
      <c r="B79" s="1" t="s">
        <v>71</v>
      </c>
    </row>
    <row r="80" spans="1:2" x14ac:dyDescent="0.3">
      <c r="A80" s="15" t="s">
        <v>256</v>
      </c>
      <c r="B80" s="1" t="s">
        <v>71</v>
      </c>
    </row>
    <row r="81" spans="1:2" x14ac:dyDescent="0.3">
      <c r="A81" s="15" t="s">
        <v>256</v>
      </c>
      <c r="B81" s="1" t="s">
        <v>64</v>
      </c>
    </row>
    <row r="82" spans="1:2" x14ac:dyDescent="0.3">
      <c r="A82" s="15" t="s">
        <v>256</v>
      </c>
      <c r="B82" s="1" t="s">
        <v>63</v>
      </c>
    </row>
    <row r="83" spans="1:2" x14ac:dyDescent="0.3">
      <c r="A83" s="15" t="s">
        <v>256</v>
      </c>
      <c r="B83" s="1" t="s">
        <v>67</v>
      </c>
    </row>
    <row r="84" spans="1:2" x14ac:dyDescent="0.3">
      <c r="A84" s="32" t="s">
        <v>258</v>
      </c>
      <c r="B84" s="1" t="s">
        <v>66</v>
      </c>
    </row>
    <row r="85" spans="1:2" x14ac:dyDescent="0.3">
      <c r="A85" s="32" t="s">
        <v>258</v>
      </c>
      <c r="B85" s="1" t="s">
        <v>64</v>
      </c>
    </row>
    <row r="86" spans="1:2" x14ac:dyDescent="0.3">
      <c r="A86" s="15" t="s">
        <v>261</v>
      </c>
      <c r="B86" s="1" t="s">
        <v>64</v>
      </c>
    </row>
    <row r="87" spans="1:2" x14ac:dyDescent="0.3">
      <c r="A87" s="15" t="s">
        <v>264</v>
      </c>
      <c r="B87" s="1" t="s">
        <v>63</v>
      </c>
    </row>
    <row r="88" spans="1:2" x14ac:dyDescent="0.3">
      <c r="A88" s="15" t="s">
        <v>264</v>
      </c>
      <c r="B88" s="1" t="s">
        <v>59</v>
      </c>
    </row>
    <row r="89" spans="1:2" x14ac:dyDescent="0.3">
      <c r="A89" s="15" t="s">
        <v>264</v>
      </c>
      <c r="B89" s="1" t="s">
        <v>53</v>
      </c>
    </row>
    <row r="90" spans="1:2" x14ac:dyDescent="0.3">
      <c r="A90" s="15" t="s">
        <v>264</v>
      </c>
      <c r="B90" s="1" t="s">
        <v>57</v>
      </c>
    </row>
    <row r="91" spans="1:2" x14ac:dyDescent="0.3">
      <c r="A91" s="15" t="s">
        <v>264</v>
      </c>
      <c r="B91" s="1" t="s">
        <v>75</v>
      </c>
    </row>
    <row r="92" spans="1:2" x14ac:dyDescent="0.3">
      <c r="A92" s="10" t="s">
        <v>267</v>
      </c>
      <c r="B92" s="1" t="s">
        <v>63</v>
      </c>
    </row>
    <row r="93" spans="1:2" x14ac:dyDescent="0.3">
      <c r="A93" s="15" t="s">
        <v>270</v>
      </c>
      <c r="B93" s="1" t="s">
        <v>59</v>
      </c>
    </row>
    <row r="94" spans="1:2" x14ac:dyDescent="0.3">
      <c r="A94" s="15" t="s">
        <v>270</v>
      </c>
      <c r="B94" s="1" t="s">
        <v>75</v>
      </c>
    </row>
    <row r="95" spans="1:2" x14ac:dyDescent="0.3">
      <c r="A95" s="15" t="s">
        <v>270</v>
      </c>
      <c r="B95" s="1" t="s">
        <v>52</v>
      </c>
    </row>
    <row r="96" spans="1:2" x14ac:dyDescent="0.3">
      <c r="A96" s="15" t="s">
        <v>279</v>
      </c>
      <c r="B96" s="1" t="s">
        <v>67</v>
      </c>
    </row>
    <row r="97" spans="1:2" x14ac:dyDescent="0.3">
      <c r="A97" s="15" t="s">
        <v>279</v>
      </c>
      <c r="B97" s="1" t="s">
        <v>55</v>
      </c>
    </row>
    <row r="98" spans="1:2" x14ac:dyDescent="0.3">
      <c r="A98" s="15" t="s">
        <v>279</v>
      </c>
      <c r="B98" s="1" t="s">
        <v>64</v>
      </c>
    </row>
    <row r="99" spans="1:2" x14ac:dyDescent="0.3">
      <c r="A99" s="10" t="s">
        <v>289</v>
      </c>
      <c r="B99" s="1" t="s">
        <v>55</v>
      </c>
    </row>
    <row r="100" spans="1:2" x14ac:dyDescent="0.3">
      <c r="A100" s="15" t="s">
        <v>295</v>
      </c>
      <c r="B100" s="1" t="s">
        <v>47</v>
      </c>
    </row>
    <row r="101" spans="1:2" x14ac:dyDescent="0.3">
      <c r="A101" s="15" t="s">
        <v>295</v>
      </c>
      <c r="B101" s="1" t="s">
        <v>55</v>
      </c>
    </row>
    <row r="102" spans="1:2" x14ac:dyDescent="0.3">
      <c r="A102" s="15" t="s">
        <v>295</v>
      </c>
      <c r="B102" s="1" t="s">
        <v>71</v>
      </c>
    </row>
    <row r="103" spans="1:2" x14ac:dyDescent="0.3">
      <c r="A103" s="15" t="s">
        <v>295</v>
      </c>
      <c r="B103" s="1" t="s">
        <v>50</v>
      </c>
    </row>
    <row r="104" spans="1:2" x14ac:dyDescent="0.3">
      <c r="A104" s="15" t="s">
        <v>295</v>
      </c>
      <c r="B104" s="1" t="s">
        <v>64</v>
      </c>
    </row>
    <row r="105" spans="1:2" x14ac:dyDescent="0.3">
      <c r="A105" s="15" t="s">
        <v>300</v>
      </c>
      <c r="B105" s="1" t="s">
        <v>47</v>
      </c>
    </row>
    <row r="106" spans="1:2" x14ac:dyDescent="0.3">
      <c r="A106" s="10" t="s">
        <v>309</v>
      </c>
      <c r="B106" s="1" t="s">
        <v>47</v>
      </c>
    </row>
    <row r="107" spans="1:2" x14ac:dyDescent="0.3">
      <c r="A107" s="10" t="s">
        <v>309</v>
      </c>
      <c r="B107" s="1" t="s">
        <v>55</v>
      </c>
    </row>
    <row r="108" spans="1:2" x14ac:dyDescent="0.3">
      <c r="A108" s="10" t="s">
        <v>309</v>
      </c>
      <c r="B108" s="1" t="s">
        <v>71</v>
      </c>
    </row>
    <row r="109" spans="1:2" x14ac:dyDescent="0.3">
      <c r="A109" s="10" t="s">
        <v>309</v>
      </c>
      <c r="B109" s="1" t="s">
        <v>50</v>
      </c>
    </row>
    <row r="110" spans="1:2" x14ac:dyDescent="0.3">
      <c r="A110" s="10" t="s">
        <v>309</v>
      </c>
      <c r="B110" s="1" t="s">
        <v>64</v>
      </c>
    </row>
    <row r="111" spans="1:2" x14ac:dyDescent="0.3">
      <c r="A111" s="15" t="s">
        <v>317</v>
      </c>
      <c r="B111" s="1" t="s">
        <v>47</v>
      </c>
    </row>
    <row r="112" spans="1:2" x14ac:dyDescent="0.3">
      <c r="A112" s="15" t="s">
        <v>317</v>
      </c>
      <c r="B112" s="1" t="s">
        <v>55</v>
      </c>
    </row>
    <row r="113" spans="1:2" x14ac:dyDescent="0.3">
      <c r="A113" s="15" t="s">
        <v>318</v>
      </c>
      <c r="B113" s="1" t="s">
        <v>55</v>
      </c>
    </row>
    <row r="114" spans="1:2" x14ac:dyDescent="0.3">
      <c r="A114" s="10" t="s">
        <v>319</v>
      </c>
      <c r="B114" s="1" t="s">
        <v>47</v>
      </c>
    </row>
    <row r="115" spans="1:2" x14ac:dyDescent="0.3">
      <c r="A115" s="10" t="s">
        <v>319</v>
      </c>
      <c r="B115" s="1" t="s">
        <v>59</v>
      </c>
    </row>
    <row r="116" spans="1:2" x14ac:dyDescent="0.3">
      <c r="A116" s="10" t="s">
        <v>319</v>
      </c>
      <c r="B116" s="1" t="s">
        <v>64</v>
      </c>
    </row>
    <row r="117" spans="1:2" x14ac:dyDescent="0.3">
      <c r="A117" s="15" t="s">
        <v>320</v>
      </c>
      <c r="B117" s="1" t="s">
        <v>59</v>
      </c>
    </row>
    <row r="118" spans="1:2" x14ac:dyDescent="0.3">
      <c r="A118" s="15" t="s">
        <v>321</v>
      </c>
      <c r="B118" s="1" t="s">
        <v>71</v>
      </c>
    </row>
    <row r="119" spans="1:2" x14ac:dyDescent="0.3">
      <c r="A119" s="10" t="s">
        <v>508</v>
      </c>
      <c r="B119" s="1" t="s">
        <v>71</v>
      </c>
    </row>
    <row r="120" spans="1:2" x14ac:dyDescent="0.3">
      <c r="A120" s="10" t="s">
        <v>508</v>
      </c>
      <c r="B120" s="1" t="s">
        <v>64</v>
      </c>
    </row>
    <row r="121" spans="1:2" x14ac:dyDescent="0.3">
      <c r="A121" s="10" t="s">
        <v>508</v>
      </c>
      <c r="B121" s="1" t="s">
        <v>67</v>
      </c>
    </row>
    <row r="122" spans="1:2" x14ac:dyDescent="0.3">
      <c r="A122" s="15" t="s">
        <v>408</v>
      </c>
      <c r="B122" s="1" t="s">
        <v>71</v>
      </c>
    </row>
    <row r="123" spans="1:2" x14ac:dyDescent="0.3">
      <c r="A123" s="10" t="s">
        <v>412</v>
      </c>
      <c r="B123" s="1" t="s">
        <v>47</v>
      </c>
    </row>
    <row r="124" spans="1:2" x14ac:dyDescent="0.3">
      <c r="A124" s="10" t="s">
        <v>412</v>
      </c>
      <c r="B124" s="1" t="s">
        <v>63</v>
      </c>
    </row>
    <row r="125" spans="1:2" x14ac:dyDescent="0.3">
      <c r="A125" s="10" t="s">
        <v>412</v>
      </c>
      <c r="B125" s="1" t="s">
        <v>50</v>
      </c>
    </row>
    <row r="126" spans="1:2" x14ac:dyDescent="0.3">
      <c r="A126" s="10" t="s">
        <v>412</v>
      </c>
      <c r="B126" s="1" t="s">
        <v>55</v>
      </c>
    </row>
    <row r="127" spans="1:2" x14ac:dyDescent="0.3">
      <c r="A127" s="15" t="s">
        <v>429</v>
      </c>
      <c r="B127" s="1" t="s">
        <v>47</v>
      </c>
    </row>
    <row r="128" spans="1:2" x14ac:dyDescent="0.3">
      <c r="A128" s="15" t="s">
        <v>429</v>
      </c>
      <c r="B128" s="1" t="s">
        <v>71</v>
      </c>
    </row>
    <row r="129" spans="1:2" x14ac:dyDescent="0.3">
      <c r="A129" s="15" t="s">
        <v>429</v>
      </c>
      <c r="B129" s="1" t="s">
        <v>67</v>
      </c>
    </row>
    <row r="130" spans="1:2" x14ac:dyDescent="0.3">
      <c r="A130" s="15" t="s">
        <v>429</v>
      </c>
      <c r="B130" s="1" t="s">
        <v>48</v>
      </c>
    </row>
    <row r="131" spans="1:2" x14ac:dyDescent="0.3">
      <c r="A131" s="15" t="s">
        <v>434</v>
      </c>
      <c r="B131" s="1" t="s">
        <v>47</v>
      </c>
    </row>
    <row r="132" spans="1:2" x14ac:dyDescent="0.3">
      <c r="A132" s="15" t="s">
        <v>434</v>
      </c>
      <c r="B132" s="1" t="s">
        <v>55</v>
      </c>
    </row>
    <row r="133" spans="1:2" x14ac:dyDescent="0.3">
      <c r="A133" s="10" t="s">
        <v>406</v>
      </c>
      <c r="B133" s="1" t="s">
        <v>55</v>
      </c>
    </row>
    <row r="134" spans="1:2" x14ac:dyDescent="0.3">
      <c r="A134" s="10" t="s">
        <v>406</v>
      </c>
      <c r="B134" s="1" t="s">
        <v>50</v>
      </c>
    </row>
    <row r="135" spans="1:2" x14ac:dyDescent="0.3">
      <c r="A135" s="15" t="s">
        <v>502</v>
      </c>
      <c r="B135" s="1" t="s">
        <v>47</v>
      </c>
    </row>
    <row r="136" spans="1:2" x14ac:dyDescent="0.3">
      <c r="A136" s="15" t="s">
        <v>502</v>
      </c>
      <c r="B136" s="1" t="s">
        <v>50</v>
      </c>
    </row>
    <row r="137" spans="1:2" x14ac:dyDescent="0.3">
      <c r="A137" s="15" t="s">
        <v>502</v>
      </c>
      <c r="B137" s="1" t="s">
        <v>55</v>
      </c>
    </row>
    <row r="138" spans="1:2" x14ac:dyDescent="0.3">
      <c r="A138" s="15" t="s">
        <v>502</v>
      </c>
      <c r="B138" s="1" t="s">
        <v>63</v>
      </c>
    </row>
    <row r="139" spans="1:2" x14ac:dyDescent="0.3">
      <c r="A139" s="15" t="s">
        <v>512</v>
      </c>
      <c r="B139" s="1" t="s">
        <v>55</v>
      </c>
    </row>
    <row r="140" spans="1:2" x14ac:dyDescent="0.3">
      <c r="A140" s="15" t="s">
        <v>512</v>
      </c>
      <c r="B140" s="1" t="s">
        <v>50</v>
      </c>
    </row>
    <row r="141" spans="1:2" x14ac:dyDescent="0.3">
      <c r="A141" s="10" t="s">
        <v>513</v>
      </c>
      <c r="B141" s="1" t="s">
        <v>55</v>
      </c>
    </row>
    <row r="142" spans="1:2" x14ac:dyDescent="0.3">
      <c r="A142" s="10" t="s">
        <v>513</v>
      </c>
      <c r="B142" s="1" t="s">
        <v>67</v>
      </c>
    </row>
    <row r="143" spans="1:2" x14ac:dyDescent="0.3">
      <c r="A143" s="15" t="s">
        <v>514</v>
      </c>
      <c r="B143" s="1" t="s">
        <v>48</v>
      </c>
    </row>
    <row r="144" spans="1:2" x14ac:dyDescent="0.3">
      <c r="A144" s="15" t="s">
        <v>514</v>
      </c>
      <c r="B144" s="1" t="s">
        <v>61</v>
      </c>
    </row>
    <row r="145" spans="1:2" x14ac:dyDescent="0.3">
      <c r="A145" s="15" t="s">
        <v>514</v>
      </c>
      <c r="B145" s="1" t="s">
        <v>50</v>
      </c>
    </row>
    <row r="146" spans="1:2" x14ac:dyDescent="0.3">
      <c r="A146" s="15" t="s">
        <v>516</v>
      </c>
      <c r="B146" s="1" t="s">
        <v>67</v>
      </c>
    </row>
    <row r="147" spans="1:2" x14ac:dyDescent="0.3">
      <c r="A147" s="15" t="s">
        <v>516</v>
      </c>
      <c r="B147" s="1" t="s">
        <v>64</v>
      </c>
    </row>
    <row r="148" spans="1:2" x14ac:dyDescent="0.3">
      <c r="A148" s="15" t="s">
        <v>516</v>
      </c>
      <c r="B148" s="1" t="s">
        <v>47</v>
      </c>
    </row>
    <row r="149" spans="1:2" x14ac:dyDescent="0.3">
      <c r="A149" s="15" t="s">
        <v>516</v>
      </c>
      <c r="B149" s="1" t="s">
        <v>48</v>
      </c>
    </row>
    <row r="150" spans="1:2" x14ac:dyDescent="0.3">
      <c r="A150" s="10" t="s">
        <v>518</v>
      </c>
      <c r="B150" s="1" t="s">
        <v>52</v>
      </c>
    </row>
    <row r="151" spans="1:2" x14ac:dyDescent="0.3">
      <c r="A151" s="10" t="s">
        <v>519</v>
      </c>
      <c r="B151" s="1" t="s">
        <v>75</v>
      </c>
    </row>
    <row r="152" spans="1:2" x14ac:dyDescent="0.3">
      <c r="A152" s="32" t="s">
        <v>520</v>
      </c>
      <c r="B152" s="1" t="s">
        <v>51</v>
      </c>
    </row>
    <row r="153" spans="1:2" x14ac:dyDescent="0.3">
      <c r="A153" s="32" t="s">
        <v>520</v>
      </c>
      <c r="B153" s="1" t="s">
        <v>75</v>
      </c>
    </row>
    <row r="154" spans="1:2" x14ac:dyDescent="0.3">
      <c r="A154" s="32" t="s">
        <v>520</v>
      </c>
      <c r="B154" s="1" t="s">
        <v>57</v>
      </c>
    </row>
    <row r="155" spans="1:2" x14ac:dyDescent="0.3">
      <c r="A155" s="32" t="s">
        <v>662</v>
      </c>
      <c r="B155" s="1" t="s">
        <v>53</v>
      </c>
    </row>
    <row r="156" spans="1:2" x14ac:dyDescent="0.3">
      <c r="A156" s="32" t="s">
        <v>662</v>
      </c>
      <c r="B156" s="1" t="s">
        <v>51</v>
      </c>
    </row>
    <row r="157" spans="1:2" x14ac:dyDescent="0.3">
      <c r="A157" s="32" t="s">
        <v>662</v>
      </c>
      <c r="B157" s="1" t="s">
        <v>75</v>
      </c>
    </row>
    <row r="158" spans="1:2" x14ac:dyDescent="0.3">
      <c r="A158" s="32" t="s">
        <v>662</v>
      </c>
      <c r="B158" s="1" t="s">
        <v>57</v>
      </c>
    </row>
    <row r="159" spans="1:2" x14ac:dyDescent="0.3">
      <c r="A159"/>
      <c r="B159"/>
    </row>
    <row r="160" spans="1:2" x14ac:dyDescent="0.3">
      <c r="A160"/>
      <c r="B160"/>
    </row>
    <row r="161" spans="1:2" x14ac:dyDescent="0.3">
      <c r="A161"/>
      <c r="B161"/>
    </row>
    <row r="162" spans="1:2" x14ac:dyDescent="0.3">
      <c r="A162"/>
      <c r="B162"/>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zoomScale="80" zoomScaleNormal="80" workbookViewId="0">
      <selection activeCell="A33" sqref="A33"/>
    </sheetView>
  </sheetViews>
  <sheetFormatPr defaultColWidth="8.69921875" defaultRowHeight="15.6" x14ac:dyDescent="0.3"/>
  <cols>
    <col min="1" max="1" width="9.8984375" style="1" bestFit="1" customWidth="1"/>
    <col min="2" max="2" width="29.19921875" style="1" customWidth="1"/>
    <col min="3" max="3" width="12.3984375" style="1" bestFit="1" customWidth="1"/>
    <col min="4" max="16384" width="8.69921875" style="1"/>
  </cols>
  <sheetData>
    <row r="1" spans="1:3" x14ac:dyDescent="0.3">
      <c r="A1" s="4" t="s">
        <v>107</v>
      </c>
      <c r="B1" s="4" t="s">
        <v>106</v>
      </c>
      <c r="C1" s="4" t="s">
        <v>105</v>
      </c>
    </row>
    <row r="2" spans="1:3" x14ac:dyDescent="0.3">
      <c r="A2" s="1" t="s">
        <v>47</v>
      </c>
      <c r="B2" s="1" t="s">
        <v>68</v>
      </c>
      <c r="C2" s="1" t="s">
        <v>56</v>
      </c>
    </row>
    <row r="3" spans="1:3" x14ac:dyDescent="0.3">
      <c r="A3" s="1" t="s">
        <v>48</v>
      </c>
      <c r="B3" s="1" t="s">
        <v>69</v>
      </c>
      <c r="C3" s="1" t="s">
        <v>56</v>
      </c>
    </row>
    <row r="4" spans="1:3" x14ac:dyDescent="0.3">
      <c r="A4" s="1" t="s">
        <v>50</v>
      </c>
      <c r="B4" s="1" t="s">
        <v>70</v>
      </c>
      <c r="C4" s="1" t="s">
        <v>70</v>
      </c>
    </row>
    <row r="5" spans="1:3" x14ac:dyDescent="0.3">
      <c r="A5" s="1" t="s">
        <v>71</v>
      </c>
      <c r="B5" s="1" t="s">
        <v>62</v>
      </c>
      <c r="C5" s="1" t="s">
        <v>70</v>
      </c>
    </row>
    <row r="6" spans="1:3" x14ac:dyDescent="0.3">
      <c r="A6" s="1" t="s">
        <v>51</v>
      </c>
      <c r="B6" s="1" t="s">
        <v>49</v>
      </c>
      <c r="C6" s="1" t="s">
        <v>72</v>
      </c>
    </row>
    <row r="7" spans="1:3" x14ac:dyDescent="0.3">
      <c r="A7" s="1" t="s">
        <v>52</v>
      </c>
      <c r="B7" s="1" t="s">
        <v>73</v>
      </c>
      <c r="C7" s="1" t="s">
        <v>72</v>
      </c>
    </row>
    <row r="8" spans="1:3" x14ac:dyDescent="0.3">
      <c r="A8" s="1" t="s">
        <v>53</v>
      </c>
      <c r="B8" s="1" t="s">
        <v>74</v>
      </c>
      <c r="C8" s="1" t="s">
        <v>72</v>
      </c>
    </row>
    <row r="9" spans="1:3" x14ac:dyDescent="0.3">
      <c r="A9" s="1" t="s">
        <v>55</v>
      </c>
      <c r="B9" s="1" t="s">
        <v>2</v>
      </c>
      <c r="C9" s="1" t="s">
        <v>72</v>
      </c>
    </row>
    <row r="10" spans="1:3" x14ac:dyDescent="0.3">
      <c r="A10" s="1" t="s">
        <v>75</v>
      </c>
      <c r="B10" s="1" t="s">
        <v>58</v>
      </c>
      <c r="C10" s="1" t="s">
        <v>72</v>
      </c>
    </row>
    <row r="11" spans="1:3" x14ac:dyDescent="0.3">
      <c r="A11" s="1" t="s">
        <v>57</v>
      </c>
      <c r="B11" s="1" t="s">
        <v>60</v>
      </c>
      <c r="C11" s="1" t="s">
        <v>72</v>
      </c>
    </row>
    <row r="12" spans="1:3" x14ac:dyDescent="0.3">
      <c r="A12" s="1" t="s">
        <v>59</v>
      </c>
      <c r="B12" s="1" t="s">
        <v>12</v>
      </c>
      <c r="C12" s="1" t="s">
        <v>72</v>
      </c>
    </row>
    <row r="13" spans="1:3" x14ac:dyDescent="0.3">
      <c r="A13" s="1" t="s">
        <v>61</v>
      </c>
      <c r="B13" s="1" t="s">
        <v>65</v>
      </c>
      <c r="C13" s="1" t="s">
        <v>72</v>
      </c>
    </row>
    <row r="14" spans="1:3" x14ac:dyDescent="0.3">
      <c r="A14" s="1" t="s">
        <v>63</v>
      </c>
      <c r="B14" s="1" t="s">
        <v>11</v>
      </c>
      <c r="C14" s="1" t="s">
        <v>72</v>
      </c>
    </row>
    <row r="15" spans="1:3" x14ac:dyDescent="0.3">
      <c r="A15" s="1" t="s">
        <v>76</v>
      </c>
      <c r="B15" s="1" t="s">
        <v>54</v>
      </c>
      <c r="C15" s="1" t="s">
        <v>77</v>
      </c>
    </row>
    <row r="16" spans="1:3" x14ac:dyDescent="0.3">
      <c r="A16" s="1" t="s">
        <v>78</v>
      </c>
      <c r="B16" s="1" t="s">
        <v>79</v>
      </c>
      <c r="C16" s="1" t="s">
        <v>77</v>
      </c>
    </row>
    <row r="17" spans="1:3" x14ac:dyDescent="0.3">
      <c r="A17" s="1" t="s">
        <v>64</v>
      </c>
      <c r="B17" s="1" t="s">
        <v>77</v>
      </c>
      <c r="C17" s="1" t="s">
        <v>77</v>
      </c>
    </row>
    <row r="18" spans="1:3" x14ac:dyDescent="0.3">
      <c r="A18" s="1" t="s">
        <v>66</v>
      </c>
      <c r="B18" s="1" t="s">
        <v>35</v>
      </c>
      <c r="C18" s="1" t="s">
        <v>77</v>
      </c>
    </row>
    <row r="19" spans="1:3" x14ac:dyDescent="0.3">
      <c r="A19" s="1" t="s">
        <v>67</v>
      </c>
      <c r="B19" s="1" t="s">
        <v>80</v>
      </c>
      <c r="C19" s="1"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orgNodes</vt:lpstr>
      <vt:lpstr>orgEdges</vt:lpstr>
      <vt:lpstr>platformNodes</vt:lpstr>
      <vt:lpstr>dataNodeTypes</vt:lpstr>
      <vt:lpstr>dataEdges</vt:lpstr>
      <vt:lpstr>dataNodes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Lauren Patterson</cp:lastModifiedBy>
  <dcterms:created xsi:type="dcterms:W3CDTF">2018-08-09T20:40:56Z</dcterms:created>
  <dcterms:modified xsi:type="dcterms:W3CDTF">2020-04-02T13:06:18Z</dcterms:modified>
</cp:coreProperties>
</file>